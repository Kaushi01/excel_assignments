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raj\Downloads\"/>
    </mc:Choice>
  </mc:AlternateContent>
  <xr:revisionPtr revIDLastSave="0" documentId="13_ncr:1_{25684F2F-53CD-45D9-BFD0-77C001FC1400}" xr6:coauthVersionLast="47" xr6:coauthVersionMax="47" xr10:uidLastSave="{00000000-0000-0000-0000-000000000000}"/>
  <bookViews>
    <workbookView xWindow="-108" yWindow="-108" windowWidth="23256" windowHeight="12456" firstSheet="2" activeTab="6" xr2:uid="{00000000-000D-0000-FFFF-FFFF00000000}"/>
  </bookViews>
  <sheets>
    <sheet name="Extract Time Parts" sheetId="1" r:id="rId1"/>
    <sheet name="Working Hours" sheetId="2" r:id="rId2"/>
    <sheet name="Date Parts" sheetId="3" r:id="rId3"/>
    <sheet name="Probation End Date" sheetId="4" r:id="rId4"/>
    <sheet name="Days in Company" sheetId="5" r:id="rId5"/>
    <sheet name="Working Days Excl Holidays" sheetId="7" r:id="rId6"/>
    <sheet name="Month-Year Format" sheetId="8" r:id="rId7"/>
    <sheet name="Weekday from Date" sheetId="9" r:id="rId8"/>
    <sheet name="Joining Day Name" sheetId="10" r:id="rId9"/>
    <sheet name="Days Worked + Quarter" sheetId="11"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 i="8" l="1"/>
  <c r="C5" i="8"/>
  <c r="C6" i="8"/>
  <c r="C7" i="8"/>
  <c r="C8" i="8"/>
  <c r="C9" i="8"/>
  <c r="C10" i="8"/>
  <c r="C11" i="8"/>
  <c r="C12" i="8"/>
  <c r="C13" i="8"/>
  <c r="C3" i="8"/>
  <c r="D9" i="7"/>
  <c r="D6" i="4"/>
  <c r="D7" i="4"/>
  <c r="D8" i="4"/>
  <c r="D9" i="4"/>
  <c r="D5" i="4"/>
  <c r="H6" i="3"/>
  <c r="H7" i="3"/>
  <c r="H8" i="3"/>
  <c r="H9" i="3"/>
  <c r="H5" i="3"/>
  <c r="G6" i="3"/>
  <c r="G7" i="3"/>
  <c r="G8" i="3"/>
  <c r="G9" i="3"/>
  <c r="G5" i="3"/>
  <c r="F6" i="3"/>
  <c r="F7" i="3"/>
  <c r="F8" i="3"/>
  <c r="F9" i="3"/>
  <c r="F5" i="3"/>
  <c r="E6" i="3"/>
  <c r="E7" i="3"/>
  <c r="E8" i="3"/>
  <c r="E9" i="3"/>
  <c r="E5" i="3"/>
  <c r="F6" i="2"/>
  <c r="F7" i="2"/>
  <c r="F8" i="2"/>
  <c r="F9" i="2"/>
  <c r="F5" i="2"/>
  <c r="G6" i="1"/>
  <c r="G7" i="1"/>
  <c r="G8" i="1"/>
  <c r="G9" i="1"/>
  <c r="F6" i="1"/>
  <c r="F7" i="1"/>
  <c r="F8" i="1"/>
  <c r="F9" i="1"/>
  <c r="E6" i="1"/>
  <c r="E7" i="1"/>
  <c r="E8" i="1"/>
  <c r="E9" i="1"/>
  <c r="G5" i="1"/>
  <c r="F5" i="1"/>
  <c r="E5" i="1"/>
  <c r="D7" i="5"/>
  <c r="E7" i="5" s="1"/>
  <c r="D8" i="5"/>
  <c r="E8" i="5" s="1"/>
  <c r="D9" i="5"/>
  <c r="E9" i="5" s="1"/>
  <c r="D6" i="5"/>
  <c r="E6" i="5" s="1"/>
  <c r="D5" i="5"/>
  <c r="E5" i="5" s="1"/>
</calcChain>
</file>

<file path=xl/sharedStrings.xml><?xml version="1.0" encoding="utf-8"?>
<sst xmlns="http://schemas.openxmlformats.org/spreadsheetml/2006/main" count="135" uniqueCount="98">
  <si>
    <t>ID</t>
  </si>
  <si>
    <t>Name</t>
  </si>
  <si>
    <t>Entry Time</t>
  </si>
  <si>
    <t>Hour</t>
  </si>
  <si>
    <t>Minutes</t>
  </si>
  <si>
    <t>Second</t>
  </si>
  <si>
    <t>Jack</t>
  </si>
  <si>
    <t>Mason</t>
  </si>
  <si>
    <t>Ellie</t>
  </si>
  <si>
    <t>Harry</t>
  </si>
  <si>
    <t>James</t>
  </si>
  <si>
    <t>William</t>
  </si>
  <si>
    <t>Oscar</t>
  </si>
  <si>
    <t>Lily</t>
  </si>
  <si>
    <t>Jessica</t>
  </si>
  <si>
    <t>Jacob</t>
  </si>
  <si>
    <t>Leaving Time</t>
  </si>
  <si>
    <t>Working Hours</t>
  </si>
  <si>
    <t>Date of Joining</t>
  </si>
  <si>
    <t>Day</t>
  </si>
  <si>
    <t>Month</t>
  </si>
  <si>
    <t>Year</t>
  </si>
  <si>
    <t>Total Years in Company</t>
  </si>
  <si>
    <t>2022-02-01</t>
  </si>
  <si>
    <t>2021-06-14</t>
  </si>
  <si>
    <t>2019-04-02</t>
  </si>
  <si>
    <t>2020-08-19</t>
  </si>
  <si>
    <t>2023-01-14</t>
  </si>
  <si>
    <t>2018-12-12</t>
  </si>
  <si>
    <t>2017-10-17</t>
  </si>
  <si>
    <t>2020-02-14</t>
  </si>
  <si>
    <t>2022-02-24</t>
  </si>
  <si>
    <t>2019-01-24</t>
  </si>
  <si>
    <t>Name of the Employee</t>
  </si>
  <si>
    <t>Last date of probation date</t>
  </si>
  <si>
    <t>Richard Hockley</t>
  </si>
  <si>
    <t>Natasha Austin</t>
  </si>
  <si>
    <t>Shane Lee</t>
  </si>
  <si>
    <t>Graham Hick</t>
  </si>
  <si>
    <t>Gregory Simpson</t>
  </si>
  <si>
    <t>Alfred Moyes</t>
  </si>
  <si>
    <t>Usman Malik</t>
  </si>
  <si>
    <t>Christina Georgino</t>
  </si>
  <si>
    <t>Paul Orwell</t>
  </si>
  <si>
    <t>Jonathon North</t>
  </si>
  <si>
    <t>Mark Stevenson</t>
  </si>
  <si>
    <t>2022-02-12</t>
  </si>
  <si>
    <t>2020-12-14</t>
  </si>
  <si>
    <t>2021-02-15</t>
  </si>
  <si>
    <t>2022-01-16</t>
  </si>
  <si>
    <t>2022-03-17</t>
  </si>
  <si>
    <t>2022-09-19</t>
  </si>
  <si>
    <t>2022-09-21</t>
  </si>
  <si>
    <t>2022-04-19</t>
  </si>
  <si>
    <t>2022-12-21</t>
  </si>
  <si>
    <t>2022-02-22</t>
  </si>
  <si>
    <t>List of Holidays</t>
  </si>
  <si>
    <t>21-Feb-2020</t>
  </si>
  <si>
    <t>28-Mar-2020</t>
  </si>
  <si>
    <t>3-May-2020</t>
  </si>
  <si>
    <t>8-Jun-2020</t>
  </si>
  <si>
    <t>14-Jul-2020</t>
  </si>
  <si>
    <t>19-Aug-2020</t>
  </si>
  <si>
    <t>24-Sep-2020</t>
  </si>
  <si>
    <t>30-Oct-2020</t>
  </si>
  <si>
    <t>5-Dec-2020</t>
  </si>
  <si>
    <t>10-Jan-2021</t>
  </si>
  <si>
    <t>15-Feb-2021</t>
  </si>
  <si>
    <t>Start date</t>
  </si>
  <si>
    <t>Last working date</t>
  </si>
  <si>
    <t>No. of working days (Excl. Holidays)</t>
  </si>
  <si>
    <t>NewDate</t>
  </si>
  <si>
    <t>Dates</t>
  </si>
  <si>
    <t>End Of Month</t>
  </si>
  <si>
    <t>Number Format</t>
  </si>
  <si>
    <t>Day Name</t>
  </si>
  <si>
    <t>Date of joining</t>
  </si>
  <si>
    <t>Worked Till Today</t>
  </si>
  <si>
    <t>Quarter</t>
  </si>
  <si>
    <t>U101</t>
  </si>
  <si>
    <t>Saanvi</t>
  </si>
  <si>
    <t>U102</t>
  </si>
  <si>
    <t>Meera</t>
  </si>
  <si>
    <t>U103</t>
  </si>
  <si>
    <t>Yash</t>
  </si>
  <si>
    <t>U104</t>
  </si>
  <si>
    <t>Aditya</t>
  </si>
  <si>
    <t>U105</t>
  </si>
  <si>
    <t>Diya</t>
  </si>
  <si>
    <t>Last date of probation</t>
  </si>
  <si>
    <t>Tara</t>
  </si>
  <si>
    <t>Reyansh</t>
  </si>
  <si>
    <t>Avni</t>
  </si>
  <si>
    <t>Kiara</t>
  </si>
  <si>
    <t>Arjun</t>
  </si>
  <si>
    <t>Current Date</t>
  </si>
  <si>
    <t>No. of Days in Company</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</si>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</sst>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7" formatCode="yyyy\-mm\-dd;@"/>
  </numFmts>
  <fonts count="3" x14ac:knownFonts="1">
    <font>
      <sz val="11"/>
      <color theme="1"/>
      <name val="Calibri"/>
      <family val="2"/>
      <scheme val="minor"/>
    </font>
    <font>
      <b/>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4"/>
      </patternFill>
    </fill>
  </fills>
  <borders count="14">
    <border>
      <left/>
      <right/>
      <top/>
      <bottom/>
      <diagonal/>
    </border>
    <border>
      <left style="thin">
        <color auto="1"/>
      </left>
      <right style="thin">
        <color auto="1"/>
      </right>
      <top style="thin">
        <color auto="1"/>
      </top>
      <bottom style="thin">
        <color auto="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2" borderId="0" applyNumberFormat="0" applyBorder="0" applyAlignment="0" applyProtection="0"/>
  </cellStyleXfs>
  <cellXfs count="41">
    <xf numFmtId="0" fontId="0" fillId="0" borderId="0" xfId="0"/>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2" fillId="2" borderId="1" xfId="1" applyBorder="1" applyAlignment="1">
      <alignment horizontal="center" vertical="top"/>
    </xf>
    <xf numFmtId="15" fontId="0" fillId="0" borderId="7" xfId="0" applyNumberFormat="1" applyBorder="1" applyAlignment="1">
      <alignment vertical="center" wrapText="1"/>
    </xf>
    <xf numFmtId="15" fontId="0" fillId="0" borderId="8" xfId="0" applyNumberFormat="1" applyBorder="1" applyAlignment="1">
      <alignment vertical="center" wrapText="1"/>
    </xf>
    <xf numFmtId="0" fontId="2" fillId="2" borderId="1" xfId="1" applyBorder="1" applyAlignment="1">
      <alignment horizontal="center" vertical="center"/>
    </xf>
    <xf numFmtId="164" fontId="0" fillId="0" borderId="9" xfId="0" applyNumberFormat="1" applyBorder="1"/>
    <xf numFmtId="164" fontId="0" fillId="0" borderId="10" xfId="0" applyNumberFormat="1" applyBorder="1"/>
    <xf numFmtId="0" fontId="0" fillId="0" borderId="1" xfId="0" applyBorder="1"/>
    <xf numFmtId="0" fontId="0" fillId="0" borderId="11" xfId="0" applyBorder="1"/>
    <xf numFmtId="0" fontId="0" fillId="0" borderId="13" xfId="0" applyBorder="1"/>
    <xf numFmtId="0" fontId="1" fillId="0" borderId="0" xfId="0" applyFont="1" applyAlignment="1">
      <alignment horizontal="center" vertical="top"/>
    </xf>
    <xf numFmtId="0" fontId="0" fillId="0" borderId="11" xfId="0" applyBorder="1" applyAlignment="1">
      <alignment vertical="center" wrapText="1"/>
    </xf>
    <xf numFmtId="0" fontId="0" fillId="0" borderId="12" xfId="0" applyBorder="1" applyAlignment="1">
      <alignment vertical="center" wrapText="1"/>
    </xf>
    <xf numFmtId="19" fontId="0" fillId="0" borderId="12" xfId="0" applyNumberFormat="1" applyBorder="1" applyAlignment="1">
      <alignment vertical="center" wrapText="1"/>
    </xf>
    <xf numFmtId="0" fontId="0" fillId="0" borderId="13" xfId="0" applyBorder="1" applyAlignment="1">
      <alignment vertical="center" wrapText="1"/>
    </xf>
    <xf numFmtId="0" fontId="0" fillId="0" borderId="2" xfId="0" applyBorder="1" applyAlignment="1">
      <alignment vertical="center" wrapText="1"/>
    </xf>
    <xf numFmtId="0" fontId="0" fillId="0" borderId="0" xfId="0" applyAlignment="1">
      <alignment vertical="center" wrapText="1"/>
    </xf>
    <xf numFmtId="19" fontId="0" fillId="0" borderId="0" xfId="0" applyNumberFormat="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19" fontId="0" fillId="0" borderId="5" xfId="0" applyNumberFormat="1" applyBorder="1" applyAlignment="1">
      <alignment vertical="center" wrapText="1"/>
    </xf>
    <xf numFmtId="14" fontId="0" fillId="0" borderId="0" xfId="0" applyNumberFormat="1" applyAlignment="1">
      <alignment vertical="center" wrapText="1"/>
    </xf>
    <xf numFmtId="14" fontId="0" fillId="0" borderId="5" xfId="0" applyNumberFormat="1" applyBorder="1" applyAlignment="1">
      <alignment vertical="center" wrapText="1"/>
    </xf>
    <xf numFmtId="164" fontId="0" fillId="0" borderId="12" xfId="0" applyNumberFormat="1" applyBorder="1"/>
    <xf numFmtId="164" fontId="0" fillId="0" borderId="0" xfId="0" applyNumberFormat="1"/>
    <xf numFmtId="164" fontId="0" fillId="0" borderId="5" xfId="0" applyNumberFormat="1" applyBorder="1"/>
    <xf numFmtId="164" fontId="0" fillId="0" borderId="12" xfId="0" applyNumberFormat="1" applyBorder="1" applyAlignment="1">
      <alignment vertical="center" wrapText="1"/>
    </xf>
    <xf numFmtId="164" fontId="0" fillId="0" borderId="0" xfId="0" applyNumberFormat="1" applyAlignment="1">
      <alignment vertical="center" wrapText="1"/>
    </xf>
    <xf numFmtId="164" fontId="0" fillId="0" borderId="5" xfId="0" applyNumberFormat="1" applyBorder="1" applyAlignment="1">
      <alignment vertical="center" wrapText="1"/>
    </xf>
    <xf numFmtId="164" fontId="0" fillId="0" borderId="2" xfId="0" applyNumberFormat="1" applyBorder="1"/>
    <xf numFmtId="0" fontId="0" fillId="0" borderId="0" xfId="0" applyAlignment="1">
      <alignment vertical="top"/>
    </xf>
    <xf numFmtId="2" fontId="0" fillId="0" borderId="3" xfId="0" applyNumberFormat="1" applyBorder="1" applyAlignment="1">
      <alignment vertical="center" wrapText="1"/>
    </xf>
    <xf numFmtId="164" fontId="0" fillId="0" borderId="4" xfId="0" applyNumberFormat="1" applyBorder="1"/>
    <xf numFmtId="19" fontId="0" fillId="0" borderId="13" xfId="0" applyNumberFormat="1" applyBorder="1" applyAlignment="1">
      <alignment vertical="center" wrapText="1"/>
    </xf>
    <xf numFmtId="14" fontId="0" fillId="0" borderId="13" xfId="0" applyNumberFormat="1" applyBorder="1" applyAlignment="1">
      <alignment vertical="center" wrapText="1"/>
    </xf>
    <xf numFmtId="167" fontId="0" fillId="0" borderId="13" xfId="0" applyNumberFormat="1" applyBorder="1" applyAlignment="1">
      <alignment vertical="center" wrapText="1"/>
    </xf>
  </cellXfs>
  <cellStyles count="2">
    <cellStyle name="Accent1" xfId="1" builtinId="29"/>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7</xdr:col>
      <xdr:colOff>243840</xdr:colOff>
      <xdr:row>1</xdr:row>
      <xdr:rowOff>30480</xdr:rowOff>
    </xdr:from>
    <xdr:to>
      <xdr:col>13</xdr:col>
      <xdr:colOff>38100</xdr:colOff>
      <xdr:row>10</xdr:row>
      <xdr:rowOff>160020</xdr:rowOff>
    </xdr:to>
    <xdr:sp macro="" textlink="">
      <xdr:nvSpPr>
        <xdr:cNvPr id="2" name="Arrow: Left 1">
          <a:extLst>
            <a:ext uri="{FF2B5EF4-FFF2-40B4-BE49-F238E27FC236}">
              <a16:creationId xmlns:a16="http://schemas.microsoft.com/office/drawing/2014/main" id="{E000E147-4B3F-4CA7-BB13-8FCED46EA0E0}"/>
            </a:ext>
          </a:extLst>
        </xdr:cNvPr>
        <xdr:cNvSpPr/>
      </xdr:nvSpPr>
      <xdr:spPr>
        <a:xfrm>
          <a:off x="4678680" y="213360"/>
          <a:ext cx="3451860" cy="177546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0" u="none" strike="noStrike">
              <a:solidFill>
                <a:schemeClr val="lt1"/>
              </a:solidFill>
              <a:effectLst/>
              <a:latin typeface="+mj-lt"/>
              <a:ea typeface="+mn-ea"/>
              <a:cs typeface="+mn-cs"/>
            </a:rPr>
            <a:t>You are given the entry time of each employee in a time format (e.g., 7:21:17 AM). Your task is to separate this time into three parts: hours, minutes, and seconds.</a:t>
          </a:r>
          <a:r>
            <a:rPr lang="en-IN" b="1">
              <a:latin typeface="+mj-lt"/>
            </a:rPr>
            <a:t> </a:t>
          </a:r>
          <a:endParaRPr lang="en-IN" sz="1100" b="1">
            <a:latin typeface="+mj-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441960</xdr:colOff>
      <xdr:row>0</xdr:row>
      <xdr:rowOff>76200</xdr:rowOff>
    </xdr:from>
    <xdr:to>
      <xdr:col>12</xdr:col>
      <xdr:colOff>236221</xdr:colOff>
      <xdr:row>11</xdr:row>
      <xdr:rowOff>121920</xdr:rowOff>
    </xdr:to>
    <xdr:sp macro="" textlink="">
      <xdr:nvSpPr>
        <xdr:cNvPr id="2" name="Arrow: Left 1">
          <a:extLst>
            <a:ext uri="{FF2B5EF4-FFF2-40B4-BE49-F238E27FC236}">
              <a16:creationId xmlns:a16="http://schemas.microsoft.com/office/drawing/2014/main" id="{83678D63-55CA-4FF9-B395-7DF72C8DD020}"/>
            </a:ext>
          </a:extLst>
        </xdr:cNvPr>
        <xdr:cNvSpPr/>
      </xdr:nvSpPr>
      <xdr:spPr>
        <a:xfrm>
          <a:off x="4381500" y="76200"/>
          <a:ext cx="3451861" cy="205740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Each employee has an entry time and a leaving time. Calculate how </a:t>
          </a:r>
          <a:r>
            <a:rPr lang="en-IN">
              <a:latin typeface="+mj-lt"/>
            </a:rPr>
            <a:t>many</a:t>
          </a:r>
          <a:r>
            <a:rPr lang="en-IN"/>
            <a:t> hours they worked in total for the day. Make sure to subtract entry time from leaving time correctly, especially if the time crosses over from AM to PM.</a:t>
          </a:r>
          <a:endParaRPr lang="en-IN" sz="1100" b="1">
            <a:latin typeface="+mj-l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15240</xdr:colOff>
      <xdr:row>0</xdr:row>
      <xdr:rowOff>76200</xdr:rowOff>
    </xdr:from>
    <xdr:to>
      <xdr:col>14</xdr:col>
      <xdr:colOff>571500</xdr:colOff>
      <xdr:row>11</xdr:row>
      <xdr:rowOff>121920</xdr:rowOff>
    </xdr:to>
    <xdr:sp macro="" textlink="">
      <xdr:nvSpPr>
        <xdr:cNvPr id="2" name="Arrow: Left 1">
          <a:extLst>
            <a:ext uri="{FF2B5EF4-FFF2-40B4-BE49-F238E27FC236}">
              <a16:creationId xmlns:a16="http://schemas.microsoft.com/office/drawing/2014/main" id="{C00B3BE7-77B3-4567-B3A6-8A3FB4DE4064}"/>
            </a:ext>
          </a:extLst>
        </xdr:cNvPr>
        <xdr:cNvSpPr/>
      </xdr:nvSpPr>
      <xdr:spPr>
        <a:xfrm>
          <a:off x="5471160" y="76200"/>
          <a:ext cx="3604260" cy="205740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You are given the date each employee joined the company. Use Excel functions to extract the day (e.g., 01), month (e.g., 02), and year (e.g., 2022) from this date. Then, calculate how many full years they have completed in the company as of today.</a:t>
          </a:r>
          <a:endParaRPr lang="en-IN" sz="1100" b="1">
            <a:latin typeface="+mj-l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0</xdr:row>
      <xdr:rowOff>22860</xdr:rowOff>
    </xdr:from>
    <xdr:to>
      <xdr:col>10</xdr:col>
      <xdr:colOff>556260</xdr:colOff>
      <xdr:row>11</xdr:row>
      <xdr:rowOff>68580</xdr:rowOff>
    </xdr:to>
    <xdr:sp macro="" textlink="">
      <xdr:nvSpPr>
        <xdr:cNvPr id="2" name="Arrow: Left 1">
          <a:extLst>
            <a:ext uri="{FF2B5EF4-FFF2-40B4-BE49-F238E27FC236}">
              <a16:creationId xmlns:a16="http://schemas.microsoft.com/office/drawing/2014/main" id="{0420495F-2C7F-4445-8E51-26FB5135BA8E}"/>
            </a:ext>
          </a:extLst>
        </xdr:cNvPr>
        <xdr:cNvSpPr/>
      </xdr:nvSpPr>
      <xdr:spPr>
        <a:xfrm>
          <a:off x="4907280" y="22860"/>
          <a:ext cx="3604260" cy="205740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Every employee has a probation period of 3 months starting from their joining date. Use an Excel formula to calculate the date when their probation ends by adding 3 months to their date of joining.</a:t>
          </a:r>
          <a:endParaRPr lang="en-IN" sz="1100" b="1">
            <a:latin typeface="+mj-lt"/>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1</xdr:row>
      <xdr:rowOff>121920</xdr:rowOff>
    </xdr:from>
    <xdr:to>
      <xdr:col>12</xdr:col>
      <xdr:colOff>152400</xdr:colOff>
      <xdr:row>10</xdr:row>
      <xdr:rowOff>45720</xdr:rowOff>
    </xdr:to>
    <xdr:sp macro="" textlink="">
      <xdr:nvSpPr>
        <xdr:cNvPr id="2" name="Arrow: Left 1">
          <a:extLst>
            <a:ext uri="{FF2B5EF4-FFF2-40B4-BE49-F238E27FC236}">
              <a16:creationId xmlns:a16="http://schemas.microsoft.com/office/drawing/2014/main" id="{51264806-5F52-4252-BF6F-3F8BD845A359}"/>
            </a:ext>
          </a:extLst>
        </xdr:cNvPr>
        <xdr:cNvSpPr/>
      </xdr:nvSpPr>
      <xdr:spPr>
        <a:xfrm>
          <a:off x="5981700" y="304800"/>
          <a:ext cx="3810000" cy="156972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You are given the joining date of each employee and the current date. Calculate how many days each person has worked in the company using Excel.</a:t>
          </a:r>
          <a:endParaRPr lang="en-IN" sz="1100" b="1">
            <a:latin typeface="+mj-lt"/>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754380</xdr:colOff>
      <xdr:row>5</xdr:row>
      <xdr:rowOff>7620</xdr:rowOff>
    </xdr:from>
    <xdr:to>
      <xdr:col>10</xdr:col>
      <xdr:colOff>220980</xdr:colOff>
      <xdr:row>17</xdr:row>
      <xdr:rowOff>99060</xdr:rowOff>
    </xdr:to>
    <xdr:sp macro="" textlink="">
      <xdr:nvSpPr>
        <xdr:cNvPr id="2" name="Arrow: Left 1">
          <a:extLst>
            <a:ext uri="{FF2B5EF4-FFF2-40B4-BE49-F238E27FC236}">
              <a16:creationId xmlns:a16="http://schemas.microsoft.com/office/drawing/2014/main" id="{482D30AE-A768-4196-8226-B00D1A2974C3}"/>
            </a:ext>
          </a:extLst>
        </xdr:cNvPr>
        <xdr:cNvSpPr/>
      </xdr:nvSpPr>
      <xdr:spPr>
        <a:xfrm>
          <a:off x="5615940" y="373380"/>
          <a:ext cx="5151120" cy="228600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You are given the joining date of each employee and the current date. Calculate how many days each person has worked You are provided a start date, an end date, and a list of holidays. Use the Appropriate function of Excel to calculate how many working days are there between those two dates, excluding weekends and the given holidays. the company using Excel.</a:t>
          </a:r>
          <a:endParaRPr lang="en-IN" sz="1100" b="1">
            <a:latin typeface="+mj-lt"/>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342900</xdr:colOff>
      <xdr:row>2</xdr:row>
      <xdr:rowOff>38100</xdr:rowOff>
    </xdr:from>
    <xdr:to>
      <xdr:col>9</xdr:col>
      <xdr:colOff>495300</xdr:colOff>
      <xdr:row>10</xdr:row>
      <xdr:rowOff>144780</xdr:rowOff>
    </xdr:to>
    <xdr:sp macro="" textlink="">
      <xdr:nvSpPr>
        <xdr:cNvPr id="2" name="Arrow: Left 1">
          <a:extLst>
            <a:ext uri="{FF2B5EF4-FFF2-40B4-BE49-F238E27FC236}">
              <a16:creationId xmlns:a16="http://schemas.microsoft.com/office/drawing/2014/main" id="{2B708C98-DA5E-411C-87E7-B0CE753CCF92}"/>
            </a:ext>
          </a:extLst>
        </xdr:cNvPr>
        <xdr:cNvSpPr/>
      </xdr:nvSpPr>
      <xdr:spPr>
        <a:xfrm>
          <a:off x="2484120" y="403860"/>
          <a:ext cx="3810000" cy="156972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For each date in the list, display it in the format "Month - Year" (for example, 29-Feb-2020 should become "February - 2020"). Use the appropriate function in Excel to format the date this way.</a:t>
          </a:r>
          <a:endParaRPr lang="en-IN" sz="1100" b="1">
            <a:latin typeface="+mj-lt"/>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5</xdr:col>
      <xdr:colOff>167640</xdr:colOff>
      <xdr:row>2</xdr:row>
      <xdr:rowOff>30480</xdr:rowOff>
    </xdr:from>
    <xdr:to>
      <xdr:col>13</xdr:col>
      <xdr:colOff>365760</xdr:colOff>
      <xdr:row>11</xdr:row>
      <xdr:rowOff>160020</xdr:rowOff>
    </xdr:to>
    <xdr:sp macro="" textlink="">
      <xdr:nvSpPr>
        <xdr:cNvPr id="2" name="Arrow: Left 1">
          <a:extLst>
            <a:ext uri="{FF2B5EF4-FFF2-40B4-BE49-F238E27FC236}">
              <a16:creationId xmlns:a16="http://schemas.microsoft.com/office/drawing/2014/main" id="{724467F3-4783-4F07-A22E-1196511277EA}"/>
            </a:ext>
          </a:extLst>
        </xdr:cNvPr>
        <xdr:cNvSpPr/>
      </xdr:nvSpPr>
      <xdr:spPr>
        <a:xfrm>
          <a:off x="4061460" y="396240"/>
          <a:ext cx="5074920" cy="177546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For each date in the list, display it in the format "Month - Year" (for For each date, find the name of the weekday it falls on (e.g., Monday, Tuesday). Also, calculate the last date of that month using Excel. You can use the appropriate functions for this., 29-Feb-2020 should become "February - 2020"). Use the appropriate function in Excel to format the date this way.</a:t>
          </a:r>
          <a:endParaRPr lang="en-IN" sz="1100" b="1">
            <a:latin typeface="+mj-lt"/>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5</xdr:col>
      <xdr:colOff>0</xdr:colOff>
      <xdr:row>1</xdr:row>
      <xdr:rowOff>30480</xdr:rowOff>
    </xdr:from>
    <xdr:to>
      <xdr:col>10</xdr:col>
      <xdr:colOff>320040</xdr:colOff>
      <xdr:row>10</xdr:row>
      <xdr:rowOff>160020</xdr:rowOff>
    </xdr:to>
    <xdr:sp macro="" textlink="">
      <xdr:nvSpPr>
        <xdr:cNvPr id="2" name="Arrow: Left 1">
          <a:extLst>
            <a:ext uri="{FF2B5EF4-FFF2-40B4-BE49-F238E27FC236}">
              <a16:creationId xmlns:a16="http://schemas.microsoft.com/office/drawing/2014/main" id="{90F61004-EBDE-40C8-A742-36FF8F64D603}"/>
            </a:ext>
          </a:extLst>
        </xdr:cNvPr>
        <xdr:cNvSpPr/>
      </xdr:nvSpPr>
      <xdr:spPr>
        <a:xfrm>
          <a:off x="3299460" y="213360"/>
          <a:ext cx="3368040" cy="177546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Use the employee's joining date to find out what day of the week they joined (e.g., Monday, Friday). Use the appropriate function to return the weekday name from the date.</a:t>
          </a:r>
          <a:endParaRPr lang="en-IN" sz="1100" b="1">
            <a:latin typeface="+mj-lt"/>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7</xdr:col>
      <xdr:colOff>205740</xdr:colOff>
      <xdr:row>1</xdr:row>
      <xdr:rowOff>45720</xdr:rowOff>
    </xdr:from>
    <xdr:to>
      <xdr:col>14</xdr:col>
      <xdr:colOff>60960</xdr:colOff>
      <xdr:row>10</xdr:row>
      <xdr:rowOff>175260</xdr:rowOff>
    </xdr:to>
    <xdr:sp macro="" textlink="">
      <xdr:nvSpPr>
        <xdr:cNvPr id="2" name="Arrow: Left 1">
          <a:extLst>
            <a:ext uri="{FF2B5EF4-FFF2-40B4-BE49-F238E27FC236}">
              <a16:creationId xmlns:a16="http://schemas.microsoft.com/office/drawing/2014/main" id="{60DD0078-59A9-45AB-8C7A-AA0F1A9DF8CB}"/>
            </a:ext>
          </a:extLst>
        </xdr:cNvPr>
        <xdr:cNvSpPr/>
      </xdr:nvSpPr>
      <xdr:spPr>
        <a:xfrm>
          <a:off x="7025640" y="228600"/>
          <a:ext cx="4122420" cy="177546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For each employee, calculate how many days they have worked in the company from their joining date till today. Also, find out in which quarter (Q1, Q2, Q3, or Q4) of the year they joined, based on their joining month.</a:t>
          </a:r>
          <a:endParaRPr lang="en-IN" sz="1100" b="1">
            <a:latin typeface="+mj-lt"/>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O9"/>
  <sheetViews>
    <sheetView workbookViewId="0">
      <selection activeCell="E5" sqref="E5"/>
    </sheetView>
  </sheetViews>
  <sheetFormatPr defaultRowHeight="14.4" x14ac:dyDescent="0.3"/>
  <cols>
    <col min="4" max="4" width="11.33203125" bestFit="1" customWidth="1"/>
  </cols>
  <sheetData>
    <row r="3" spans="1:15" x14ac:dyDescent="0.3">
      <c r="A3" s="15"/>
      <c r="B3" s="15"/>
      <c r="C3" s="15"/>
      <c r="D3" s="15"/>
      <c r="E3" s="15"/>
      <c r="F3" s="15"/>
    </row>
    <row r="4" spans="1:15" x14ac:dyDescent="0.3">
      <c r="B4" s="9" t="s">
        <v>0</v>
      </c>
      <c r="C4" s="9" t="s">
        <v>1</v>
      </c>
      <c r="D4" s="9" t="s">
        <v>2</v>
      </c>
      <c r="E4" s="9" t="s">
        <v>3</v>
      </c>
      <c r="F4" s="9" t="s">
        <v>4</v>
      </c>
      <c r="G4" s="9" t="s">
        <v>5</v>
      </c>
    </row>
    <row r="5" spans="1:15" ht="14.4" customHeight="1" x14ac:dyDescent="0.3">
      <c r="B5" s="16" t="s">
        <v>79</v>
      </c>
      <c r="C5" s="17" t="s">
        <v>80</v>
      </c>
      <c r="D5" s="18">
        <v>0.30644675925925924</v>
      </c>
      <c r="E5" s="17">
        <f>HOUR(D5)</f>
        <v>7</v>
      </c>
      <c r="F5" s="17">
        <f>MINUTE(D5)</f>
        <v>21</v>
      </c>
      <c r="G5" s="19">
        <f>SECOND(D5)</f>
        <v>17</v>
      </c>
      <c r="K5" s="35"/>
      <c r="L5" s="35"/>
      <c r="M5" s="35"/>
      <c r="N5" s="35"/>
      <c r="O5" s="35"/>
    </row>
    <row r="6" spans="1:15" x14ac:dyDescent="0.3">
      <c r="B6" s="20" t="s">
        <v>81</v>
      </c>
      <c r="C6" s="21" t="s">
        <v>82</v>
      </c>
      <c r="D6" s="22">
        <v>0.46697916666666667</v>
      </c>
      <c r="E6" s="17">
        <f t="shared" ref="E6:E9" si="0">HOUR(D6)</f>
        <v>11</v>
      </c>
      <c r="F6" s="17">
        <f t="shared" ref="F6:F9" si="1">MINUTE(D6)</f>
        <v>12</v>
      </c>
      <c r="G6" s="19">
        <f t="shared" ref="G6:G9" si="2">SECOND(D6)</f>
        <v>27</v>
      </c>
      <c r="K6" s="35"/>
      <c r="L6" s="35"/>
      <c r="M6" s="35"/>
      <c r="N6" s="35"/>
      <c r="O6" s="35"/>
    </row>
    <row r="7" spans="1:15" x14ac:dyDescent="0.3">
      <c r="B7" s="20" t="s">
        <v>83</v>
      </c>
      <c r="C7" s="21" t="s">
        <v>84</v>
      </c>
      <c r="D7" s="22">
        <v>0.30106481481481484</v>
      </c>
      <c r="E7" s="17">
        <f t="shared" si="0"/>
        <v>7</v>
      </c>
      <c r="F7" s="17">
        <f t="shared" si="1"/>
        <v>13</v>
      </c>
      <c r="G7" s="19">
        <f t="shared" si="2"/>
        <v>32</v>
      </c>
      <c r="K7" s="35"/>
      <c r="L7" s="35"/>
      <c r="M7" s="35"/>
      <c r="N7" s="35"/>
      <c r="O7" s="35"/>
    </row>
    <row r="8" spans="1:15" x14ac:dyDescent="0.3">
      <c r="B8" s="20" t="s">
        <v>85</v>
      </c>
      <c r="C8" s="21" t="s">
        <v>86</v>
      </c>
      <c r="D8" s="22">
        <v>0.30839120370370371</v>
      </c>
      <c r="E8" s="17">
        <f t="shared" si="0"/>
        <v>7</v>
      </c>
      <c r="F8" s="17">
        <f t="shared" si="1"/>
        <v>24</v>
      </c>
      <c r="G8" s="19">
        <f t="shared" si="2"/>
        <v>5</v>
      </c>
      <c r="K8" s="35"/>
      <c r="L8" s="35"/>
      <c r="M8" s="35"/>
      <c r="N8" s="35"/>
      <c r="O8" s="35"/>
    </row>
    <row r="9" spans="1:15" x14ac:dyDescent="0.3">
      <c r="B9" s="23" t="s">
        <v>87</v>
      </c>
      <c r="C9" s="24" t="s">
        <v>88</v>
      </c>
      <c r="D9" s="25">
        <v>0.29304398148148147</v>
      </c>
      <c r="E9" s="17">
        <f t="shared" si="0"/>
        <v>7</v>
      </c>
      <c r="F9" s="17">
        <f t="shared" si="1"/>
        <v>1</v>
      </c>
      <c r="G9" s="19">
        <f t="shared" si="2"/>
        <v>59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4:F9"/>
  <sheetViews>
    <sheetView workbookViewId="0">
      <selection activeCell="G12" sqref="G12"/>
    </sheetView>
  </sheetViews>
  <sheetFormatPr defaultRowHeight="14.4" x14ac:dyDescent="0.3"/>
  <cols>
    <col min="2" max="2" width="5.33203125" bestFit="1" customWidth="1"/>
    <col min="3" max="3" width="6.33203125" bestFit="1" customWidth="1"/>
    <col min="4" max="4" width="11.33203125" bestFit="1" customWidth="1"/>
    <col min="5" max="5" width="12" bestFit="1" customWidth="1"/>
    <col min="6" max="6" width="13.5546875" bestFit="1" customWidth="1"/>
  </cols>
  <sheetData>
    <row r="4" spans="2:6" x14ac:dyDescent="0.3">
      <c r="B4" s="9" t="s">
        <v>0</v>
      </c>
      <c r="C4" s="9" t="s">
        <v>1</v>
      </c>
      <c r="D4" s="9" t="s">
        <v>2</v>
      </c>
      <c r="E4" s="9" t="s">
        <v>16</v>
      </c>
      <c r="F4" s="9" t="s">
        <v>17</v>
      </c>
    </row>
    <row r="5" spans="2:6" x14ac:dyDescent="0.3">
      <c r="B5" s="16" t="s">
        <v>79</v>
      </c>
      <c r="C5" s="17" t="s">
        <v>80</v>
      </c>
      <c r="D5" s="18">
        <v>0.4682175925925926</v>
      </c>
      <c r="E5" s="18">
        <v>0.75484953703703705</v>
      </c>
      <c r="F5" s="38">
        <f>E5-D5</f>
        <v>0.28663194444444445</v>
      </c>
    </row>
    <row r="6" spans="2:6" x14ac:dyDescent="0.3">
      <c r="B6" s="20" t="s">
        <v>81</v>
      </c>
      <c r="C6" s="21" t="s">
        <v>82</v>
      </c>
      <c r="D6" s="22">
        <v>0.48144675925925928</v>
      </c>
      <c r="E6" s="22">
        <v>0.9627430555555555</v>
      </c>
      <c r="F6" s="38">
        <f t="shared" ref="F6:F9" si="0">E6-D6</f>
        <v>0.48129629629629622</v>
      </c>
    </row>
    <row r="7" spans="2:6" x14ac:dyDescent="0.3">
      <c r="B7" s="20" t="s">
        <v>83</v>
      </c>
      <c r="C7" s="21" t="s">
        <v>84</v>
      </c>
      <c r="D7" s="22">
        <v>0.44847222222222222</v>
      </c>
      <c r="E7" s="22">
        <v>0.9661805555555556</v>
      </c>
      <c r="F7" s="38">
        <f t="shared" si="0"/>
        <v>0.51770833333333344</v>
      </c>
    </row>
    <row r="8" spans="2:6" x14ac:dyDescent="0.3">
      <c r="B8" s="20" t="s">
        <v>85</v>
      </c>
      <c r="C8" s="21" t="s">
        <v>86</v>
      </c>
      <c r="D8" s="22">
        <v>0.31211805555555555</v>
      </c>
      <c r="E8" s="22">
        <v>0.68906250000000002</v>
      </c>
      <c r="F8" s="38">
        <f t="shared" si="0"/>
        <v>0.37694444444444447</v>
      </c>
    </row>
    <row r="9" spans="2:6" x14ac:dyDescent="0.3">
      <c r="B9" s="23" t="s">
        <v>87</v>
      </c>
      <c r="C9" s="24" t="s">
        <v>88</v>
      </c>
      <c r="D9" s="25">
        <v>0.30791666666666667</v>
      </c>
      <c r="E9" s="25">
        <v>0.89582175925925922</v>
      </c>
      <c r="F9" s="38">
        <f t="shared" si="0"/>
        <v>0.5879050925925926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H9"/>
  <sheetViews>
    <sheetView workbookViewId="0">
      <selection activeCell="H5" sqref="H5"/>
    </sheetView>
  </sheetViews>
  <sheetFormatPr defaultRowHeight="14.4" x14ac:dyDescent="0.3"/>
  <cols>
    <col min="2" max="2" width="5.33203125" bestFit="1" customWidth="1"/>
    <col min="3" max="3" width="6.33203125" bestFit="1" customWidth="1"/>
    <col min="4" max="4" width="13.5546875" bestFit="1" customWidth="1"/>
    <col min="5" max="5" width="4.21875" bestFit="1" customWidth="1"/>
    <col min="6" max="6" width="6.77734375" bestFit="1" customWidth="1"/>
    <col min="7" max="7" width="5" bestFit="1" customWidth="1"/>
    <col min="8" max="8" width="20.88671875" bestFit="1" customWidth="1"/>
  </cols>
  <sheetData>
    <row r="3" spans="1:8" x14ac:dyDescent="0.3">
      <c r="A3" s="15"/>
      <c r="B3" s="15"/>
      <c r="C3" s="15"/>
      <c r="D3" s="15"/>
      <c r="E3" s="15"/>
      <c r="F3" s="15"/>
      <c r="G3" s="15"/>
    </row>
    <row r="4" spans="1:8" x14ac:dyDescent="0.3">
      <c r="B4" s="9" t="s">
        <v>0</v>
      </c>
      <c r="C4" s="9" t="s">
        <v>1</v>
      </c>
      <c r="D4" s="9" t="s">
        <v>18</v>
      </c>
      <c r="E4" s="9" t="s">
        <v>19</v>
      </c>
      <c r="F4" s="9" t="s">
        <v>20</v>
      </c>
      <c r="G4" s="9" t="s">
        <v>21</v>
      </c>
      <c r="H4" s="9" t="s">
        <v>22</v>
      </c>
    </row>
    <row r="5" spans="1:8" x14ac:dyDescent="0.3">
      <c r="B5" s="20" t="s">
        <v>79</v>
      </c>
      <c r="C5" s="21" t="s">
        <v>80</v>
      </c>
      <c r="D5" s="26">
        <v>44075</v>
      </c>
      <c r="E5" s="21">
        <f>DAY(D5)</f>
        <v>1</v>
      </c>
      <c r="F5" s="21">
        <f>MONTH(D5)</f>
        <v>9</v>
      </c>
      <c r="G5" s="21">
        <f>YEAR(D5)</f>
        <v>2020</v>
      </c>
      <c r="H5" s="36">
        <f ca="1">YEAR(TODAY()-YEAR(D5))</f>
        <v>2020</v>
      </c>
    </row>
    <row r="6" spans="1:8" x14ac:dyDescent="0.3">
      <c r="B6" s="20" t="s">
        <v>81</v>
      </c>
      <c r="C6" s="21" t="s">
        <v>82</v>
      </c>
      <c r="D6" s="26">
        <v>42772</v>
      </c>
      <c r="E6" s="21">
        <f t="shared" ref="E6:E9" si="0">DAY(D6)</f>
        <v>6</v>
      </c>
      <c r="F6" s="21">
        <f t="shared" ref="F6:F9" si="1">MONTH(D6)</f>
        <v>2</v>
      </c>
      <c r="G6" s="21">
        <f t="shared" ref="G6:G9" si="2">YEAR(D6)</f>
        <v>2017</v>
      </c>
      <c r="H6" s="36">
        <f t="shared" ref="H6:H9" ca="1" si="3">YEAR(TODAY()-YEAR(D6))</f>
        <v>2020</v>
      </c>
    </row>
    <row r="7" spans="1:8" x14ac:dyDescent="0.3">
      <c r="B7" s="20" t="s">
        <v>83</v>
      </c>
      <c r="C7" s="21" t="s">
        <v>84</v>
      </c>
      <c r="D7" s="26">
        <v>44073</v>
      </c>
      <c r="E7" s="21">
        <f t="shared" si="0"/>
        <v>30</v>
      </c>
      <c r="F7" s="21">
        <f t="shared" si="1"/>
        <v>8</v>
      </c>
      <c r="G7" s="21">
        <f t="shared" si="2"/>
        <v>2020</v>
      </c>
      <c r="H7" s="36">
        <f t="shared" ca="1" si="3"/>
        <v>2020</v>
      </c>
    </row>
    <row r="8" spans="1:8" x14ac:dyDescent="0.3">
      <c r="B8" s="20" t="s">
        <v>85</v>
      </c>
      <c r="C8" s="21" t="s">
        <v>86</v>
      </c>
      <c r="D8" s="26">
        <v>44190</v>
      </c>
      <c r="E8" s="21">
        <f t="shared" si="0"/>
        <v>25</v>
      </c>
      <c r="F8" s="21">
        <f t="shared" si="1"/>
        <v>12</v>
      </c>
      <c r="G8" s="21">
        <f t="shared" si="2"/>
        <v>2020</v>
      </c>
      <c r="H8" s="36">
        <f t="shared" ca="1" si="3"/>
        <v>2020</v>
      </c>
    </row>
    <row r="9" spans="1:8" x14ac:dyDescent="0.3">
      <c r="B9" s="23" t="s">
        <v>87</v>
      </c>
      <c r="C9" s="24" t="s">
        <v>88</v>
      </c>
      <c r="D9" s="27">
        <v>44652</v>
      </c>
      <c r="E9" s="21">
        <f t="shared" si="0"/>
        <v>1</v>
      </c>
      <c r="F9" s="21">
        <f t="shared" si="1"/>
        <v>4</v>
      </c>
      <c r="G9" s="21">
        <f t="shared" si="2"/>
        <v>2022</v>
      </c>
      <c r="H9" s="36">
        <f t="shared" ca="1" si="3"/>
        <v>2020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4:D9"/>
  <sheetViews>
    <sheetView workbookViewId="0">
      <selection activeCell="F17" sqref="F17"/>
    </sheetView>
  </sheetViews>
  <sheetFormatPr defaultRowHeight="14.4" x14ac:dyDescent="0.3"/>
  <cols>
    <col min="2" max="2" width="20.44140625" bestFit="1" customWidth="1"/>
    <col min="3" max="3" width="13.5546875" bestFit="1" customWidth="1"/>
    <col min="4" max="4" width="19.77734375" bestFit="1" customWidth="1"/>
  </cols>
  <sheetData>
    <row r="4" spans="2:4" x14ac:dyDescent="0.3">
      <c r="B4" s="9" t="s">
        <v>33</v>
      </c>
      <c r="C4" s="9" t="s">
        <v>18</v>
      </c>
      <c r="D4" s="9" t="s">
        <v>89</v>
      </c>
    </row>
    <row r="5" spans="2:4" x14ac:dyDescent="0.3">
      <c r="B5" s="16" t="s">
        <v>90</v>
      </c>
      <c r="C5" s="31">
        <v>45019</v>
      </c>
      <c r="D5" s="40">
        <f>EOMONTH(C5,3)</f>
        <v>45138</v>
      </c>
    </row>
    <row r="6" spans="2:4" x14ac:dyDescent="0.3">
      <c r="B6" s="20" t="s">
        <v>91</v>
      </c>
      <c r="C6" s="32">
        <v>44875</v>
      </c>
      <c r="D6" s="39">
        <f t="shared" ref="D6:D9" si="0">EOMONTH(C6,3)</f>
        <v>44985</v>
      </c>
    </row>
    <row r="7" spans="2:4" x14ac:dyDescent="0.3">
      <c r="B7" s="20" t="s">
        <v>92</v>
      </c>
      <c r="C7" s="32">
        <v>44461</v>
      </c>
      <c r="D7" s="39">
        <f t="shared" si="0"/>
        <v>44561</v>
      </c>
    </row>
    <row r="8" spans="2:4" x14ac:dyDescent="0.3">
      <c r="B8" s="20" t="s">
        <v>93</v>
      </c>
      <c r="C8" s="32">
        <v>44727</v>
      </c>
      <c r="D8" s="39">
        <f t="shared" si="0"/>
        <v>44834</v>
      </c>
    </row>
    <row r="9" spans="2:4" x14ac:dyDescent="0.3">
      <c r="B9" s="23" t="s">
        <v>94</v>
      </c>
      <c r="C9" s="33">
        <v>44085</v>
      </c>
      <c r="D9" s="39">
        <f t="shared" si="0"/>
        <v>44196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4:E9"/>
  <sheetViews>
    <sheetView workbookViewId="0">
      <selection activeCell="F11" sqref="F11"/>
    </sheetView>
  </sheetViews>
  <sheetFormatPr defaultRowHeight="14.4" x14ac:dyDescent="0.3"/>
  <cols>
    <col min="2" max="2" width="20.44140625" bestFit="1" customWidth="1"/>
    <col min="3" max="3" width="13.5546875" bestFit="1" customWidth="1"/>
    <col min="4" max="4" width="11.5546875" bestFit="1" customWidth="1"/>
    <col min="5" max="5" width="23.88671875" bestFit="1" customWidth="1"/>
  </cols>
  <sheetData>
    <row r="4" spans="2:5" x14ac:dyDescent="0.3">
      <c r="B4" s="6" t="s">
        <v>33</v>
      </c>
      <c r="C4" s="6" t="s">
        <v>18</v>
      </c>
      <c r="D4" s="6" t="s">
        <v>95</v>
      </c>
      <c r="E4" s="6" t="s">
        <v>96</v>
      </c>
    </row>
    <row r="5" spans="2:5" x14ac:dyDescent="0.3">
      <c r="B5" s="13" t="s">
        <v>90</v>
      </c>
      <c r="C5" s="28">
        <v>45019</v>
      </c>
      <c r="D5" s="28">
        <f ca="1">TODAY()</f>
        <v>46080</v>
      </c>
      <c r="E5" s="14">
        <f ca="1">D5-C5</f>
        <v>1061</v>
      </c>
    </row>
    <row r="6" spans="2:5" x14ac:dyDescent="0.3">
      <c r="B6" s="1" t="s">
        <v>91</v>
      </c>
      <c r="C6" s="29">
        <v>44875</v>
      </c>
      <c r="D6" s="29">
        <f ca="1">TODAY()</f>
        <v>46080</v>
      </c>
      <c r="E6" s="14">
        <f t="shared" ref="E6:E9" ca="1" si="0">D6-C6</f>
        <v>1205</v>
      </c>
    </row>
    <row r="7" spans="2:5" x14ac:dyDescent="0.3">
      <c r="B7" s="1" t="s">
        <v>92</v>
      </c>
      <c r="C7" s="29">
        <v>44461</v>
      </c>
      <c r="D7" s="29">
        <f t="shared" ref="D7:D9" ca="1" si="1">TODAY()</f>
        <v>46080</v>
      </c>
      <c r="E7" s="14">
        <f t="shared" ca="1" si="0"/>
        <v>1619</v>
      </c>
    </row>
    <row r="8" spans="2:5" x14ac:dyDescent="0.3">
      <c r="B8" s="1" t="s">
        <v>93</v>
      </c>
      <c r="C8" s="29">
        <v>44727</v>
      </c>
      <c r="D8" s="29">
        <f t="shared" ca="1" si="1"/>
        <v>46080</v>
      </c>
      <c r="E8" s="14">
        <f t="shared" ca="1" si="0"/>
        <v>1353</v>
      </c>
    </row>
    <row r="9" spans="2:5" x14ac:dyDescent="0.3">
      <c r="B9" s="3" t="s">
        <v>94</v>
      </c>
      <c r="C9" s="30">
        <v>44085</v>
      </c>
      <c r="D9" s="30">
        <f t="shared" ca="1" si="1"/>
        <v>46080</v>
      </c>
      <c r="E9" s="14">
        <f t="shared" ca="1" si="0"/>
        <v>1995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5:E16"/>
  <sheetViews>
    <sheetView workbookViewId="0">
      <selection activeCell="D10" sqref="D10"/>
    </sheetView>
  </sheetViews>
  <sheetFormatPr defaultRowHeight="14.4" x14ac:dyDescent="0.3"/>
  <cols>
    <col min="1" max="1" width="9.88671875" bestFit="1" customWidth="1"/>
    <col min="2" max="2" width="13.6640625" bestFit="1" customWidth="1"/>
    <col min="3" max="3" width="15.88671875" bestFit="1" customWidth="1"/>
    <col min="4" max="4" width="31.44140625" bestFit="1" customWidth="1"/>
    <col min="5" max="5" width="15.88671875" bestFit="1" customWidth="1"/>
    <col min="6" max="6" width="31.44140625" bestFit="1" customWidth="1"/>
  </cols>
  <sheetData>
    <row r="5" spans="2:5" x14ac:dyDescent="0.3">
      <c r="B5" s="9" t="s">
        <v>56</v>
      </c>
      <c r="D5" s="6" t="s">
        <v>68</v>
      </c>
      <c r="E5" s="6" t="s">
        <v>69</v>
      </c>
    </row>
    <row r="6" spans="2:5" x14ac:dyDescent="0.3">
      <c r="B6" s="7">
        <v>43882</v>
      </c>
      <c r="D6" s="10">
        <v>43831</v>
      </c>
      <c r="E6" s="11">
        <v>44266</v>
      </c>
    </row>
    <row r="7" spans="2:5" x14ac:dyDescent="0.3">
      <c r="B7" s="7">
        <v>43918</v>
      </c>
    </row>
    <row r="8" spans="2:5" x14ac:dyDescent="0.3">
      <c r="B8" s="7">
        <v>43954</v>
      </c>
      <c r="D8" s="6" t="s">
        <v>70</v>
      </c>
    </row>
    <row r="9" spans="2:5" x14ac:dyDescent="0.3">
      <c r="B9" s="7">
        <v>43990</v>
      </c>
      <c r="D9" s="12">
        <f>NETWORKDAYS(D6,E6,B6:B16)</f>
        <v>305</v>
      </c>
    </row>
    <row r="10" spans="2:5" x14ac:dyDescent="0.3">
      <c r="B10" s="7">
        <v>44026</v>
      </c>
    </row>
    <row r="11" spans="2:5" x14ac:dyDescent="0.3">
      <c r="B11" s="7">
        <v>44062</v>
      </c>
    </row>
    <row r="12" spans="2:5" x14ac:dyDescent="0.3">
      <c r="B12" s="7">
        <v>44098</v>
      </c>
    </row>
    <row r="13" spans="2:5" x14ac:dyDescent="0.3">
      <c r="B13" s="7">
        <v>44134</v>
      </c>
    </row>
    <row r="14" spans="2:5" x14ac:dyDescent="0.3">
      <c r="B14" s="7">
        <v>44170</v>
      </c>
    </row>
    <row r="15" spans="2:5" x14ac:dyDescent="0.3">
      <c r="B15" s="7">
        <v>44206</v>
      </c>
    </row>
    <row r="16" spans="2:5" x14ac:dyDescent="0.3">
      <c r="B16" s="8">
        <v>44242</v>
      </c>
    </row>
  </sheetData>
  <pageMargins left="0.7" right="0.7" top="0.75" bottom="0.75" header="0.3" footer="0.3"/>
  <pageSetup paperSize="9" orientation="portrait" horizontalDpi="0"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C13"/>
  <sheetViews>
    <sheetView tabSelected="1" workbookViewId="0">
      <selection activeCell="I18" sqref="I18"/>
    </sheetView>
  </sheetViews>
  <sheetFormatPr defaultRowHeight="14.4" x14ac:dyDescent="0.3"/>
  <cols>
    <col min="2" max="2" width="13.6640625" bestFit="1" customWidth="1"/>
    <col min="3" max="3" width="15.6640625" customWidth="1"/>
  </cols>
  <sheetData>
    <row r="2" spans="2:3" x14ac:dyDescent="0.3">
      <c r="B2" s="6" t="s">
        <v>97</v>
      </c>
      <c r="C2" s="6" t="s">
        <v>71</v>
      </c>
    </row>
    <row r="3" spans="2:3" x14ac:dyDescent="0.3">
      <c r="B3" s="34">
        <v>43890</v>
      </c>
      <c r="C3" s="2" t="str">
        <f>TEXT(B3,"MMMM-yyyy")</f>
        <v>February-2020</v>
      </c>
    </row>
    <row r="4" spans="2:3" x14ac:dyDescent="0.3">
      <c r="B4" s="34">
        <v>43921</v>
      </c>
      <c r="C4" s="2" t="str">
        <f t="shared" ref="C4:C13" si="0">TEXT(B4,"MMMM-yyyy")</f>
        <v>March-2020</v>
      </c>
    </row>
    <row r="5" spans="2:3" x14ac:dyDescent="0.3">
      <c r="B5" s="34">
        <v>43951</v>
      </c>
      <c r="C5" s="2" t="str">
        <f t="shared" si="0"/>
        <v>April-2020</v>
      </c>
    </row>
    <row r="6" spans="2:3" x14ac:dyDescent="0.3">
      <c r="B6" s="34">
        <v>43982</v>
      </c>
      <c r="C6" s="2" t="str">
        <f t="shared" si="0"/>
        <v>May-2020</v>
      </c>
    </row>
    <row r="7" spans="2:3" x14ac:dyDescent="0.3">
      <c r="B7" s="34">
        <v>44012</v>
      </c>
      <c r="C7" s="2" t="str">
        <f t="shared" si="0"/>
        <v>June-2020</v>
      </c>
    </row>
    <row r="8" spans="2:3" x14ac:dyDescent="0.3">
      <c r="B8" s="34">
        <v>44043</v>
      </c>
      <c r="C8" s="2" t="str">
        <f t="shared" si="0"/>
        <v>July-2020</v>
      </c>
    </row>
    <row r="9" spans="2:3" x14ac:dyDescent="0.3">
      <c r="B9" s="34">
        <v>44074</v>
      </c>
      <c r="C9" s="2" t="str">
        <f t="shared" si="0"/>
        <v>August-2020</v>
      </c>
    </row>
    <row r="10" spans="2:3" x14ac:dyDescent="0.3">
      <c r="B10" s="34">
        <v>44104</v>
      </c>
      <c r="C10" s="2" t="str">
        <f t="shared" si="0"/>
        <v>September-2020</v>
      </c>
    </row>
    <row r="11" spans="2:3" x14ac:dyDescent="0.3">
      <c r="B11" s="34">
        <v>44135</v>
      </c>
      <c r="C11" s="2" t="str">
        <f t="shared" si="0"/>
        <v>October-2020</v>
      </c>
    </row>
    <row r="12" spans="2:3" x14ac:dyDescent="0.3">
      <c r="B12" s="34">
        <v>44165</v>
      </c>
      <c r="C12" s="2" t="str">
        <f t="shared" si="0"/>
        <v>November-2020</v>
      </c>
    </row>
    <row r="13" spans="2:3" x14ac:dyDescent="0.3">
      <c r="B13" s="37">
        <v>44196</v>
      </c>
      <c r="C13" s="2" t="str">
        <f t="shared" si="0"/>
        <v>December-2020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D13"/>
  <sheetViews>
    <sheetView workbookViewId="0">
      <selection activeCell="I16" sqref="I16"/>
    </sheetView>
  </sheetViews>
  <sheetFormatPr defaultRowHeight="14.4" x14ac:dyDescent="0.3"/>
  <cols>
    <col min="2" max="2" width="11.6640625" bestFit="1" customWidth="1"/>
    <col min="3" max="3" width="12.88671875" bestFit="1" customWidth="1"/>
    <col min="4" max="4" width="14.44140625" bestFit="1" customWidth="1"/>
  </cols>
  <sheetData>
    <row r="2" spans="2:4" x14ac:dyDescent="0.3">
      <c r="B2" s="6" t="s">
        <v>72</v>
      </c>
      <c r="C2" s="6" t="s">
        <v>73</v>
      </c>
      <c r="D2" s="6" t="s">
        <v>74</v>
      </c>
    </row>
    <row r="3" spans="2:4" x14ac:dyDescent="0.3">
      <c r="B3" s="1" t="s">
        <v>57</v>
      </c>
      <c r="D3" s="2"/>
    </row>
    <row r="4" spans="2:4" x14ac:dyDescent="0.3">
      <c r="B4" s="1" t="s">
        <v>58</v>
      </c>
      <c r="D4" s="2"/>
    </row>
    <row r="5" spans="2:4" x14ac:dyDescent="0.3">
      <c r="B5" s="1" t="s">
        <v>59</v>
      </c>
      <c r="D5" s="2"/>
    </row>
    <row r="6" spans="2:4" x14ac:dyDescent="0.3">
      <c r="B6" s="1" t="s">
        <v>60</v>
      </c>
      <c r="D6" s="2"/>
    </row>
    <row r="7" spans="2:4" x14ac:dyDescent="0.3">
      <c r="B7" s="1" t="s">
        <v>61</v>
      </c>
      <c r="D7" s="2"/>
    </row>
    <row r="8" spans="2:4" x14ac:dyDescent="0.3">
      <c r="B8" s="1" t="s">
        <v>62</v>
      </c>
      <c r="D8" s="2"/>
    </row>
    <row r="9" spans="2:4" x14ac:dyDescent="0.3">
      <c r="B9" s="1" t="s">
        <v>63</v>
      </c>
      <c r="D9" s="2"/>
    </row>
    <row r="10" spans="2:4" x14ac:dyDescent="0.3">
      <c r="B10" s="1" t="s">
        <v>64</v>
      </c>
      <c r="D10" s="2"/>
    </row>
    <row r="11" spans="2:4" x14ac:dyDescent="0.3">
      <c r="B11" s="1" t="s">
        <v>65</v>
      </c>
      <c r="D11" s="2"/>
    </row>
    <row r="12" spans="2:4" x14ac:dyDescent="0.3">
      <c r="B12" s="1" t="s">
        <v>66</v>
      </c>
      <c r="D12" s="2"/>
    </row>
    <row r="13" spans="2:4" x14ac:dyDescent="0.3">
      <c r="B13" s="3" t="s">
        <v>67</v>
      </c>
      <c r="C13" s="4"/>
      <c r="D13" s="5"/>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D12"/>
  <sheetViews>
    <sheetView workbookViewId="0">
      <selection activeCell="L10" sqref="L10"/>
    </sheetView>
  </sheetViews>
  <sheetFormatPr defaultRowHeight="14.4" x14ac:dyDescent="0.3"/>
  <cols>
    <col min="2" max="2" width="7.109375" bestFit="1" customWidth="1"/>
    <col min="3" max="3" width="13.5546875" bestFit="1" customWidth="1"/>
    <col min="4" max="4" width="9.6640625" bestFit="1" customWidth="1"/>
  </cols>
  <sheetData>
    <row r="2" spans="2:4" x14ac:dyDescent="0.3">
      <c r="B2" s="6" t="s">
        <v>1</v>
      </c>
      <c r="C2" s="6" t="s">
        <v>18</v>
      </c>
      <c r="D2" s="6" t="s">
        <v>75</v>
      </c>
    </row>
    <row r="3" spans="2:4" x14ac:dyDescent="0.3">
      <c r="B3" s="1" t="s">
        <v>6</v>
      </c>
      <c r="C3" t="s">
        <v>23</v>
      </c>
      <c r="D3" s="2"/>
    </row>
    <row r="4" spans="2:4" x14ac:dyDescent="0.3">
      <c r="B4" s="1" t="s">
        <v>7</v>
      </c>
      <c r="C4" t="s">
        <v>24</v>
      </c>
      <c r="D4" s="2"/>
    </row>
    <row r="5" spans="2:4" x14ac:dyDescent="0.3">
      <c r="B5" s="1" t="s">
        <v>8</v>
      </c>
      <c r="C5" t="s">
        <v>25</v>
      </c>
      <c r="D5" s="2"/>
    </row>
    <row r="6" spans="2:4" x14ac:dyDescent="0.3">
      <c r="B6" s="1" t="s">
        <v>9</v>
      </c>
      <c r="C6" t="s">
        <v>26</v>
      </c>
      <c r="D6" s="2"/>
    </row>
    <row r="7" spans="2:4" x14ac:dyDescent="0.3">
      <c r="B7" s="1" t="s">
        <v>10</v>
      </c>
      <c r="C7" t="s">
        <v>27</v>
      </c>
      <c r="D7" s="2"/>
    </row>
    <row r="8" spans="2:4" x14ac:dyDescent="0.3">
      <c r="B8" s="1" t="s">
        <v>11</v>
      </c>
      <c r="C8" t="s">
        <v>28</v>
      </c>
      <c r="D8" s="2"/>
    </row>
    <row r="9" spans="2:4" x14ac:dyDescent="0.3">
      <c r="B9" s="1" t="s">
        <v>12</v>
      </c>
      <c r="C9" t="s">
        <v>29</v>
      </c>
      <c r="D9" s="2"/>
    </row>
    <row r="10" spans="2:4" x14ac:dyDescent="0.3">
      <c r="B10" s="1" t="s">
        <v>13</v>
      </c>
      <c r="C10" t="s">
        <v>30</v>
      </c>
      <c r="D10" s="2"/>
    </row>
    <row r="11" spans="2:4" x14ac:dyDescent="0.3">
      <c r="B11" s="1" t="s">
        <v>14</v>
      </c>
      <c r="C11" t="s">
        <v>31</v>
      </c>
      <c r="D11" s="2"/>
    </row>
    <row r="12" spans="2:4" x14ac:dyDescent="0.3">
      <c r="B12" s="3" t="s">
        <v>15</v>
      </c>
      <c r="C12" s="4" t="s">
        <v>32</v>
      </c>
      <c r="D12" s="5"/>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F13"/>
  <sheetViews>
    <sheetView workbookViewId="0">
      <selection activeCell="G19" sqref="G19"/>
    </sheetView>
  </sheetViews>
  <sheetFormatPr defaultRowHeight="14.4" x14ac:dyDescent="0.3"/>
  <cols>
    <col min="2" max="2" width="20.44140625" bestFit="1" customWidth="1"/>
    <col min="3" max="3" width="13.44140625" bestFit="1" customWidth="1"/>
    <col min="4" max="4" width="24.109375" bestFit="1" customWidth="1"/>
    <col min="5" max="5" width="16.21875" bestFit="1" customWidth="1"/>
    <col min="6" max="6" width="7.44140625" bestFit="1" customWidth="1"/>
  </cols>
  <sheetData>
    <row r="2" spans="2:6" x14ac:dyDescent="0.3">
      <c r="B2" s="6" t="s">
        <v>33</v>
      </c>
      <c r="C2" s="6" t="s">
        <v>76</v>
      </c>
      <c r="D2" s="6" t="s">
        <v>34</v>
      </c>
      <c r="E2" s="6" t="s">
        <v>77</v>
      </c>
      <c r="F2" s="6" t="s">
        <v>78</v>
      </c>
    </row>
    <row r="3" spans="2:6" x14ac:dyDescent="0.3">
      <c r="B3" s="1" t="s">
        <v>35</v>
      </c>
      <c r="C3" t="s">
        <v>46</v>
      </c>
      <c r="F3" s="2"/>
    </row>
    <row r="4" spans="2:6" x14ac:dyDescent="0.3">
      <c r="B4" s="1" t="s">
        <v>36</v>
      </c>
      <c r="C4" t="s">
        <v>23</v>
      </c>
      <c r="F4" s="2"/>
    </row>
    <row r="5" spans="2:6" x14ac:dyDescent="0.3">
      <c r="B5" s="1" t="s">
        <v>37</v>
      </c>
      <c r="C5" t="s">
        <v>47</v>
      </c>
      <c r="F5" s="2"/>
    </row>
    <row r="6" spans="2:6" x14ac:dyDescent="0.3">
      <c r="B6" s="1" t="s">
        <v>38</v>
      </c>
      <c r="C6" t="s">
        <v>48</v>
      </c>
      <c r="F6" s="2"/>
    </row>
    <row r="7" spans="2:6" x14ac:dyDescent="0.3">
      <c r="B7" s="1" t="s">
        <v>39</v>
      </c>
      <c r="C7" t="s">
        <v>49</v>
      </c>
      <c r="F7" s="2"/>
    </row>
    <row r="8" spans="2:6" x14ac:dyDescent="0.3">
      <c r="B8" s="1" t="s">
        <v>40</v>
      </c>
      <c r="C8" t="s">
        <v>50</v>
      </c>
      <c r="F8" s="2"/>
    </row>
    <row r="9" spans="2:6" x14ac:dyDescent="0.3">
      <c r="B9" s="1" t="s">
        <v>41</v>
      </c>
      <c r="C9" t="s">
        <v>51</v>
      </c>
      <c r="F9" s="2"/>
    </row>
    <row r="10" spans="2:6" x14ac:dyDescent="0.3">
      <c r="B10" s="1" t="s">
        <v>42</v>
      </c>
      <c r="C10" t="s">
        <v>52</v>
      </c>
      <c r="F10" s="2"/>
    </row>
    <row r="11" spans="2:6" x14ac:dyDescent="0.3">
      <c r="B11" s="1" t="s">
        <v>43</v>
      </c>
      <c r="C11" t="s">
        <v>53</v>
      </c>
      <c r="F11" s="2"/>
    </row>
    <row r="12" spans="2:6" x14ac:dyDescent="0.3">
      <c r="B12" s="1" t="s">
        <v>44</v>
      </c>
      <c r="C12" t="s">
        <v>54</v>
      </c>
      <c r="F12" s="2"/>
    </row>
    <row r="13" spans="2:6" x14ac:dyDescent="0.3">
      <c r="B13" s="3" t="s">
        <v>45</v>
      </c>
      <c r="C13" s="4" t="s">
        <v>55</v>
      </c>
      <c r="D13" s="4"/>
      <c r="E13" s="4"/>
      <c r="F13" s="5"/>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Extract Time Parts</vt:lpstr>
      <vt:lpstr>Working Hours</vt:lpstr>
      <vt:lpstr>Date Parts</vt:lpstr>
      <vt:lpstr>Probation End Date</vt:lpstr>
      <vt:lpstr>Days in Company</vt:lpstr>
      <vt:lpstr>Working Days Excl Holidays</vt:lpstr>
      <vt:lpstr>Month-Year Format</vt:lpstr>
      <vt:lpstr>Weekday from Date</vt:lpstr>
      <vt:lpstr>Joining Day Name</vt:lpstr>
      <vt:lpstr>Days Worked + Quarter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Kaushiki Sharma</cp:lastModifiedBy>
  <dcterms:created xsi:type="dcterms:W3CDTF">2025-07-24T16:42:18Z</dcterms:created>
  <dcterms:modified xsi:type="dcterms:W3CDTF">2026-02-27T11:46:35Z</dcterms:modified>
</cp:coreProperties>
</file>