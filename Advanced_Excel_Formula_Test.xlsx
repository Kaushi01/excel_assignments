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B33D0E-D72A-44E0-B27F-1A3A0930957F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 Tes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 a="1"/>
  <c r="E13" i="2" s="1"/>
  <c r="C12" i="2" a="1"/>
  <c r="C12" i="2" s="1"/>
  <c r="B27" i="2"/>
  <c r="B6" i="2"/>
  <c r="N2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B31" i="2"/>
  <c r="C31" i="2" s="1"/>
  <c r="B30" i="2" s="1"/>
  <c r="B9" i="2" a="1"/>
  <c r="B9" i="2" s="1"/>
  <c r="B15" i="2"/>
  <c r="B16" i="2" a="1"/>
  <c r="B16" i="2" s="1"/>
  <c r="B21" i="2" a="1"/>
  <c r="B21" i="2" s="1"/>
  <c r="B11" i="2" a="1"/>
  <c r="B11" i="2" s="1"/>
  <c r="B7" i="2"/>
  <c r="C32" i="2"/>
  <c r="B32" i="2"/>
  <c r="B29" i="2"/>
  <c r="B28" i="2" a="1"/>
  <c r="B28" i="2" s="1"/>
  <c r="N3" i="1"/>
  <c r="N4" i="1"/>
  <c r="N2" i="1"/>
  <c r="B26" i="2" a="1"/>
  <c r="B26" i="2" s="1"/>
  <c r="B25" i="2" a="1"/>
  <c r="B25" i="2" s="1"/>
  <c r="B24" i="2"/>
  <c r="B23" i="2"/>
  <c r="D23" i="2"/>
  <c r="D24" i="2"/>
  <c r="D25" i="2"/>
  <c r="D22" i="2"/>
  <c r="C22" i="2" a="1"/>
  <c r="C22" i="2" s="1"/>
  <c r="B20" i="2"/>
  <c r="B19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2" i="1"/>
  <c r="B18" i="2"/>
  <c r="B17" i="2"/>
  <c r="B14" i="2"/>
  <c r="B10" i="2"/>
  <c r="B8" i="2" a="1"/>
  <c r="B8" i="2" s="1"/>
  <c r="B5" i="2"/>
  <c r="B4" i="2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<sst xmlns="http://schemas.openxmlformats.org/spreadsheetml/2006/main" count="646" uniqueCount="88">
  <si>
    <t>OrderID</t>
  </si>
  <si>
    <t>OrderDate</t>
  </si>
  <si>
    <t>Customer</t>
  </si>
  <si>
    <t>Region</t>
  </si>
  <si>
    <t>Category</t>
  </si>
  <si>
    <t>Product</t>
  </si>
  <si>
    <t>Quantity</t>
  </si>
  <si>
    <t>UnitPrice</t>
  </si>
  <si>
    <t>DiscountPct</t>
  </si>
  <si>
    <t>SalesRep</t>
  </si>
  <si>
    <t>Aarav Mehta</t>
  </si>
  <si>
    <t>North</t>
  </si>
  <si>
    <t>Home</t>
  </si>
  <si>
    <t>Storage Box</t>
  </si>
  <si>
    <t>Vikram</t>
  </si>
  <si>
    <t>Aditya Iyer</t>
  </si>
  <si>
    <t>West</t>
  </si>
  <si>
    <t>Apparel</t>
  </si>
  <si>
    <t>Cotton T-Shirt</t>
  </si>
  <si>
    <t>Sneha</t>
  </si>
  <si>
    <t>Nisha Reddy</t>
  </si>
  <si>
    <t>Electronics</t>
  </si>
  <si>
    <t>Wireless Mouse</t>
  </si>
  <si>
    <t>Amit</t>
  </si>
  <si>
    <t>South</t>
  </si>
  <si>
    <t>Sports</t>
  </si>
  <si>
    <t>Water Bottle</t>
  </si>
  <si>
    <t>Priya</t>
  </si>
  <si>
    <t>Diya Kapoor</t>
  </si>
  <si>
    <t>Bluetooth Speaker</t>
  </si>
  <si>
    <t>Beauty</t>
  </si>
  <si>
    <t>Shampoo</t>
  </si>
  <si>
    <t>Rohan Gupta</t>
  </si>
  <si>
    <t>East</t>
  </si>
  <si>
    <t>Jump Rope</t>
  </si>
  <si>
    <t>Wall Clock</t>
  </si>
  <si>
    <t>Yoga Mat</t>
  </si>
  <si>
    <t>Ishaan Rao</t>
  </si>
  <si>
    <t>Hand Cream</t>
  </si>
  <si>
    <t>Resistance Band</t>
  </si>
  <si>
    <t>Kavya Nair</t>
  </si>
  <si>
    <t>Denim Jacket</t>
  </si>
  <si>
    <t>Rahul</t>
  </si>
  <si>
    <t>Table Lamp</t>
  </si>
  <si>
    <t>Sanjay Verma</t>
  </si>
  <si>
    <t>Face Serum</t>
  </si>
  <si>
    <t>Meera Pillai</t>
  </si>
  <si>
    <t>USB Charger</t>
  </si>
  <si>
    <t>Running Shorts</t>
  </si>
  <si>
    <t>Wool Sweater</t>
  </si>
  <si>
    <t>Tanvi Joshi</t>
  </si>
  <si>
    <t>Laptop Stand</t>
  </si>
  <si>
    <t>Throw Pillow</t>
  </si>
  <si>
    <t>Lip Balm</t>
  </si>
  <si>
    <t>Advanced Excel Formula Test</t>
  </si>
  <si>
    <t>Use the Data sheet (rows 2-121) as your source. Write one formula per answer cell in column B.</t>
  </si>
  <si>
    <t>Q1. Total revenue (Quantity x UnitPrice) for the 'Electronics' category in the 'North' region.</t>
  </si>
  <si>
    <t>Q2. Count of orders placed by SalesRep 'Priya' with a DiscountPct greater than 10.</t>
  </si>
  <si>
    <t>Q3. Look up the Product name for OrderID 1050, with a safe fallback if it isn't found.</t>
  </si>
  <si>
    <t>Q4. Average UnitPrice for 'Apparel' products sold by 'Rahul'.</t>
  </si>
  <si>
    <t>Q5. Total revenue after discount (Quantity x UnitPrice x (1-DiscountPct/100)) across the entire dataset, without adding a helper column.</t>
  </si>
  <si>
    <t>Q6. Classify OrderID 1000's order as 'Small' (Quantity&lt;=3), 'Medium' (4-6), or 'Large' (7+).</t>
  </si>
  <si>
    <t>Q8. Return the UnitPrice where Region='South' and Product='Yoga Mat', using an array-style match (no helper column).</t>
  </si>
  <si>
    <t>Q9. Return a unique, alphabetically sorted list of all SalesReps as a spilled array.</t>
  </si>
  <si>
    <t>Q10. Return all OrderIDs where Region='West' AND DiscountPct=0, as a spilled array.</t>
  </si>
  <si>
    <t>Q11. Count how many Product names contain the word 'Band' anywhere in the dataset (case-insensitive).</t>
  </si>
  <si>
    <t>Q12. Find the SalesRep with the highest total revenue in the 'Beauty' category, using formulas only (no pivot table).</t>
  </si>
  <si>
    <t>Q13. Calculate the total number of unique customers who placed at least one order in the 'East' region.</t>
  </si>
  <si>
    <t>Q14. Find the second-highest UnitPrice in the entire dataset.</t>
  </si>
  <si>
    <t>Q15. Return the Customer name associated with the highest single-order revenue (Quantity x UnitPrice).</t>
  </si>
  <si>
    <t>Q16. Count the number of orders placed in Q1 2025 (Jan-Mar).</t>
  </si>
  <si>
    <t>Q17. Calculate the percentage of total orders that had a DiscountPct of 0.</t>
  </si>
  <si>
    <t>Q18. Return the most frequently ordered Product overall.</t>
  </si>
  <si>
    <t>Q19. Find the total revenue generated by each Region, broken out into a small 4-row summary table using formulas (not a pivot table).</t>
  </si>
  <si>
    <t>Q20. Extract just the day of the week (e.g. 'Monday') for the OrderDate of OrderID 1025.</t>
  </si>
  <si>
    <t>Q21. Return the average order value (Quantity x UnitPrice) for orders with Quantity greater than 5.</t>
  </si>
  <si>
    <t>Q22. Find the SalesRep who has processed the most orders overall.</t>
  </si>
  <si>
    <t>Q23. Return the number of distinct Products sold in the 'Home' category.</t>
  </si>
  <si>
    <t>Q24. Calculate the running total of revenue as of OrderID 1020 (i.e. cumulative revenue from OrderID 1000 through 1020).</t>
  </si>
  <si>
    <t>Q25. Return TRUE or FALSE for whether every order for SalesRep 'Sneha' has a DiscountPct under 20.</t>
  </si>
  <si>
    <t>Q26. Concatenate the Customer name and Region into a single string separated by a hyphen for OrderID 1005 (e.g. 'Aarav Mehta-North').</t>
  </si>
  <si>
    <t>Q27. Find the earliest and latest OrderDate in the dataset, displayed as a single text string like 'Jan-2025 to Dec-2025'.</t>
  </si>
  <si>
    <t>total_revenue</t>
  </si>
  <si>
    <t>Q7. Extract the month name and year (e.g. 'March 2025') from the OrderDate of OrderID 1010</t>
  </si>
  <si>
    <t>quarter</t>
  </si>
  <si>
    <t>done in right</t>
  </si>
  <si>
    <t>running</t>
  </si>
  <si>
    <t>ans10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</si>
</sst>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Arial"/>
      <charset val="1"/>
    </font>
    <font>
      <b/>
      <sz val="14"/>
      <name val="Arial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0" fillId="0" borderId="0" xfId="0" applyNumberFormat="1"/>
    <xf numFmtId="4" fontId="0" fillId="0" borderId="0" xfId="0" applyNumberFormat="1"/>
    <xf numFmtId="0" fontId="3" fillId="0" borderId="0" xfId="0" applyFont="1"/>
    <xf numFmtId="0" fontId="4" fillId="0" borderId="0" xfId="0" applyFont="1"/>
    <xf numFmtId="9" fontId="1" fillId="0" borderId="0" xfId="1"/>
    <xf numFmtId="2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zoomScaleNormal="100" workbookViewId="0">
      <selection activeCell="N22" sqref="N22"/>
    </sheetView>
  </sheetViews>
  <sheetFormatPr defaultColWidth="8.6640625" defaultRowHeight="14.4" x14ac:dyDescent="0.3"/>
  <cols>
    <col min="1" max="1" width="8.5546875" bestFit="1" customWidth="1"/>
    <col min="2" max="2" width="11.88671875" bestFit="1" customWidth="1"/>
    <col min="3" max="3" width="12" bestFit="1" customWidth="1"/>
    <col min="4" max="4" width="7.88671875" bestFit="1" customWidth="1"/>
    <col min="5" max="5" width="9.88671875" bestFit="1" customWidth="1"/>
    <col min="6" max="6" width="16.109375" bestFit="1" customWidth="1"/>
    <col min="7" max="7" width="9.21875" bestFit="1" customWidth="1"/>
    <col min="8" max="8" width="9.88671875" bestFit="1" customWidth="1"/>
    <col min="9" max="9" width="12.6640625" bestFit="1" customWidth="1"/>
    <col min="10" max="10" width="10.21875" bestFit="1" customWidth="1"/>
    <col min="12" max="12" width="14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82</v>
      </c>
      <c r="M1" s="1" t="s">
        <v>84</v>
      </c>
      <c r="N1" s="1" t="s">
        <v>86</v>
      </c>
    </row>
    <row r="2" spans="1:14" x14ac:dyDescent="0.3">
      <c r="A2">
        <v>1000</v>
      </c>
      <c r="B2" s="2">
        <v>45860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 s="3">
        <v>1740.75</v>
      </c>
      <c r="I2">
        <v>0</v>
      </c>
      <c r="J2" t="s">
        <v>14</v>
      </c>
      <c r="L2">
        <f>G2*H2</f>
        <v>3481.5</v>
      </c>
      <c r="M2">
        <f>ROUNDUP(MONTH(B2)/3,0)</f>
        <v>3</v>
      </c>
      <c r="N2">
        <f>SUM($L$2:L2)</f>
        <v>3481.5</v>
      </c>
    </row>
    <row r="3" spans="1:14" x14ac:dyDescent="0.3">
      <c r="A3">
        <v>1001</v>
      </c>
      <c r="B3" s="2">
        <v>45702</v>
      </c>
      <c r="C3" t="s">
        <v>15</v>
      </c>
      <c r="D3" t="s">
        <v>16</v>
      </c>
      <c r="E3" t="s">
        <v>17</v>
      </c>
      <c r="F3" t="s">
        <v>18</v>
      </c>
      <c r="G3">
        <v>2</v>
      </c>
      <c r="H3" s="3">
        <v>1196.8800000000001</v>
      </c>
      <c r="I3">
        <v>10</v>
      </c>
      <c r="J3" t="s">
        <v>19</v>
      </c>
      <c r="L3">
        <f t="shared" ref="L3:L66" si="0">G3*H3</f>
        <v>2393.7600000000002</v>
      </c>
      <c r="M3">
        <f t="shared" ref="M3:M66" si="1">ROUNDUP(MONTH(B3)/3,0)</f>
        <v>1</v>
      </c>
      <c r="N3">
        <f>SUM($L$2:L3)</f>
        <v>5875.26</v>
      </c>
    </row>
    <row r="4" spans="1:14" x14ac:dyDescent="0.3">
      <c r="A4">
        <v>1002</v>
      </c>
      <c r="B4" s="2">
        <v>45772</v>
      </c>
      <c r="C4" t="s">
        <v>20</v>
      </c>
      <c r="D4" t="s">
        <v>11</v>
      </c>
      <c r="E4" t="s">
        <v>21</v>
      </c>
      <c r="F4" t="s">
        <v>22</v>
      </c>
      <c r="G4">
        <v>7</v>
      </c>
      <c r="H4" s="3">
        <v>365.71</v>
      </c>
      <c r="I4">
        <v>0</v>
      </c>
      <c r="J4" t="s">
        <v>23</v>
      </c>
      <c r="L4">
        <f t="shared" si="0"/>
        <v>2559.9699999999998</v>
      </c>
      <c r="M4">
        <f t="shared" si="1"/>
        <v>2</v>
      </c>
      <c r="N4">
        <f>SUM($L$2:L4)</f>
        <v>8435.23</v>
      </c>
    </row>
    <row r="5" spans="1:14" x14ac:dyDescent="0.3">
      <c r="A5">
        <v>1003</v>
      </c>
      <c r="B5" s="2">
        <v>45806</v>
      </c>
      <c r="C5" t="s">
        <v>15</v>
      </c>
      <c r="D5" t="s">
        <v>24</v>
      </c>
      <c r="E5" t="s">
        <v>25</v>
      </c>
      <c r="F5" t="s">
        <v>26</v>
      </c>
      <c r="G5">
        <v>2</v>
      </c>
      <c r="H5" s="3">
        <v>2633.47</v>
      </c>
      <c r="I5">
        <v>10</v>
      </c>
      <c r="J5" t="s">
        <v>27</v>
      </c>
      <c r="L5">
        <f t="shared" si="0"/>
        <v>5266.94</v>
      </c>
      <c r="M5">
        <f t="shared" si="1"/>
        <v>2</v>
      </c>
      <c r="N5">
        <f>SUM($L$2:L5)</f>
        <v>13702.169999999998</v>
      </c>
    </row>
    <row r="6" spans="1:14" x14ac:dyDescent="0.3">
      <c r="A6">
        <v>1004</v>
      </c>
      <c r="B6" s="2">
        <v>45848</v>
      </c>
      <c r="C6" t="s">
        <v>28</v>
      </c>
      <c r="D6" t="s">
        <v>11</v>
      </c>
      <c r="E6" t="s">
        <v>21</v>
      </c>
      <c r="F6" t="s">
        <v>29</v>
      </c>
      <c r="G6">
        <v>1</v>
      </c>
      <c r="H6" s="3">
        <v>2842.69</v>
      </c>
      <c r="I6">
        <v>5</v>
      </c>
      <c r="J6" t="s">
        <v>14</v>
      </c>
      <c r="L6">
        <f t="shared" si="0"/>
        <v>2842.69</v>
      </c>
      <c r="M6">
        <f t="shared" si="1"/>
        <v>3</v>
      </c>
      <c r="N6">
        <f>SUM($L$2:L6)</f>
        <v>16544.859999999997</v>
      </c>
    </row>
    <row r="7" spans="1:14" x14ac:dyDescent="0.3">
      <c r="A7">
        <v>1005</v>
      </c>
      <c r="B7" s="2">
        <v>45896</v>
      </c>
      <c r="C7" t="s">
        <v>20</v>
      </c>
      <c r="D7" t="s">
        <v>16</v>
      </c>
      <c r="E7" t="s">
        <v>30</v>
      </c>
      <c r="F7" t="s">
        <v>31</v>
      </c>
      <c r="G7">
        <v>6</v>
      </c>
      <c r="H7" s="3">
        <v>1453.99</v>
      </c>
      <c r="I7">
        <v>20</v>
      </c>
      <c r="J7" t="s">
        <v>27</v>
      </c>
      <c r="L7">
        <f t="shared" si="0"/>
        <v>8723.94</v>
      </c>
      <c r="M7">
        <f t="shared" si="1"/>
        <v>3</v>
      </c>
      <c r="N7">
        <f>SUM($L$2:L7)</f>
        <v>25268.799999999996</v>
      </c>
    </row>
    <row r="8" spans="1:14" x14ac:dyDescent="0.3">
      <c r="A8">
        <v>1006</v>
      </c>
      <c r="B8" s="2">
        <v>45952</v>
      </c>
      <c r="C8" t="s">
        <v>32</v>
      </c>
      <c r="D8" t="s">
        <v>16</v>
      </c>
      <c r="E8" t="s">
        <v>17</v>
      </c>
      <c r="F8" t="s">
        <v>18</v>
      </c>
      <c r="G8">
        <v>6</v>
      </c>
      <c r="H8" s="3">
        <v>3323.09</v>
      </c>
      <c r="I8">
        <v>0</v>
      </c>
      <c r="J8" t="s">
        <v>14</v>
      </c>
      <c r="L8">
        <f t="shared" si="0"/>
        <v>19938.54</v>
      </c>
      <c r="M8">
        <f t="shared" si="1"/>
        <v>4</v>
      </c>
      <c r="N8">
        <f>SUM($L$2:L8)</f>
        <v>45207.34</v>
      </c>
    </row>
    <row r="9" spans="1:14" x14ac:dyDescent="0.3">
      <c r="A9">
        <v>1007</v>
      </c>
      <c r="B9" s="2">
        <v>45920</v>
      </c>
      <c r="C9" t="s">
        <v>15</v>
      </c>
      <c r="D9" t="s">
        <v>24</v>
      </c>
      <c r="E9" t="s">
        <v>21</v>
      </c>
      <c r="F9" t="s">
        <v>22</v>
      </c>
      <c r="G9">
        <v>6</v>
      </c>
      <c r="H9" s="3">
        <v>811.13</v>
      </c>
      <c r="I9">
        <v>5</v>
      </c>
      <c r="J9" t="s">
        <v>19</v>
      </c>
      <c r="L9">
        <f t="shared" si="0"/>
        <v>4866.78</v>
      </c>
      <c r="M9">
        <f t="shared" si="1"/>
        <v>3</v>
      </c>
      <c r="N9">
        <f>SUM($L$2:L9)</f>
        <v>50074.119999999995</v>
      </c>
    </row>
    <row r="10" spans="1:14" x14ac:dyDescent="0.3">
      <c r="A10">
        <v>1008</v>
      </c>
      <c r="B10" s="2">
        <v>45943</v>
      </c>
      <c r="C10" t="s">
        <v>20</v>
      </c>
      <c r="D10" t="s">
        <v>33</v>
      </c>
      <c r="E10" t="s">
        <v>21</v>
      </c>
      <c r="F10" t="s">
        <v>22</v>
      </c>
      <c r="G10">
        <v>6</v>
      </c>
      <c r="H10" s="3">
        <v>3174.53</v>
      </c>
      <c r="I10">
        <v>10</v>
      </c>
      <c r="J10" t="s">
        <v>19</v>
      </c>
      <c r="L10">
        <f t="shared" si="0"/>
        <v>19047.18</v>
      </c>
      <c r="M10">
        <f t="shared" si="1"/>
        <v>4</v>
      </c>
      <c r="N10">
        <f>SUM($L$2:L10)</f>
        <v>69121.299999999988</v>
      </c>
    </row>
    <row r="11" spans="1:14" x14ac:dyDescent="0.3">
      <c r="A11">
        <v>1009</v>
      </c>
      <c r="B11" s="2">
        <v>45693</v>
      </c>
      <c r="C11" t="s">
        <v>28</v>
      </c>
      <c r="D11" t="s">
        <v>33</v>
      </c>
      <c r="E11" t="s">
        <v>25</v>
      </c>
      <c r="F11" t="s">
        <v>34</v>
      </c>
      <c r="G11">
        <v>8</v>
      </c>
      <c r="H11" s="3">
        <v>3182.13</v>
      </c>
      <c r="I11">
        <v>0</v>
      </c>
      <c r="J11" t="s">
        <v>23</v>
      </c>
      <c r="L11">
        <f t="shared" si="0"/>
        <v>25457.040000000001</v>
      </c>
      <c r="M11">
        <f t="shared" si="1"/>
        <v>1</v>
      </c>
      <c r="N11">
        <f>SUM($L$2:L11)</f>
        <v>94578.34</v>
      </c>
    </row>
    <row r="12" spans="1:14" x14ac:dyDescent="0.3">
      <c r="A12">
        <v>1010</v>
      </c>
      <c r="B12" s="2">
        <v>45803</v>
      </c>
      <c r="C12" t="s">
        <v>15</v>
      </c>
      <c r="D12" t="s">
        <v>33</v>
      </c>
      <c r="E12" t="s">
        <v>12</v>
      </c>
      <c r="F12" t="s">
        <v>35</v>
      </c>
      <c r="G12">
        <v>1</v>
      </c>
      <c r="H12" s="3">
        <v>4241.82</v>
      </c>
      <c r="I12">
        <v>0</v>
      </c>
      <c r="J12" t="s">
        <v>27</v>
      </c>
      <c r="L12">
        <f t="shared" si="0"/>
        <v>4241.82</v>
      </c>
      <c r="M12">
        <f t="shared" si="1"/>
        <v>2</v>
      </c>
      <c r="N12">
        <f>SUM($L$2:L12)</f>
        <v>98820.160000000003</v>
      </c>
    </row>
    <row r="13" spans="1:14" x14ac:dyDescent="0.3">
      <c r="A13">
        <v>1011</v>
      </c>
      <c r="B13" s="2">
        <v>45910</v>
      </c>
      <c r="C13" t="s">
        <v>10</v>
      </c>
      <c r="D13" t="s">
        <v>24</v>
      </c>
      <c r="E13" t="s">
        <v>25</v>
      </c>
      <c r="F13" t="s">
        <v>36</v>
      </c>
      <c r="G13">
        <v>5</v>
      </c>
      <c r="H13" s="3">
        <v>712.63</v>
      </c>
      <c r="I13">
        <v>0</v>
      </c>
      <c r="J13" t="s">
        <v>19</v>
      </c>
      <c r="L13">
        <f t="shared" si="0"/>
        <v>3563.15</v>
      </c>
      <c r="M13">
        <f t="shared" si="1"/>
        <v>3</v>
      </c>
      <c r="N13">
        <f>SUM($L$2:L13)</f>
        <v>102383.31</v>
      </c>
    </row>
    <row r="14" spans="1:14" x14ac:dyDescent="0.3">
      <c r="A14">
        <v>1012</v>
      </c>
      <c r="B14" s="2">
        <v>45699</v>
      </c>
      <c r="C14" t="s">
        <v>37</v>
      </c>
      <c r="D14" t="s">
        <v>16</v>
      </c>
      <c r="E14" t="s">
        <v>30</v>
      </c>
      <c r="F14" t="s">
        <v>38</v>
      </c>
      <c r="G14">
        <v>7</v>
      </c>
      <c r="H14" s="3">
        <v>2540.06</v>
      </c>
      <c r="I14">
        <v>0</v>
      </c>
      <c r="J14" t="s">
        <v>19</v>
      </c>
      <c r="L14">
        <f t="shared" si="0"/>
        <v>17780.419999999998</v>
      </c>
      <c r="M14">
        <f t="shared" si="1"/>
        <v>1</v>
      </c>
      <c r="N14">
        <f>SUM($L$2:L14)</f>
        <v>120163.73</v>
      </c>
    </row>
    <row r="15" spans="1:14" x14ac:dyDescent="0.3">
      <c r="A15">
        <v>1013</v>
      </c>
      <c r="B15" s="2">
        <v>46019</v>
      </c>
      <c r="C15" t="s">
        <v>15</v>
      </c>
      <c r="D15" t="s">
        <v>33</v>
      </c>
      <c r="E15" t="s">
        <v>25</v>
      </c>
      <c r="F15" t="s">
        <v>39</v>
      </c>
      <c r="G15">
        <v>7</v>
      </c>
      <c r="H15" s="3">
        <v>4316.13</v>
      </c>
      <c r="I15">
        <v>0</v>
      </c>
      <c r="J15" t="s">
        <v>23</v>
      </c>
      <c r="L15">
        <f t="shared" si="0"/>
        <v>30212.91</v>
      </c>
      <c r="M15">
        <f t="shared" si="1"/>
        <v>4</v>
      </c>
      <c r="N15">
        <f>SUM($L$2:L15)</f>
        <v>150376.63999999998</v>
      </c>
    </row>
    <row r="16" spans="1:14" x14ac:dyDescent="0.3">
      <c r="A16">
        <v>1014</v>
      </c>
      <c r="B16" s="2">
        <v>45776</v>
      </c>
      <c r="C16" t="s">
        <v>40</v>
      </c>
      <c r="D16" t="s">
        <v>11</v>
      </c>
      <c r="E16" t="s">
        <v>17</v>
      </c>
      <c r="F16" t="s">
        <v>41</v>
      </c>
      <c r="G16">
        <v>8</v>
      </c>
      <c r="H16" s="3">
        <v>3765.26</v>
      </c>
      <c r="I16">
        <v>0</v>
      </c>
      <c r="J16" t="s">
        <v>42</v>
      </c>
      <c r="L16">
        <f t="shared" si="0"/>
        <v>30122.080000000002</v>
      </c>
      <c r="M16">
        <f t="shared" si="1"/>
        <v>2</v>
      </c>
      <c r="N16">
        <f>SUM($L$2:L16)</f>
        <v>180498.71999999997</v>
      </c>
    </row>
    <row r="17" spans="1:14" x14ac:dyDescent="0.3">
      <c r="A17">
        <v>1015</v>
      </c>
      <c r="B17" s="2">
        <v>45732</v>
      </c>
      <c r="C17" t="s">
        <v>15</v>
      </c>
      <c r="D17" t="s">
        <v>33</v>
      </c>
      <c r="E17" t="s">
        <v>12</v>
      </c>
      <c r="F17" t="s">
        <v>43</v>
      </c>
      <c r="G17">
        <v>6</v>
      </c>
      <c r="H17" s="3">
        <v>4295.9799999999996</v>
      </c>
      <c r="I17">
        <v>15</v>
      </c>
      <c r="J17" t="s">
        <v>14</v>
      </c>
      <c r="L17">
        <f t="shared" si="0"/>
        <v>25775.879999999997</v>
      </c>
      <c r="M17">
        <f t="shared" si="1"/>
        <v>1</v>
      </c>
      <c r="N17">
        <f>SUM($L$2:L17)</f>
        <v>206274.59999999998</v>
      </c>
    </row>
    <row r="18" spans="1:14" x14ac:dyDescent="0.3">
      <c r="A18">
        <v>1016</v>
      </c>
      <c r="B18" s="2">
        <v>45891</v>
      </c>
      <c r="C18" t="s">
        <v>44</v>
      </c>
      <c r="D18" t="s">
        <v>16</v>
      </c>
      <c r="E18" t="s">
        <v>25</v>
      </c>
      <c r="F18" t="s">
        <v>36</v>
      </c>
      <c r="G18">
        <v>7</v>
      </c>
      <c r="H18" s="3">
        <v>1885.56</v>
      </c>
      <c r="I18">
        <v>0</v>
      </c>
      <c r="J18" t="s">
        <v>19</v>
      </c>
      <c r="L18">
        <f t="shared" si="0"/>
        <v>13198.92</v>
      </c>
      <c r="M18">
        <f t="shared" si="1"/>
        <v>3</v>
      </c>
      <c r="N18">
        <f>SUM($L$2:L18)</f>
        <v>219473.52</v>
      </c>
    </row>
    <row r="19" spans="1:14" x14ac:dyDescent="0.3">
      <c r="A19">
        <v>1017</v>
      </c>
      <c r="B19" s="2">
        <v>45755</v>
      </c>
      <c r="C19" t="s">
        <v>28</v>
      </c>
      <c r="D19" t="s">
        <v>24</v>
      </c>
      <c r="E19" t="s">
        <v>30</v>
      </c>
      <c r="F19" t="s">
        <v>45</v>
      </c>
      <c r="G19">
        <v>8</v>
      </c>
      <c r="H19" s="3">
        <v>856.02</v>
      </c>
      <c r="I19">
        <v>0</v>
      </c>
      <c r="J19" t="s">
        <v>14</v>
      </c>
      <c r="L19">
        <f t="shared" si="0"/>
        <v>6848.16</v>
      </c>
      <c r="M19">
        <f t="shared" si="1"/>
        <v>2</v>
      </c>
      <c r="N19">
        <f>SUM($L$2:L19)</f>
        <v>226321.68</v>
      </c>
    </row>
    <row r="20" spans="1:14" x14ac:dyDescent="0.3">
      <c r="A20">
        <v>1018</v>
      </c>
      <c r="B20" s="2">
        <v>45658</v>
      </c>
      <c r="C20" t="s">
        <v>20</v>
      </c>
      <c r="D20" t="s">
        <v>24</v>
      </c>
      <c r="E20" t="s">
        <v>21</v>
      </c>
      <c r="F20" t="s">
        <v>22</v>
      </c>
      <c r="G20">
        <v>2</v>
      </c>
      <c r="H20" s="3">
        <v>4277.93</v>
      </c>
      <c r="I20">
        <v>10</v>
      </c>
      <c r="J20" t="s">
        <v>23</v>
      </c>
      <c r="L20">
        <f t="shared" si="0"/>
        <v>8555.86</v>
      </c>
      <c r="M20">
        <f t="shared" si="1"/>
        <v>1</v>
      </c>
      <c r="N20">
        <f>SUM($L$2:L20)</f>
        <v>234877.53999999998</v>
      </c>
    </row>
    <row r="21" spans="1:14" x14ac:dyDescent="0.3">
      <c r="A21">
        <v>1019</v>
      </c>
      <c r="B21" s="2">
        <v>45972</v>
      </c>
      <c r="C21" t="s">
        <v>15</v>
      </c>
      <c r="D21" t="s">
        <v>24</v>
      </c>
      <c r="E21" t="s">
        <v>21</v>
      </c>
      <c r="F21" t="s">
        <v>29</v>
      </c>
      <c r="G21">
        <v>5</v>
      </c>
      <c r="H21" s="3">
        <v>4306.29</v>
      </c>
      <c r="I21">
        <v>10</v>
      </c>
      <c r="J21" t="s">
        <v>42</v>
      </c>
      <c r="L21">
        <f t="shared" si="0"/>
        <v>21531.45</v>
      </c>
      <c r="M21">
        <f t="shared" si="1"/>
        <v>4</v>
      </c>
      <c r="N21">
        <f>SUM($L$2:L21)</f>
        <v>256408.99</v>
      </c>
    </row>
    <row r="22" spans="1:14" x14ac:dyDescent="0.3">
      <c r="A22">
        <v>1020</v>
      </c>
      <c r="B22" s="2">
        <v>45717</v>
      </c>
      <c r="C22" t="s">
        <v>46</v>
      </c>
      <c r="D22" t="s">
        <v>16</v>
      </c>
      <c r="E22" t="s">
        <v>30</v>
      </c>
      <c r="F22" t="s">
        <v>45</v>
      </c>
      <c r="G22">
        <v>8</v>
      </c>
      <c r="H22" s="3">
        <v>2254.6799999999998</v>
      </c>
      <c r="I22">
        <v>0</v>
      </c>
      <c r="J22" t="s">
        <v>27</v>
      </c>
      <c r="L22">
        <f t="shared" si="0"/>
        <v>18037.439999999999</v>
      </c>
      <c r="M22">
        <f t="shared" si="1"/>
        <v>1</v>
      </c>
      <c r="N22">
        <f>SUM($L$2:L22)</f>
        <v>274446.43</v>
      </c>
    </row>
    <row r="23" spans="1:14" x14ac:dyDescent="0.3">
      <c r="A23">
        <v>1021</v>
      </c>
      <c r="B23" s="2">
        <v>45793</v>
      </c>
      <c r="C23" t="s">
        <v>46</v>
      </c>
      <c r="D23" t="s">
        <v>24</v>
      </c>
      <c r="E23" t="s">
        <v>21</v>
      </c>
      <c r="F23" t="s">
        <v>47</v>
      </c>
      <c r="G23">
        <v>1</v>
      </c>
      <c r="H23" s="3">
        <v>1042.69</v>
      </c>
      <c r="I23">
        <v>10</v>
      </c>
      <c r="J23" t="s">
        <v>42</v>
      </c>
      <c r="L23">
        <f t="shared" si="0"/>
        <v>1042.69</v>
      </c>
      <c r="M23">
        <f t="shared" si="1"/>
        <v>2</v>
      </c>
    </row>
    <row r="24" spans="1:14" x14ac:dyDescent="0.3">
      <c r="A24">
        <v>1022</v>
      </c>
      <c r="B24" s="2">
        <v>45928</v>
      </c>
      <c r="C24" t="s">
        <v>32</v>
      </c>
      <c r="D24" t="s">
        <v>11</v>
      </c>
      <c r="E24" t="s">
        <v>17</v>
      </c>
      <c r="F24" t="s">
        <v>18</v>
      </c>
      <c r="G24">
        <v>5</v>
      </c>
      <c r="H24" s="3">
        <v>2405.0300000000002</v>
      </c>
      <c r="I24">
        <v>0</v>
      </c>
      <c r="J24" t="s">
        <v>42</v>
      </c>
      <c r="L24">
        <f t="shared" si="0"/>
        <v>12025.150000000001</v>
      </c>
      <c r="M24">
        <f t="shared" si="1"/>
        <v>3</v>
      </c>
    </row>
    <row r="25" spans="1:14" x14ac:dyDescent="0.3">
      <c r="A25">
        <v>1023</v>
      </c>
      <c r="B25" s="2">
        <v>45983</v>
      </c>
      <c r="C25" t="s">
        <v>40</v>
      </c>
      <c r="D25" t="s">
        <v>24</v>
      </c>
      <c r="E25" t="s">
        <v>17</v>
      </c>
      <c r="F25" t="s">
        <v>48</v>
      </c>
      <c r="G25">
        <v>4</v>
      </c>
      <c r="H25" s="3">
        <v>3709.75</v>
      </c>
      <c r="I25">
        <v>15</v>
      </c>
      <c r="J25" t="s">
        <v>27</v>
      </c>
      <c r="L25">
        <f t="shared" si="0"/>
        <v>14839</v>
      </c>
      <c r="M25">
        <f t="shared" si="1"/>
        <v>4</v>
      </c>
    </row>
    <row r="26" spans="1:14" x14ac:dyDescent="0.3">
      <c r="A26">
        <v>1024</v>
      </c>
      <c r="B26" s="2">
        <v>45840</v>
      </c>
      <c r="C26" t="s">
        <v>10</v>
      </c>
      <c r="D26" t="s">
        <v>11</v>
      </c>
      <c r="E26" t="s">
        <v>17</v>
      </c>
      <c r="F26" t="s">
        <v>49</v>
      </c>
      <c r="G26">
        <v>5</v>
      </c>
      <c r="H26" s="3">
        <v>2204.2399999999998</v>
      </c>
      <c r="I26">
        <v>0</v>
      </c>
      <c r="J26" t="s">
        <v>14</v>
      </c>
      <c r="L26">
        <f t="shared" si="0"/>
        <v>11021.199999999999</v>
      </c>
      <c r="M26">
        <f t="shared" si="1"/>
        <v>3</v>
      </c>
    </row>
    <row r="27" spans="1:14" x14ac:dyDescent="0.3">
      <c r="A27">
        <v>1025</v>
      </c>
      <c r="B27" s="2">
        <v>45836</v>
      </c>
      <c r="C27" t="s">
        <v>50</v>
      </c>
      <c r="D27" t="s">
        <v>11</v>
      </c>
      <c r="E27" t="s">
        <v>12</v>
      </c>
      <c r="F27" t="s">
        <v>35</v>
      </c>
      <c r="G27">
        <v>4</v>
      </c>
      <c r="H27" s="3">
        <v>594.38</v>
      </c>
      <c r="I27">
        <v>5</v>
      </c>
      <c r="J27" t="s">
        <v>27</v>
      </c>
      <c r="L27">
        <f t="shared" si="0"/>
        <v>2377.52</v>
      </c>
      <c r="M27">
        <f t="shared" si="1"/>
        <v>2</v>
      </c>
    </row>
    <row r="28" spans="1:14" x14ac:dyDescent="0.3">
      <c r="A28">
        <v>1026</v>
      </c>
      <c r="B28" s="2">
        <v>45905</v>
      </c>
      <c r="C28" t="s">
        <v>20</v>
      </c>
      <c r="D28" t="s">
        <v>11</v>
      </c>
      <c r="E28" t="s">
        <v>12</v>
      </c>
      <c r="F28" t="s">
        <v>13</v>
      </c>
      <c r="G28">
        <v>8</v>
      </c>
      <c r="H28" s="3">
        <v>4105.0200000000004</v>
      </c>
      <c r="I28">
        <v>0</v>
      </c>
      <c r="J28" t="s">
        <v>23</v>
      </c>
      <c r="L28">
        <f t="shared" si="0"/>
        <v>32840.160000000003</v>
      </c>
      <c r="M28">
        <f t="shared" si="1"/>
        <v>3</v>
      </c>
    </row>
    <row r="29" spans="1:14" x14ac:dyDescent="0.3">
      <c r="A29">
        <v>1027</v>
      </c>
      <c r="B29" s="2">
        <v>46022</v>
      </c>
      <c r="C29" t="s">
        <v>40</v>
      </c>
      <c r="D29" t="s">
        <v>16</v>
      </c>
      <c r="E29" t="s">
        <v>21</v>
      </c>
      <c r="F29" t="s">
        <v>51</v>
      </c>
      <c r="G29">
        <v>3</v>
      </c>
      <c r="H29" s="3">
        <v>2037.57</v>
      </c>
      <c r="I29">
        <v>15</v>
      </c>
      <c r="J29" t="s">
        <v>42</v>
      </c>
      <c r="L29">
        <f t="shared" si="0"/>
        <v>6112.71</v>
      </c>
      <c r="M29">
        <f t="shared" si="1"/>
        <v>4</v>
      </c>
    </row>
    <row r="30" spans="1:14" x14ac:dyDescent="0.3">
      <c r="A30">
        <v>1028</v>
      </c>
      <c r="B30" s="2">
        <v>45895</v>
      </c>
      <c r="C30" t="s">
        <v>15</v>
      </c>
      <c r="D30" t="s">
        <v>11</v>
      </c>
      <c r="E30" t="s">
        <v>21</v>
      </c>
      <c r="F30" t="s">
        <v>51</v>
      </c>
      <c r="G30">
        <v>3</v>
      </c>
      <c r="H30" s="3">
        <v>889.52</v>
      </c>
      <c r="I30">
        <v>0</v>
      </c>
      <c r="J30" t="s">
        <v>23</v>
      </c>
      <c r="L30">
        <f t="shared" si="0"/>
        <v>2668.56</v>
      </c>
      <c r="M30">
        <f t="shared" si="1"/>
        <v>3</v>
      </c>
    </row>
    <row r="31" spans="1:14" x14ac:dyDescent="0.3">
      <c r="A31">
        <v>1029</v>
      </c>
      <c r="B31" s="2">
        <v>45993</v>
      </c>
      <c r="C31" t="s">
        <v>37</v>
      </c>
      <c r="D31" t="s">
        <v>16</v>
      </c>
      <c r="E31" t="s">
        <v>17</v>
      </c>
      <c r="F31" t="s">
        <v>49</v>
      </c>
      <c r="G31">
        <v>6</v>
      </c>
      <c r="H31" s="3">
        <v>828.22</v>
      </c>
      <c r="I31">
        <v>10</v>
      </c>
      <c r="J31" t="s">
        <v>27</v>
      </c>
      <c r="L31">
        <f t="shared" si="0"/>
        <v>4969.32</v>
      </c>
      <c r="M31">
        <f t="shared" si="1"/>
        <v>4</v>
      </c>
    </row>
    <row r="32" spans="1:14" x14ac:dyDescent="0.3">
      <c r="A32">
        <v>1030</v>
      </c>
      <c r="B32" s="2">
        <v>45990</v>
      </c>
      <c r="C32" t="s">
        <v>28</v>
      </c>
      <c r="D32" t="s">
        <v>24</v>
      </c>
      <c r="E32" t="s">
        <v>21</v>
      </c>
      <c r="F32" t="s">
        <v>22</v>
      </c>
      <c r="G32">
        <v>7</v>
      </c>
      <c r="H32" s="3">
        <v>4441.49</v>
      </c>
      <c r="I32">
        <v>0</v>
      </c>
      <c r="J32" t="s">
        <v>27</v>
      </c>
      <c r="L32">
        <f t="shared" si="0"/>
        <v>31090.43</v>
      </c>
      <c r="M32">
        <f t="shared" si="1"/>
        <v>4</v>
      </c>
    </row>
    <row r="33" spans="1:13" x14ac:dyDescent="0.3">
      <c r="A33">
        <v>1031</v>
      </c>
      <c r="B33" s="2">
        <v>45766</v>
      </c>
      <c r="C33" t="s">
        <v>32</v>
      </c>
      <c r="D33" t="s">
        <v>24</v>
      </c>
      <c r="E33" t="s">
        <v>21</v>
      </c>
      <c r="F33" t="s">
        <v>47</v>
      </c>
      <c r="G33">
        <v>6</v>
      </c>
      <c r="H33" s="3">
        <v>1278.24</v>
      </c>
      <c r="I33">
        <v>5</v>
      </c>
      <c r="J33" t="s">
        <v>27</v>
      </c>
      <c r="L33">
        <f t="shared" si="0"/>
        <v>7669.4400000000005</v>
      </c>
      <c r="M33">
        <f t="shared" si="1"/>
        <v>2</v>
      </c>
    </row>
    <row r="34" spans="1:13" x14ac:dyDescent="0.3">
      <c r="A34">
        <v>1032</v>
      </c>
      <c r="B34" s="2">
        <v>45892</v>
      </c>
      <c r="C34" t="s">
        <v>20</v>
      </c>
      <c r="D34" t="s">
        <v>16</v>
      </c>
      <c r="E34" t="s">
        <v>21</v>
      </c>
      <c r="F34" t="s">
        <v>47</v>
      </c>
      <c r="G34">
        <v>3</v>
      </c>
      <c r="H34" s="3">
        <v>2463.44</v>
      </c>
      <c r="I34">
        <v>10</v>
      </c>
      <c r="J34" t="s">
        <v>14</v>
      </c>
      <c r="L34">
        <f t="shared" si="0"/>
        <v>7390.32</v>
      </c>
      <c r="M34">
        <f t="shared" si="1"/>
        <v>3</v>
      </c>
    </row>
    <row r="35" spans="1:13" x14ac:dyDescent="0.3">
      <c r="A35">
        <v>1033</v>
      </c>
      <c r="B35" s="2">
        <v>45751</v>
      </c>
      <c r="C35" t="s">
        <v>20</v>
      </c>
      <c r="D35" t="s">
        <v>11</v>
      </c>
      <c r="E35" t="s">
        <v>21</v>
      </c>
      <c r="F35" t="s">
        <v>51</v>
      </c>
      <c r="G35">
        <v>3</v>
      </c>
      <c r="H35" s="3">
        <v>899.71</v>
      </c>
      <c r="I35">
        <v>5</v>
      </c>
      <c r="J35" t="s">
        <v>14</v>
      </c>
      <c r="L35">
        <f t="shared" si="0"/>
        <v>2699.13</v>
      </c>
      <c r="M35">
        <f t="shared" si="1"/>
        <v>2</v>
      </c>
    </row>
    <row r="36" spans="1:13" x14ac:dyDescent="0.3">
      <c r="A36">
        <v>1034</v>
      </c>
      <c r="B36" s="2">
        <v>45824</v>
      </c>
      <c r="C36" t="s">
        <v>44</v>
      </c>
      <c r="D36" t="s">
        <v>16</v>
      </c>
      <c r="E36" t="s">
        <v>21</v>
      </c>
      <c r="F36" t="s">
        <v>22</v>
      </c>
      <c r="G36">
        <v>2</v>
      </c>
      <c r="H36" s="3">
        <v>3992.04</v>
      </c>
      <c r="I36">
        <v>0</v>
      </c>
      <c r="J36" t="s">
        <v>27</v>
      </c>
      <c r="L36">
        <f t="shared" si="0"/>
        <v>7984.08</v>
      </c>
      <c r="M36">
        <f t="shared" si="1"/>
        <v>2</v>
      </c>
    </row>
    <row r="37" spans="1:13" x14ac:dyDescent="0.3">
      <c r="A37">
        <v>1035</v>
      </c>
      <c r="B37" s="2">
        <v>45679</v>
      </c>
      <c r="C37" t="s">
        <v>28</v>
      </c>
      <c r="D37" t="s">
        <v>16</v>
      </c>
      <c r="E37" t="s">
        <v>17</v>
      </c>
      <c r="F37" t="s">
        <v>48</v>
      </c>
      <c r="G37">
        <v>1</v>
      </c>
      <c r="H37" s="3">
        <v>3455.97</v>
      </c>
      <c r="I37">
        <v>0</v>
      </c>
      <c r="J37" t="s">
        <v>19</v>
      </c>
      <c r="L37">
        <f t="shared" si="0"/>
        <v>3455.97</v>
      </c>
      <c r="M37">
        <f t="shared" si="1"/>
        <v>1</v>
      </c>
    </row>
    <row r="38" spans="1:13" x14ac:dyDescent="0.3">
      <c r="A38">
        <v>1036</v>
      </c>
      <c r="B38" s="2">
        <v>46012</v>
      </c>
      <c r="C38" t="s">
        <v>32</v>
      </c>
      <c r="D38" t="s">
        <v>16</v>
      </c>
      <c r="E38" t="s">
        <v>12</v>
      </c>
      <c r="F38" t="s">
        <v>13</v>
      </c>
      <c r="G38">
        <v>8</v>
      </c>
      <c r="H38" s="3">
        <v>2358.7199999999998</v>
      </c>
      <c r="I38">
        <v>0</v>
      </c>
      <c r="J38" t="s">
        <v>14</v>
      </c>
      <c r="L38">
        <f t="shared" si="0"/>
        <v>18869.759999999998</v>
      </c>
      <c r="M38">
        <f t="shared" si="1"/>
        <v>4</v>
      </c>
    </row>
    <row r="39" spans="1:13" x14ac:dyDescent="0.3">
      <c r="A39">
        <v>1037</v>
      </c>
      <c r="B39" s="2">
        <v>45887</v>
      </c>
      <c r="C39" t="s">
        <v>37</v>
      </c>
      <c r="D39" t="s">
        <v>16</v>
      </c>
      <c r="E39" t="s">
        <v>12</v>
      </c>
      <c r="F39" t="s">
        <v>13</v>
      </c>
      <c r="G39">
        <v>2</v>
      </c>
      <c r="H39" s="3">
        <v>1856.79</v>
      </c>
      <c r="I39">
        <v>0</v>
      </c>
      <c r="J39" t="s">
        <v>23</v>
      </c>
      <c r="L39">
        <f t="shared" si="0"/>
        <v>3713.58</v>
      </c>
      <c r="M39">
        <f t="shared" si="1"/>
        <v>3</v>
      </c>
    </row>
    <row r="40" spans="1:13" x14ac:dyDescent="0.3">
      <c r="A40">
        <v>1038</v>
      </c>
      <c r="B40" s="2">
        <v>45695</v>
      </c>
      <c r="C40" t="s">
        <v>40</v>
      </c>
      <c r="D40" t="s">
        <v>33</v>
      </c>
      <c r="E40" t="s">
        <v>17</v>
      </c>
      <c r="F40" t="s">
        <v>49</v>
      </c>
      <c r="G40">
        <v>2</v>
      </c>
      <c r="H40" s="3">
        <v>4052.06</v>
      </c>
      <c r="I40">
        <v>0</v>
      </c>
      <c r="J40" t="s">
        <v>42</v>
      </c>
      <c r="L40">
        <f t="shared" si="0"/>
        <v>8104.12</v>
      </c>
      <c r="M40">
        <f t="shared" si="1"/>
        <v>1</v>
      </c>
    </row>
    <row r="41" spans="1:13" x14ac:dyDescent="0.3">
      <c r="A41">
        <v>1039</v>
      </c>
      <c r="B41" s="2">
        <v>45728</v>
      </c>
      <c r="C41" t="s">
        <v>46</v>
      </c>
      <c r="D41" t="s">
        <v>24</v>
      </c>
      <c r="E41" t="s">
        <v>17</v>
      </c>
      <c r="F41" t="s">
        <v>48</v>
      </c>
      <c r="G41">
        <v>2</v>
      </c>
      <c r="H41" s="3">
        <v>1882.42</v>
      </c>
      <c r="I41">
        <v>5</v>
      </c>
      <c r="J41" t="s">
        <v>27</v>
      </c>
      <c r="L41">
        <f t="shared" si="0"/>
        <v>3764.84</v>
      </c>
      <c r="M41">
        <f t="shared" si="1"/>
        <v>1</v>
      </c>
    </row>
    <row r="42" spans="1:13" x14ac:dyDescent="0.3">
      <c r="A42">
        <v>1040</v>
      </c>
      <c r="B42" s="2">
        <v>46019</v>
      </c>
      <c r="C42" t="s">
        <v>15</v>
      </c>
      <c r="D42" t="s">
        <v>16</v>
      </c>
      <c r="E42" t="s">
        <v>17</v>
      </c>
      <c r="F42" t="s">
        <v>41</v>
      </c>
      <c r="G42">
        <v>6</v>
      </c>
      <c r="H42" s="3">
        <v>1982.55</v>
      </c>
      <c r="I42">
        <v>0</v>
      </c>
      <c r="J42" t="s">
        <v>42</v>
      </c>
      <c r="L42">
        <f t="shared" si="0"/>
        <v>11895.3</v>
      </c>
      <c r="M42">
        <f t="shared" si="1"/>
        <v>4</v>
      </c>
    </row>
    <row r="43" spans="1:13" x14ac:dyDescent="0.3">
      <c r="A43">
        <v>1041</v>
      </c>
      <c r="B43" s="2">
        <v>45667</v>
      </c>
      <c r="C43" t="s">
        <v>50</v>
      </c>
      <c r="D43" t="s">
        <v>16</v>
      </c>
      <c r="E43" t="s">
        <v>21</v>
      </c>
      <c r="F43" t="s">
        <v>47</v>
      </c>
      <c r="G43">
        <v>8</v>
      </c>
      <c r="H43" s="3">
        <v>3208.71</v>
      </c>
      <c r="I43">
        <v>5</v>
      </c>
      <c r="J43" t="s">
        <v>42</v>
      </c>
      <c r="L43">
        <f t="shared" si="0"/>
        <v>25669.68</v>
      </c>
      <c r="M43">
        <f t="shared" si="1"/>
        <v>1</v>
      </c>
    </row>
    <row r="44" spans="1:13" x14ac:dyDescent="0.3">
      <c r="A44">
        <v>1042</v>
      </c>
      <c r="B44" s="2">
        <v>45920</v>
      </c>
      <c r="C44" t="s">
        <v>28</v>
      </c>
      <c r="D44" t="s">
        <v>11</v>
      </c>
      <c r="E44" t="s">
        <v>25</v>
      </c>
      <c r="F44" t="s">
        <v>39</v>
      </c>
      <c r="G44">
        <v>4</v>
      </c>
      <c r="H44" s="3">
        <v>4376.88</v>
      </c>
      <c r="I44">
        <v>0</v>
      </c>
      <c r="J44" t="s">
        <v>23</v>
      </c>
      <c r="L44">
        <f t="shared" si="0"/>
        <v>17507.52</v>
      </c>
      <c r="M44">
        <f t="shared" si="1"/>
        <v>3</v>
      </c>
    </row>
    <row r="45" spans="1:13" x14ac:dyDescent="0.3">
      <c r="A45">
        <v>1043</v>
      </c>
      <c r="B45" s="2">
        <v>45678</v>
      </c>
      <c r="C45" t="s">
        <v>37</v>
      </c>
      <c r="D45" t="s">
        <v>33</v>
      </c>
      <c r="E45" t="s">
        <v>12</v>
      </c>
      <c r="F45" t="s">
        <v>52</v>
      </c>
      <c r="G45">
        <v>3</v>
      </c>
      <c r="H45" s="3">
        <v>3716.03</v>
      </c>
      <c r="I45">
        <v>20</v>
      </c>
      <c r="J45" t="s">
        <v>42</v>
      </c>
      <c r="L45">
        <f t="shared" si="0"/>
        <v>11148.09</v>
      </c>
      <c r="M45">
        <f t="shared" si="1"/>
        <v>1</v>
      </c>
    </row>
    <row r="46" spans="1:13" x14ac:dyDescent="0.3">
      <c r="A46">
        <v>1044</v>
      </c>
      <c r="B46" s="2">
        <v>45932</v>
      </c>
      <c r="C46" t="s">
        <v>44</v>
      </c>
      <c r="D46" t="s">
        <v>16</v>
      </c>
      <c r="E46" t="s">
        <v>30</v>
      </c>
      <c r="F46" t="s">
        <v>53</v>
      </c>
      <c r="G46">
        <v>6</v>
      </c>
      <c r="H46" s="3">
        <v>539.16</v>
      </c>
      <c r="I46">
        <v>0</v>
      </c>
      <c r="J46" t="s">
        <v>27</v>
      </c>
      <c r="L46">
        <f t="shared" si="0"/>
        <v>3234.96</v>
      </c>
      <c r="M46">
        <f t="shared" si="1"/>
        <v>4</v>
      </c>
    </row>
    <row r="47" spans="1:13" x14ac:dyDescent="0.3">
      <c r="A47">
        <v>1045</v>
      </c>
      <c r="B47" s="2">
        <v>45795</v>
      </c>
      <c r="C47" t="s">
        <v>10</v>
      </c>
      <c r="D47" t="s">
        <v>11</v>
      </c>
      <c r="E47" t="s">
        <v>30</v>
      </c>
      <c r="F47" t="s">
        <v>45</v>
      </c>
      <c r="G47">
        <v>5</v>
      </c>
      <c r="H47" s="3">
        <v>514.28</v>
      </c>
      <c r="I47">
        <v>20</v>
      </c>
      <c r="J47" t="s">
        <v>27</v>
      </c>
      <c r="L47">
        <f t="shared" si="0"/>
        <v>2571.3999999999996</v>
      </c>
      <c r="M47">
        <f t="shared" si="1"/>
        <v>2</v>
      </c>
    </row>
    <row r="48" spans="1:13" x14ac:dyDescent="0.3">
      <c r="A48">
        <v>1046</v>
      </c>
      <c r="B48" s="2">
        <v>45720</v>
      </c>
      <c r="C48" t="s">
        <v>46</v>
      </c>
      <c r="D48" t="s">
        <v>11</v>
      </c>
      <c r="E48" t="s">
        <v>21</v>
      </c>
      <c r="F48" t="s">
        <v>47</v>
      </c>
      <c r="G48">
        <v>6</v>
      </c>
      <c r="H48" s="3">
        <v>4475.2299999999996</v>
      </c>
      <c r="I48">
        <v>5</v>
      </c>
      <c r="J48" t="s">
        <v>42</v>
      </c>
      <c r="L48">
        <f t="shared" si="0"/>
        <v>26851.379999999997</v>
      </c>
      <c r="M48">
        <f t="shared" si="1"/>
        <v>1</v>
      </c>
    </row>
    <row r="49" spans="1:13" x14ac:dyDescent="0.3">
      <c r="A49">
        <v>1047</v>
      </c>
      <c r="B49" s="2">
        <v>45680</v>
      </c>
      <c r="C49" t="s">
        <v>44</v>
      </c>
      <c r="D49" t="s">
        <v>24</v>
      </c>
      <c r="E49" t="s">
        <v>25</v>
      </c>
      <c r="F49" t="s">
        <v>26</v>
      </c>
      <c r="G49">
        <v>2</v>
      </c>
      <c r="H49" s="3">
        <v>4366.08</v>
      </c>
      <c r="I49">
        <v>0</v>
      </c>
      <c r="J49" t="s">
        <v>23</v>
      </c>
      <c r="L49">
        <f t="shared" si="0"/>
        <v>8732.16</v>
      </c>
      <c r="M49">
        <f t="shared" si="1"/>
        <v>1</v>
      </c>
    </row>
    <row r="50" spans="1:13" x14ac:dyDescent="0.3">
      <c r="A50">
        <v>1048</v>
      </c>
      <c r="B50" s="2">
        <v>45817</v>
      </c>
      <c r="C50" t="s">
        <v>32</v>
      </c>
      <c r="D50" t="s">
        <v>24</v>
      </c>
      <c r="E50" t="s">
        <v>17</v>
      </c>
      <c r="F50" t="s">
        <v>41</v>
      </c>
      <c r="G50">
        <v>5</v>
      </c>
      <c r="H50" s="3">
        <v>2088.7399999999998</v>
      </c>
      <c r="I50">
        <v>15</v>
      </c>
      <c r="J50" t="s">
        <v>27</v>
      </c>
      <c r="L50">
        <f t="shared" si="0"/>
        <v>10443.699999999999</v>
      </c>
      <c r="M50">
        <f t="shared" si="1"/>
        <v>2</v>
      </c>
    </row>
    <row r="51" spans="1:13" x14ac:dyDescent="0.3">
      <c r="A51">
        <v>1049</v>
      </c>
      <c r="B51" s="2">
        <v>45667</v>
      </c>
      <c r="C51" t="s">
        <v>32</v>
      </c>
      <c r="D51" t="s">
        <v>11</v>
      </c>
      <c r="E51" t="s">
        <v>12</v>
      </c>
      <c r="F51" t="s">
        <v>52</v>
      </c>
      <c r="G51">
        <v>1</v>
      </c>
      <c r="H51" s="3">
        <v>230.19</v>
      </c>
      <c r="I51">
        <v>10</v>
      </c>
      <c r="J51" t="s">
        <v>14</v>
      </c>
      <c r="L51">
        <f t="shared" si="0"/>
        <v>230.19</v>
      </c>
      <c r="M51">
        <f t="shared" si="1"/>
        <v>1</v>
      </c>
    </row>
    <row r="52" spans="1:13" x14ac:dyDescent="0.3">
      <c r="A52">
        <v>1050</v>
      </c>
      <c r="B52" s="2">
        <v>45783</v>
      </c>
      <c r="C52" t="s">
        <v>46</v>
      </c>
      <c r="D52" t="s">
        <v>11</v>
      </c>
      <c r="E52" t="s">
        <v>17</v>
      </c>
      <c r="F52" t="s">
        <v>49</v>
      </c>
      <c r="G52">
        <v>7</v>
      </c>
      <c r="H52" s="3">
        <v>3005.82</v>
      </c>
      <c r="I52">
        <v>10</v>
      </c>
      <c r="J52" t="s">
        <v>19</v>
      </c>
      <c r="L52">
        <f t="shared" si="0"/>
        <v>21040.74</v>
      </c>
      <c r="M52">
        <f t="shared" si="1"/>
        <v>2</v>
      </c>
    </row>
    <row r="53" spans="1:13" x14ac:dyDescent="0.3">
      <c r="A53">
        <v>1051</v>
      </c>
      <c r="B53" s="2">
        <v>46010</v>
      </c>
      <c r="C53" t="s">
        <v>40</v>
      </c>
      <c r="D53" t="s">
        <v>24</v>
      </c>
      <c r="E53" t="s">
        <v>25</v>
      </c>
      <c r="F53" t="s">
        <v>39</v>
      </c>
      <c r="G53">
        <v>6</v>
      </c>
      <c r="H53" s="3">
        <v>1014.02</v>
      </c>
      <c r="I53">
        <v>15</v>
      </c>
      <c r="J53" t="s">
        <v>27</v>
      </c>
      <c r="L53">
        <f t="shared" si="0"/>
        <v>6084.12</v>
      </c>
      <c r="M53">
        <f t="shared" si="1"/>
        <v>4</v>
      </c>
    </row>
    <row r="54" spans="1:13" x14ac:dyDescent="0.3">
      <c r="A54">
        <v>1052</v>
      </c>
      <c r="B54" s="2">
        <v>45685</v>
      </c>
      <c r="C54" t="s">
        <v>37</v>
      </c>
      <c r="D54" t="s">
        <v>11</v>
      </c>
      <c r="E54" t="s">
        <v>30</v>
      </c>
      <c r="F54" t="s">
        <v>31</v>
      </c>
      <c r="G54">
        <v>2</v>
      </c>
      <c r="H54" s="3">
        <v>2870.7</v>
      </c>
      <c r="I54">
        <v>0</v>
      </c>
      <c r="J54" t="s">
        <v>19</v>
      </c>
      <c r="L54">
        <f t="shared" si="0"/>
        <v>5741.4</v>
      </c>
      <c r="M54">
        <f t="shared" si="1"/>
        <v>1</v>
      </c>
    </row>
    <row r="55" spans="1:13" x14ac:dyDescent="0.3">
      <c r="A55">
        <v>1053</v>
      </c>
      <c r="B55" s="2">
        <v>45701</v>
      </c>
      <c r="C55" t="s">
        <v>15</v>
      </c>
      <c r="D55" t="s">
        <v>33</v>
      </c>
      <c r="E55" t="s">
        <v>17</v>
      </c>
      <c r="F55" t="s">
        <v>18</v>
      </c>
      <c r="G55">
        <v>4</v>
      </c>
      <c r="H55" s="3">
        <v>3163.18</v>
      </c>
      <c r="I55">
        <v>0</v>
      </c>
      <c r="J55" t="s">
        <v>19</v>
      </c>
      <c r="L55">
        <f t="shared" si="0"/>
        <v>12652.72</v>
      </c>
      <c r="M55">
        <f t="shared" si="1"/>
        <v>1</v>
      </c>
    </row>
    <row r="56" spans="1:13" x14ac:dyDescent="0.3">
      <c r="A56">
        <v>1054</v>
      </c>
      <c r="B56" s="2">
        <v>45795</v>
      </c>
      <c r="C56" t="s">
        <v>46</v>
      </c>
      <c r="D56" t="s">
        <v>11</v>
      </c>
      <c r="E56" t="s">
        <v>17</v>
      </c>
      <c r="F56" t="s">
        <v>41</v>
      </c>
      <c r="G56">
        <v>5</v>
      </c>
      <c r="H56" s="3">
        <v>1734.01</v>
      </c>
      <c r="I56">
        <v>0</v>
      </c>
      <c r="J56" t="s">
        <v>14</v>
      </c>
      <c r="L56">
        <f t="shared" si="0"/>
        <v>8670.0499999999993</v>
      </c>
      <c r="M56">
        <f t="shared" si="1"/>
        <v>2</v>
      </c>
    </row>
    <row r="57" spans="1:13" x14ac:dyDescent="0.3">
      <c r="A57">
        <v>1055</v>
      </c>
      <c r="B57" s="2">
        <v>45675</v>
      </c>
      <c r="C57" t="s">
        <v>32</v>
      </c>
      <c r="D57" t="s">
        <v>24</v>
      </c>
      <c r="E57" t="s">
        <v>12</v>
      </c>
      <c r="F57" t="s">
        <v>13</v>
      </c>
      <c r="G57">
        <v>6</v>
      </c>
      <c r="H57" s="3">
        <v>945.87</v>
      </c>
      <c r="I57">
        <v>0</v>
      </c>
      <c r="J57" t="s">
        <v>19</v>
      </c>
      <c r="L57">
        <f t="shared" si="0"/>
        <v>5675.22</v>
      </c>
      <c r="M57">
        <f t="shared" si="1"/>
        <v>1</v>
      </c>
    </row>
    <row r="58" spans="1:13" x14ac:dyDescent="0.3">
      <c r="A58">
        <v>1056</v>
      </c>
      <c r="B58" s="2">
        <v>45800</v>
      </c>
      <c r="C58" t="s">
        <v>44</v>
      </c>
      <c r="D58" t="s">
        <v>24</v>
      </c>
      <c r="E58" t="s">
        <v>21</v>
      </c>
      <c r="F58" t="s">
        <v>51</v>
      </c>
      <c r="G58">
        <v>4</v>
      </c>
      <c r="H58" s="3">
        <v>2345.6</v>
      </c>
      <c r="I58">
        <v>0</v>
      </c>
      <c r="J58" t="s">
        <v>23</v>
      </c>
      <c r="L58">
        <f t="shared" si="0"/>
        <v>9382.4</v>
      </c>
      <c r="M58">
        <f t="shared" si="1"/>
        <v>2</v>
      </c>
    </row>
    <row r="59" spans="1:13" x14ac:dyDescent="0.3">
      <c r="A59">
        <v>1057</v>
      </c>
      <c r="B59" s="2">
        <v>45731</v>
      </c>
      <c r="C59" t="s">
        <v>15</v>
      </c>
      <c r="D59" t="s">
        <v>11</v>
      </c>
      <c r="E59" t="s">
        <v>12</v>
      </c>
      <c r="F59" t="s">
        <v>43</v>
      </c>
      <c r="G59">
        <v>7</v>
      </c>
      <c r="H59" s="3">
        <v>247.85</v>
      </c>
      <c r="I59">
        <v>0</v>
      </c>
      <c r="J59" t="s">
        <v>27</v>
      </c>
      <c r="L59">
        <f t="shared" si="0"/>
        <v>1734.95</v>
      </c>
      <c r="M59">
        <f t="shared" si="1"/>
        <v>1</v>
      </c>
    </row>
    <row r="60" spans="1:13" x14ac:dyDescent="0.3">
      <c r="A60">
        <v>1058</v>
      </c>
      <c r="B60" s="2">
        <v>45994</v>
      </c>
      <c r="C60" t="s">
        <v>20</v>
      </c>
      <c r="D60" t="s">
        <v>16</v>
      </c>
      <c r="E60" t="s">
        <v>21</v>
      </c>
      <c r="F60" t="s">
        <v>29</v>
      </c>
      <c r="G60">
        <v>6</v>
      </c>
      <c r="H60" s="3">
        <v>3284.95</v>
      </c>
      <c r="I60">
        <v>5</v>
      </c>
      <c r="J60" t="s">
        <v>27</v>
      </c>
      <c r="L60">
        <f t="shared" si="0"/>
        <v>19709.699999999997</v>
      </c>
      <c r="M60">
        <f t="shared" si="1"/>
        <v>4</v>
      </c>
    </row>
    <row r="61" spans="1:13" x14ac:dyDescent="0.3">
      <c r="A61">
        <v>1059</v>
      </c>
      <c r="B61" s="2">
        <v>45680</v>
      </c>
      <c r="C61" t="s">
        <v>44</v>
      </c>
      <c r="D61" t="s">
        <v>16</v>
      </c>
      <c r="E61" t="s">
        <v>12</v>
      </c>
      <c r="F61" t="s">
        <v>13</v>
      </c>
      <c r="G61">
        <v>3</v>
      </c>
      <c r="H61" s="3">
        <v>4108.01</v>
      </c>
      <c r="I61">
        <v>20</v>
      </c>
      <c r="J61" t="s">
        <v>14</v>
      </c>
      <c r="L61">
        <f t="shared" si="0"/>
        <v>12324.03</v>
      </c>
      <c r="M61">
        <f t="shared" si="1"/>
        <v>1</v>
      </c>
    </row>
    <row r="62" spans="1:13" x14ac:dyDescent="0.3">
      <c r="A62">
        <v>1060</v>
      </c>
      <c r="B62" s="2">
        <v>46009</v>
      </c>
      <c r="C62" t="s">
        <v>20</v>
      </c>
      <c r="D62" t="s">
        <v>24</v>
      </c>
      <c r="E62" t="s">
        <v>25</v>
      </c>
      <c r="F62" t="s">
        <v>36</v>
      </c>
      <c r="G62">
        <v>2</v>
      </c>
      <c r="H62" s="3">
        <v>285.55</v>
      </c>
      <c r="I62">
        <v>0</v>
      </c>
      <c r="J62" t="s">
        <v>42</v>
      </c>
      <c r="L62">
        <f t="shared" si="0"/>
        <v>571.1</v>
      </c>
      <c r="M62">
        <f t="shared" si="1"/>
        <v>4</v>
      </c>
    </row>
    <row r="63" spans="1:13" x14ac:dyDescent="0.3">
      <c r="A63">
        <v>1061</v>
      </c>
      <c r="B63" s="2">
        <v>45889</v>
      </c>
      <c r="C63" t="s">
        <v>44</v>
      </c>
      <c r="D63" t="s">
        <v>11</v>
      </c>
      <c r="E63" t="s">
        <v>21</v>
      </c>
      <c r="F63" t="s">
        <v>51</v>
      </c>
      <c r="G63">
        <v>1</v>
      </c>
      <c r="H63" s="3">
        <v>2874.09</v>
      </c>
      <c r="I63">
        <v>15</v>
      </c>
      <c r="J63" t="s">
        <v>27</v>
      </c>
      <c r="L63">
        <f t="shared" si="0"/>
        <v>2874.09</v>
      </c>
      <c r="M63">
        <f t="shared" si="1"/>
        <v>3</v>
      </c>
    </row>
    <row r="64" spans="1:13" x14ac:dyDescent="0.3">
      <c r="A64">
        <v>1062</v>
      </c>
      <c r="B64" s="2">
        <v>45659</v>
      </c>
      <c r="C64" t="s">
        <v>46</v>
      </c>
      <c r="D64" t="s">
        <v>11</v>
      </c>
      <c r="E64" t="s">
        <v>30</v>
      </c>
      <c r="F64" t="s">
        <v>31</v>
      </c>
      <c r="G64">
        <v>2</v>
      </c>
      <c r="H64" s="3">
        <v>3017.95</v>
      </c>
      <c r="I64">
        <v>0</v>
      </c>
      <c r="J64" t="s">
        <v>19</v>
      </c>
      <c r="L64">
        <f t="shared" si="0"/>
        <v>6035.9</v>
      </c>
      <c r="M64">
        <f t="shared" si="1"/>
        <v>1</v>
      </c>
    </row>
    <row r="65" spans="1:13" x14ac:dyDescent="0.3">
      <c r="A65">
        <v>1063</v>
      </c>
      <c r="B65" s="2">
        <v>45793</v>
      </c>
      <c r="C65" t="s">
        <v>40</v>
      </c>
      <c r="D65" t="s">
        <v>24</v>
      </c>
      <c r="E65" t="s">
        <v>12</v>
      </c>
      <c r="F65" t="s">
        <v>43</v>
      </c>
      <c r="G65">
        <v>4</v>
      </c>
      <c r="H65" s="3">
        <v>3368.25</v>
      </c>
      <c r="I65">
        <v>5</v>
      </c>
      <c r="J65" t="s">
        <v>19</v>
      </c>
      <c r="L65">
        <f t="shared" si="0"/>
        <v>13473</v>
      </c>
      <c r="M65">
        <f t="shared" si="1"/>
        <v>2</v>
      </c>
    </row>
    <row r="66" spans="1:13" x14ac:dyDescent="0.3">
      <c r="A66">
        <v>1064</v>
      </c>
      <c r="B66" s="2">
        <v>45903</v>
      </c>
      <c r="C66" t="s">
        <v>32</v>
      </c>
      <c r="D66" t="s">
        <v>11</v>
      </c>
      <c r="E66" t="s">
        <v>30</v>
      </c>
      <c r="F66" t="s">
        <v>45</v>
      </c>
      <c r="G66">
        <v>4</v>
      </c>
      <c r="H66" s="3">
        <v>487</v>
      </c>
      <c r="I66">
        <v>0</v>
      </c>
      <c r="J66" t="s">
        <v>42</v>
      </c>
      <c r="L66">
        <f t="shared" si="0"/>
        <v>1948</v>
      </c>
      <c r="M66">
        <f t="shared" si="1"/>
        <v>3</v>
      </c>
    </row>
    <row r="67" spans="1:13" x14ac:dyDescent="0.3">
      <c r="A67">
        <v>1065</v>
      </c>
      <c r="B67" s="2">
        <v>45976</v>
      </c>
      <c r="C67" t="s">
        <v>20</v>
      </c>
      <c r="D67" t="s">
        <v>24</v>
      </c>
      <c r="E67" t="s">
        <v>12</v>
      </c>
      <c r="F67" t="s">
        <v>52</v>
      </c>
      <c r="G67">
        <v>1</v>
      </c>
      <c r="H67" s="3">
        <v>2248.5300000000002</v>
      </c>
      <c r="I67">
        <v>5</v>
      </c>
      <c r="J67" t="s">
        <v>42</v>
      </c>
      <c r="L67">
        <f t="shared" ref="L67:L121" si="2">G67*H67</f>
        <v>2248.5300000000002</v>
      </c>
      <c r="M67">
        <f t="shared" ref="M67:M121" si="3">ROUNDUP(MONTH(B67)/3,0)</f>
        <v>4</v>
      </c>
    </row>
    <row r="68" spans="1:13" x14ac:dyDescent="0.3">
      <c r="A68">
        <v>1066</v>
      </c>
      <c r="B68" s="2">
        <v>46003</v>
      </c>
      <c r="C68" t="s">
        <v>46</v>
      </c>
      <c r="D68" t="s">
        <v>33</v>
      </c>
      <c r="E68" t="s">
        <v>21</v>
      </c>
      <c r="F68" t="s">
        <v>29</v>
      </c>
      <c r="G68">
        <v>5</v>
      </c>
      <c r="H68" s="3">
        <v>2171.2800000000002</v>
      </c>
      <c r="I68">
        <v>5</v>
      </c>
      <c r="J68" t="s">
        <v>23</v>
      </c>
      <c r="L68">
        <f t="shared" si="2"/>
        <v>10856.400000000001</v>
      </c>
      <c r="M68">
        <f t="shared" si="3"/>
        <v>4</v>
      </c>
    </row>
    <row r="69" spans="1:13" x14ac:dyDescent="0.3">
      <c r="A69">
        <v>1067</v>
      </c>
      <c r="B69" s="2">
        <v>45817</v>
      </c>
      <c r="C69" t="s">
        <v>28</v>
      </c>
      <c r="D69" t="s">
        <v>16</v>
      </c>
      <c r="E69" t="s">
        <v>25</v>
      </c>
      <c r="F69" t="s">
        <v>26</v>
      </c>
      <c r="G69">
        <v>1</v>
      </c>
      <c r="H69" s="3">
        <v>1409.71</v>
      </c>
      <c r="I69">
        <v>0</v>
      </c>
      <c r="J69" t="s">
        <v>14</v>
      </c>
      <c r="L69">
        <f t="shared" si="2"/>
        <v>1409.71</v>
      </c>
      <c r="M69">
        <f t="shared" si="3"/>
        <v>2</v>
      </c>
    </row>
    <row r="70" spans="1:13" x14ac:dyDescent="0.3">
      <c r="A70">
        <v>1068</v>
      </c>
      <c r="B70" s="2">
        <v>45856</v>
      </c>
      <c r="C70" t="s">
        <v>40</v>
      </c>
      <c r="D70" t="s">
        <v>24</v>
      </c>
      <c r="E70" t="s">
        <v>30</v>
      </c>
      <c r="F70" t="s">
        <v>31</v>
      </c>
      <c r="G70">
        <v>2</v>
      </c>
      <c r="H70" s="3">
        <v>2679.4</v>
      </c>
      <c r="I70">
        <v>0</v>
      </c>
      <c r="J70" t="s">
        <v>14</v>
      </c>
      <c r="L70">
        <f t="shared" si="2"/>
        <v>5358.8</v>
      </c>
      <c r="M70">
        <f t="shared" si="3"/>
        <v>3</v>
      </c>
    </row>
    <row r="71" spans="1:13" x14ac:dyDescent="0.3">
      <c r="A71">
        <v>1069</v>
      </c>
      <c r="B71" s="2">
        <v>45725</v>
      </c>
      <c r="C71" t="s">
        <v>20</v>
      </c>
      <c r="D71" t="s">
        <v>33</v>
      </c>
      <c r="E71" t="s">
        <v>12</v>
      </c>
      <c r="F71" t="s">
        <v>52</v>
      </c>
      <c r="G71">
        <v>2</v>
      </c>
      <c r="H71" s="3">
        <v>3209.52</v>
      </c>
      <c r="I71">
        <v>0</v>
      </c>
      <c r="J71" t="s">
        <v>19</v>
      </c>
      <c r="L71">
        <f t="shared" si="2"/>
        <v>6419.04</v>
      </c>
      <c r="M71">
        <f t="shared" si="3"/>
        <v>1</v>
      </c>
    </row>
    <row r="72" spans="1:13" x14ac:dyDescent="0.3">
      <c r="A72">
        <v>1070</v>
      </c>
      <c r="B72" s="2">
        <v>45670</v>
      </c>
      <c r="C72" t="s">
        <v>37</v>
      </c>
      <c r="D72" t="s">
        <v>11</v>
      </c>
      <c r="E72" t="s">
        <v>30</v>
      </c>
      <c r="F72" t="s">
        <v>38</v>
      </c>
      <c r="G72">
        <v>8</v>
      </c>
      <c r="H72" s="3">
        <v>3114.91</v>
      </c>
      <c r="I72">
        <v>5</v>
      </c>
      <c r="J72" t="s">
        <v>42</v>
      </c>
      <c r="L72">
        <f t="shared" si="2"/>
        <v>24919.279999999999</v>
      </c>
      <c r="M72">
        <f t="shared" si="3"/>
        <v>1</v>
      </c>
    </row>
    <row r="73" spans="1:13" x14ac:dyDescent="0.3">
      <c r="A73">
        <v>1071</v>
      </c>
      <c r="B73" s="2">
        <v>45834</v>
      </c>
      <c r="C73" t="s">
        <v>15</v>
      </c>
      <c r="D73" t="s">
        <v>33</v>
      </c>
      <c r="E73" t="s">
        <v>17</v>
      </c>
      <c r="F73" t="s">
        <v>49</v>
      </c>
      <c r="G73">
        <v>2</v>
      </c>
      <c r="H73" s="3">
        <v>3805</v>
      </c>
      <c r="I73">
        <v>0</v>
      </c>
      <c r="J73" t="s">
        <v>42</v>
      </c>
      <c r="L73">
        <f t="shared" si="2"/>
        <v>7610</v>
      </c>
      <c r="M73">
        <f t="shared" si="3"/>
        <v>2</v>
      </c>
    </row>
    <row r="74" spans="1:13" x14ac:dyDescent="0.3">
      <c r="A74">
        <v>1072</v>
      </c>
      <c r="B74" s="2">
        <v>45719</v>
      </c>
      <c r="C74" t="s">
        <v>40</v>
      </c>
      <c r="D74" t="s">
        <v>11</v>
      </c>
      <c r="E74" t="s">
        <v>12</v>
      </c>
      <c r="F74" t="s">
        <v>35</v>
      </c>
      <c r="G74">
        <v>5</v>
      </c>
      <c r="H74" s="3">
        <v>1251.47</v>
      </c>
      <c r="I74">
        <v>0</v>
      </c>
      <c r="J74" t="s">
        <v>19</v>
      </c>
      <c r="L74">
        <f t="shared" si="2"/>
        <v>6257.35</v>
      </c>
      <c r="M74">
        <f t="shared" si="3"/>
        <v>1</v>
      </c>
    </row>
    <row r="75" spans="1:13" x14ac:dyDescent="0.3">
      <c r="A75">
        <v>1073</v>
      </c>
      <c r="B75" s="2">
        <v>45842</v>
      </c>
      <c r="C75" t="s">
        <v>15</v>
      </c>
      <c r="D75" t="s">
        <v>33</v>
      </c>
      <c r="E75" t="s">
        <v>30</v>
      </c>
      <c r="F75" t="s">
        <v>45</v>
      </c>
      <c r="G75">
        <v>1</v>
      </c>
      <c r="H75" s="3">
        <v>1370.77</v>
      </c>
      <c r="I75">
        <v>0</v>
      </c>
      <c r="J75" t="s">
        <v>42</v>
      </c>
      <c r="L75">
        <f t="shared" si="2"/>
        <v>1370.77</v>
      </c>
      <c r="M75">
        <f t="shared" si="3"/>
        <v>3</v>
      </c>
    </row>
    <row r="76" spans="1:13" x14ac:dyDescent="0.3">
      <c r="A76">
        <v>1074</v>
      </c>
      <c r="B76" s="2">
        <v>45794</v>
      </c>
      <c r="C76" t="s">
        <v>15</v>
      </c>
      <c r="D76" t="s">
        <v>33</v>
      </c>
      <c r="E76" t="s">
        <v>17</v>
      </c>
      <c r="F76" t="s">
        <v>41</v>
      </c>
      <c r="G76">
        <v>4</v>
      </c>
      <c r="H76" s="3">
        <v>3513.35</v>
      </c>
      <c r="I76">
        <v>20</v>
      </c>
      <c r="J76" t="s">
        <v>19</v>
      </c>
      <c r="L76">
        <f t="shared" si="2"/>
        <v>14053.4</v>
      </c>
      <c r="M76">
        <f t="shared" si="3"/>
        <v>2</v>
      </c>
    </row>
    <row r="77" spans="1:13" x14ac:dyDescent="0.3">
      <c r="A77">
        <v>1075</v>
      </c>
      <c r="B77" s="2">
        <v>45941</v>
      </c>
      <c r="C77" t="s">
        <v>44</v>
      </c>
      <c r="D77" t="s">
        <v>24</v>
      </c>
      <c r="E77" t="s">
        <v>21</v>
      </c>
      <c r="F77" t="s">
        <v>51</v>
      </c>
      <c r="G77">
        <v>2</v>
      </c>
      <c r="H77" s="3">
        <v>365.22</v>
      </c>
      <c r="I77">
        <v>15</v>
      </c>
      <c r="J77" t="s">
        <v>19</v>
      </c>
      <c r="L77">
        <f t="shared" si="2"/>
        <v>730.44</v>
      </c>
      <c r="M77">
        <f t="shared" si="3"/>
        <v>4</v>
      </c>
    </row>
    <row r="78" spans="1:13" x14ac:dyDescent="0.3">
      <c r="A78">
        <v>1076</v>
      </c>
      <c r="B78" s="2">
        <v>45987</v>
      </c>
      <c r="C78" t="s">
        <v>32</v>
      </c>
      <c r="D78" t="s">
        <v>16</v>
      </c>
      <c r="E78" t="s">
        <v>30</v>
      </c>
      <c r="F78" t="s">
        <v>53</v>
      </c>
      <c r="G78">
        <v>1</v>
      </c>
      <c r="H78" s="3">
        <v>4116.79</v>
      </c>
      <c r="I78">
        <v>10</v>
      </c>
      <c r="J78" t="s">
        <v>27</v>
      </c>
      <c r="L78">
        <f t="shared" si="2"/>
        <v>4116.79</v>
      </c>
      <c r="M78">
        <f t="shared" si="3"/>
        <v>4</v>
      </c>
    </row>
    <row r="79" spans="1:13" x14ac:dyDescent="0.3">
      <c r="A79">
        <v>1077</v>
      </c>
      <c r="B79" s="2">
        <v>45870</v>
      </c>
      <c r="C79" t="s">
        <v>50</v>
      </c>
      <c r="D79" t="s">
        <v>33</v>
      </c>
      <c r="E79" t="s">
        <v>17</v>
      </c>
      <c r="F79" t="s">
        <v>49</v>
      </c>
      <c r="G79">
        <v>5</v>
      </c>
      <c r="H79" s="3">
        <v>1262.48</v>
      </c>
      <c r="I79">
        <v>15</v>
      </c>
      <c r="J79" t="s">
        <v>42</v>
      </c>
      <c r="L79">
        <f t="shared" si="2"/>
        <v>6312.4</v>
      </c>
      <c r="M79">
        <f t="shared" si="3"/>
        <v>3</v>
      </c>
    </row>
    <row r="80" spans="1:13" x14ac:dyDescent="0.3">
      <c r="A80">
        <v>1078</v>
      </c>
      <c r="B80" s="2">
        <v>45812</v>
      </c>
      <c r="C80" t="s">
        <v>46</v>
      </c>
      <c r="D80" t="s">
        <v>16</v>
      </c>
      <c r="E80" t="s">
        <v>30</v>
      </c>
      <c r="F80" t="s">
        <v>53</v>
      </c>
      <c r="G80">
        <v>2</v>
      </c>
      <c r="H80" s="3">
        <v>877.9</v>
      </c>
      <c r="I80">
        <v>0</v>
      </c>
      <c r="J80" t="s">
        <v>23</v>
      </c>
      <c r="L80">
        <f t="shared" si="2"/>
        <v>1755.8</v>
      </c>
      <c r="M80">
        <f t="shared" si="3"/>
        <v>2</v>
      </c>
    </row>
    <row r="81" spans="1:13" x14ac:dyDescent="0.3">
      <c r="A81">
        <v>1079</v>
      </c>
      <c r="B81" s="2">
        <v>45939</v>
      </c>
      <c r="C81" t="s">
        <v>40</v>
      </c>
      <c r="D81" t="s">
        <v>16</v>
      </c>
      <c r="E81" t="s">
        <v>17</v>
      </c>
      <c r="F81" t="s">
        <v>49</v>
      </c>
      <c r="G81">
        <v>6</v>
      </c>
      <c r="H81" s="3">
        <v>4484.67</v>
      </c>
      <c r="I81">
        <v>5</v>
      </c>
      <c r="J81" t="s">
        <v>19</v>
      </c>
      <c r="L81">
        <f t="shared" si="2"/>
        <v>26908.02</v>
      </c>
      <c r="M81">
        <f t="shared" si="3"/>
        <v>4</v>
      </c>
    </row>
    <row r="82" spans="1:13" x14ac:dyDescent="0.3">
      <c r="A82">
        <v>1080</v>
      </c>
      <c r="B82" s="2">
        <v>45782</v>
      </c>
      <c r="C82" t="s">
        <v>28</v>
      </c>
      <c r="D82" t="s">
        <v>24</v>
      </c>
      <c r="E82" t="s">
        <v>17</v>
      </c>
      <c r="F82" t="s">
        <v>41</v>
      </c>
      <c r="G82">
        <v>6</v>
      </c>
      <c r="H82" s="3">
        <v>2568.0500000000002</v>
      </c>
      <c r="I82">
        <v>0</v>
      </c>
      <c r="J82" t="s">
        <v>27</v>
      </c>
      <c r="L82">
        <f t="shared" si="2"/>
        <v>15408.300000000001</v>
      </c>
      <c r="M82">
        <f t="shared" si="3"/>
        <v>2</v>
      </c>
    </row>
    <row r="83" spans="1:13" x14ac:dyDescent="0.3">
      <c r="A83">
        <v>1081</v>
      </c>
      <c r="B83" s="2">
        <v>45949</v>
      </c>
      <c r="C83" t="s">
        <v>40</v>
      </c>
      <c r="D83" t="s">
        <v>11</v>
      </c>
      <c r="E83" t="s">
        <v>12</v>
      </c>
      <c r="F83" t="s">
        <v>52</v>
      </c>
      <c r="G83">
        <v>7</v>
      </c>
      <c r="H83" s="3">
        <v>1815.34</v>
      </c>
      <c r="I83">
        <v>15</v>
      </c>
      <c r="J83" t="s">
        <v>14</v>
      </c>
      <c r="L83">
        <f t="shared" si="2"/>
        <v>12707.38</v>
      </c>
      <c r="M83">
        <f t="shared" si="3"/>
        <v>4</v>
      </c>
    </row>
    <row r="84" spans="1:13" x14ac:dyDescent="0.3">
      <c r="A84">
        <v>1082</v>
      </c>
      <c r="B84" s="2">
        <v>45796</v>
      </c>
      <c r="C84" t="s">
        <v>50</v>
      </c>
      <c r="D84" t="s">
        <v>11</v>
      </c>
      <c r="E84" t="s">
        <v>17</v>
      </c>
      <c r="F84" t="s">
        <v>49</v>
      </c>
      <c r="G84">
        <v>8</v>
      </c>
      <c r="H84" s="3">
        <v>1357.2</v>
      </c>
      <c r="I84">
        <v>0</v>
      </c>
      <c r="J84" t="s">
        <v>27</v>
      </c>
      <c r="L84">
        <f t="shared" si="2"/>
        <v>10857.6</v>
      </c>
      <c r="M84">
        <f t="shared" si="3"/>
        <v>2</v>
      </c>
    </row>
    <row r="85" spans="1:13" x14ac:dyDescent="0.3">
      <c r="A85">
        <v>1083</v>
      </c>
      <c r="B85" s="2">
        <v>45705</v>
      </c>
      <c r="C85" t="s">
        <v>32</v>
      </c>
      <c r="D85" t="s">
        <v>24</v>
      </c>
      <c r="E85" t="s">
        <v>25</v>
      </c>
      <c r="F85" t="s">
        <v>26</v>
      </c>
      <c r="G85">
        <v>7</v>
      </c>
      <c r="H85" s="3">
        <v>1888.94</v>
      </c>
      <c r="I85">
        <v>5</v>
      </c>
      <c r="J85" t="s">
        <v>19</v>
      </c>
      <c r="L85">
        <f t="shared" si="2"/>
        <v>13222.58</v>
      </c>
      <c r="M85">
        <f t="shared" si="3"/>
        <v>1</v>
      </c>
    </row>
    <row r="86" spans="1:13" x14ac:dyDescent="0.3">
      <c r="A86">
        <v>1084</v>
      </c>
      <c r="B86" s="2">
        <v>45723</v>
      </c>
      <c r="C86" t="s">
        <v>10</v>
      </c>
      <c r="D86" t="s">
        <v>16</v>
      </c>
      <c r="E86" t="s">
        <v>12</v>
      </c>
      <c r="F86" t="s">
        <v>43</v>
      </c>
      <c r="G86">
        <v>8</v>
      </c>
      <c r="H86" s="3">
        <v>4362.0200000000004</v>
      </c>
      <c r="I86">
        <v>5</v>
      </c>
      <c r="J86" t="s">
        <v>23</v>
      </c>
      <c r="L86">
        <f t="shared" si="2"/>
        <v>34896.160000000003</v>
      </c>
      <c r="M86">
        <f t="shared" si="3"/>
        <v>1</v>
      </c>
    </row>
    <row r="87" spans="1:13" x14ac:dyDescent="0.3">
      <c r="A87">
        <v>1085</v>
      </c>
      <c r="B87" s="2">
        <v>45928</v>
      </c>
      <c r="C87" t="s">
        <v>46</v>
      </c>
      <c r="D87" t="s">
        <v>16</v>
      </c>
      <c r="E87" t="s">
        <v>21</v>
      </c>
      <c r="F87" t="s">
        <v>51</v>
      </c>
      <c r="G87">
        <v>4</v>
      </c>
      <c r="H87" s="3">
        <v>3556.52</v>
      </c>
      <c r="I87">
        <v>0</v>
      </c>
      <c r="J87" t="s">
        <v>27</v>
      </c>
      <c r="L87">
        <f t="shared" si="2"/>
        <v>14226.08</v>
      </c>
      <c r="M87">
        <f t="shared" si="3"/>
        <v>3</v>
      </c>
    </row>
    <row r="88" spans="1:13" x14ac:dyDescent="0.3">
      <c r="A88">
        <v>1086</v>
      </c>
      <c r="B88" s="2">
        <v>46016</v>
      </c>
      <c r="C88" t="s">
        <v>46</v>
      </c>
      <c r="D88" t="s">
        <v>11</v>
      </c>
      <c r="E88" t="s">
        <v>17</v>
      </c>
      <c r="F88" t="s">
        <v>18</v>
      </c>
      <c r="G88">
        <v>1</v>
      </c>
      <c r="H88" s="3">
        <v>155.94</v>
      </c>
      <c r="I88">
        <v>0</v>
      </c>
      <c r="J88" t="s">
        <v>27</v>
      </c>
      <c r="L88">
        <f t="shared" si="2"/>
        <v>155.94</v>
      </c>
      <c r="M88">
        <f t="shared" si="3"/>
        <v>4</v>
      </c>
    </row>
    <row r="89" spans="1:13" x14ac:dyDescent="0.3">
      <c r="A89">
        <v>1087</v>
      </c>
      <c r="B89" s="2">
        <v>45988</v>
      </c>
      <c r="C89" t="s">
        <v>32</v>
      </c>
      <c r="D89" t="s">
        <v>24</v>
      </c>
      <c r="E89" t="s">
        <v>25</v>
      </c>
      <c r="F89" t="s">
        <v>36</v>
      </c>
      <c r="G89">
        <v>5</v>
      </c>
      <c r="H89" s="3">
        <v>2447.9</v>
      </c>
      <c r="I89">
        <v>5</v>
      </c>
      <c r="J89" t="s">
        <v>23</v>
      </c>
      <c r="L89">
        <f t="shared" si="2"/>
        <v>12239.5</v>
      </c>
      <c r="M89">
        <f t="shared" si="3"/>
        <v>4</v>
      </c>
    </row>
    <row r="90" spans="1:13" x14ac:dyDescent="0.3">
      <c r="A90">
        <v>1088</v>
      </c>
      <c r="B90" s="2">
        <v>45811</v>
      </c>
      <c r="C90" t="s">
        <v>44</v>
      </c>
      <c r="D90" t="s">
        <v>24</v>
      </c>
      <c r="E90" t="s">
        <v>21</v>
      </c>
      <c r="F90" t="s">
        <v>22</v>
      </c>
      <c r="G90">
        <v>7</v>
      </c>
      <c r="H90" s="3">
        <v>1284.8399999999999</v>
      </c>
      <c r="I90">
        <v>20</v>
      </c>
      <c r="J90" t="s">
        <v>14</v>
      </c>
      <c r="L90">
        <f t="shared" si="2"/>
        <v>8993.8799999999992</v>
      </c>
      <c r="M90">
        <f t="shared" si="3"/>
        <v>2</v>
      </c>
    </row>
    <row r="91" spans="1:13" x14ac:dyDescent="0.3">
      <c r="A91">
        <v>1089</v>
      </c>
      <c r="B91" s="2">
        <v>45933</v>
      </c>
      <c r="C91" t="s">
        <v>32</v>
      </c>
      <c r="D91" t="s">
        <v>16</v>
      </c>
      <c r="E91" t="s">
        <v>21</v>
      </c>
      <c r="F91" t="s">
        <v>22</v>
      </c>
      <c r="G91">
        <v>5</v>
      </c>
      <c r="H91" s="3">
        <v>4321.3900000000003</v>
      </c>
      <c r="I91">
        <v>15</v>
      </c>
      <c r="J91" t="s">
        <v>27</v>
      </c>
      <c r="L91">
        <f t="shared" si="2"/>
        <v>21606.95</v>
      </c>
      <c r="M91">
        <f t="shared" si="3"/>
        <v>4</v>
      </c>
    </row>
    <row r="92" spans="1:13" x14ac:dyDescent="0.3">
      <c r="A92">
        <v>1090</v>
      </c>
      <c r="B92" s="2">
        <v>45938</v>
      </c>
      <c r="C92" t="s">
        <v>40</v>
      </c>
      <c r="D92" t="s">
        <v>11</v>
      </c>
      <c r="E92" t="s">
        <v>30</v>
      </c>
      <c r="F92" t="s">
        <v>53</v>
      </c>
      <c r="G92">
        <v>7</v>
      </c>
      <c r="H92" s="3">
        <v>3215.24</v>
      </c>
      <c r="I92">
        <v>0</v>
      </c>
      <c r="J92" t="s">
        <v>23</v>
      </c>
      <c r="L92">
        <f t="shared" si="2"/>
        <v>22506.68</v>
      </c>
      <c r="M92">
        <f t="shared" si="3"/>
        <v>4</v>
      </c>
    </row>
    <row r="93" spans="1:13" x14ac:dyDescent="0.3">
      <c r="A93">
        <v>1091</v>
      </c>
      <c r="B93" s="2">
        <v>45913</v>
      </c>
      <c r="C93" t="s">
        <v>15</v>
      </c>
      <c r="D93" t="s">
        <v>11</v>
      </c>
      <c r="E93" t="s">
        <v>21</v>
      </c>
      <c r="F93" t="s">
        <v>29</v>
      </c>
      <c r="G93">
        <v>5</v>
      </c>
      <c r="H93" s="3">
        <v>1141.1099999999999</v>
      </c>
      <c r="I93">
        <v>5</v>
      </c>
      <c r="J93" t="s">
        <v>42</v>
      </c>
      <c r="L93">
        <f t="shared" si="2"/>
        <v>5705.5499999999993</v>
      </c>
      <c r="M93">
        <f t="shared" si="3"/>
        <v>3</v>
      </c>
    </row>
    <row r="94" spans="1:13" x14ac:dyDescent="0.3">
      <c r="A94">
        <v>1092</v>
      </c>
      <c r="B94" s="2">
        <v>45675</v>
      </c>
      <c r="C94" t="s">
        <v>50</v>
      </c>
      <c r="D94" t="s">
        <v>16</v>
      </c>
      <c r="E94" t="s">
        <v>17</v>
      </c>
      <c r="F94" t="s">
        <v>49</v>
      </c>
      <c r="G94">
        <v>6</v>
      </c>
      <c r="H94" s="3">
        <v>3119.17</v>
      </c>
      <c r="I94">
        <v>0</v>
      </c>
      <c r="J94" t="s">
        <v>23</v>
      </c>
      <c r="L94">
        <f t="shared" si="2"/>
        <v>18715.02</v>
      </c>
      <c r="M94">
        <f t="shared" si="3"/>
        <v>1</v>
      </c>
    </row>
    <row r="95" spans="1:13" x14ac:dyDescent="0.3">
      <c r="A95">
        <v>1093</v>
      </c>
      <c r="B95" s="2">
        <v>45763</v>
      </c>
      <c r="C95" t="s">
        <v>46</v>
      </c>
      <c r="D95" t="s">
        <v>24</v>
      </c>
      <c r="E95" t="s">
        <v>12</v>
      </c>
      <c r="F95" t="s">
        <v>43</v>
      </c>
      <c r="G95">
        <v>5</v>
      </c>
      <c r="H95" s="3">
        <v>3481.48</v>
      </c>
      <c r="I95">
        <v>0</v>
      </c>
      <c r="J95" t="s">
        <v>27</v>
      </c>
      <c r="L95">
        <f t="shared" si="2"/>
        <v>17407.400000000001</v>
      </c>
      <c r="M95">
        <f t="shared" si="3"/>
        <v>2</v>
      </c>
    </row>
    <row r="96" spans="1:13" x14ac:dyDescent="0.3">
      <c r="A96">
        <v>1094</v>
      </c>
      <c r="B96" s="2">
        <v>45793</v>
      </c>
      <c r="C96" t="s">
        <v>32</v>
      </c>
      <c r="D96" t="s">
        <v>11</v>
      </c>
      <c r="E96" t="s">
        <v>30</v>
      </c>
      <c r="F96" t="s">
        <v>53</v>
      </c>
      <c r="G96">
        <v>8</v>
      </c>
      <c r="H96" s="3">
        <v>2803.93</v>
      </c>
      <c r="I96">
        <v>0</v>
      </c>
      <c r="J96" t="s">
        <v>19</v>
      </c>
      <c r="L96">
        <f t="shared" si="2"/>
        <v>22431.439999999999</v>
      </c>
      <c r="M96">
        <f t="shared" si="3"/>
        <v>2</v>
      </c>
    </row>
    <row r="97" spans="1:13" x14ac:dyDescent="0.3">
      <c r="A97">
        <v>1095</v>
      </c>
      <c r="B97" s="2">
        <v>45962</v>
      </c>
      <c r="C97" t="s">
        <v>37</v>
      </c>
      <c r="D97" t="s">
        <v>16</v>
      </c>
      <c r="E97" t="s">
        <v>30</v>
      </c>
      <c r="F97" t="s">
        <v>45</v>
      </c>
      <c r="G97">
        <v>1</v>
      </c>
      <c r="H97" s="3">
        <v>1076.33</v>
      </c>
      <c r="I97">
        <v>10</v>
      </c>
      <c r="J97" t="s">
        <v>27</v>
      </c>
      <c r="L97">
        <f t="shared" si="2"/>
        <v>1076.33</v>
      </c>
      <c r="M97">
        <f t="shared" si="3"/>
        <v>4</v>
      </c>
    </row>
    <row r="98" spans="1:13" x14ac:dyDescent="0.3">
      <c r="A98">
        <v>1096</v>
      </c>
      <c r="B98" s="2">
        <v>46021</v>
      </c>
      <c r="C98" t="s">
        <v>10</v>
      </c>
      <c r="D98" t="s">
        <v>24</v>
      </c>
      <c r="E98" t="s">
        <v>30</v>
      </c>
      <c r="F98" t="s">
        <v>45</v>
      </c>
      <c r="G98">
        <v>7</v>
      </c>
      <c r="H98" s="3">
        <v>2105.94</v>
      </c>
      <c r="I98">
        <v>15</v>
      </c>
      <c r="J98" t="s">
        <v>42</v>
      </c>
      <c r="L98">
        <f t="shared" si="2"/>
        <v>14741.58</v>
      </c>
      <c r="M98">
        <f t="shared" si="3"/>
        <v>4</v>
      </c>
    </row>
    <row r="99" spans="1:13" x14ac:dyDescent="0.3">
      <c r="A99">
        <v>1097</v>
      </c>
      <c r="B99" s="2">
        <v>45742</v>
      </c>
      <c r="C99" t="s">
        <v>50</v>
      </c>
      <c r="D99" t="s">
        <v>24</v>
      </c>
      <c r="E99" t="s">
        <v>21</v>
      </c>
      <c r="F99" t="s">
        <v>22</v>
      </c>
      <c r="G99">
        <v>3</v>
      </c>
      <c r="H99" s="3">
        <v>2988.24</v>
      </c>
      <c r="I99">
        <v>10</v>
      </c>
      <c r="J99" t="s">
        <v>19</v>
      </c>
      <c r="L99">
        <f t="shared" si="2"/>
        <v>8964.7199999999993</v>
      </c>
      <c r="M99">
        <f t="shared" si="3"/>
        <v>1</v>
      </c>
    </row>
    <row r="100" spans="1:13" x14ac:dyDescent="0.3">
      <c r="A100">
        <v>1098</v>
      </c>
      <c r="B100" s="2">
        <v>45998</v>
      </c>
      <c r="C100" t="s">
        <v>15</v>
      </c>
      <c r="D100" t="s">
        <v>33</v>
      </c>
      <c r="E100" t="s">
        <v>21</v>
      </c>
      <c r="F100" t="s">
        <v>47</v>
      </c>
      <c r="G100">
        <v>6</v>
      </c>
      <c r="H100" s="3">
        <v>2074.59</v>
      </c>
      <c r="I100">
        <v>0</v>
      </c>
      <c r="J100" t="s">
        <v>23</v>
      </c>
      <c r="L100">
        <f t="shared" si="2"/>
        <v>12447.54</v>
      </c>
      <c r="M100">
        <f t="shared" si="3"/>
        <v>4</v>
      </c>
    </row>
    <row r="101" spans="1:13" x14ac:dyDescent="0.3">
      <c r="A101">
        <v>1099</v>
      </c>
      <c r="B101" s="2">
        <v>45699</v>
      </c>
      <c r="C101" t="s">
        <v>50</v>
      </c>
      <c r="D101" t="s">
        <v>16</v>
      </c>
      <c r="E101" t="s">
        <v>21</v>
      </c>
      <c r="F101" t="s">
        <v>47</v>
      </c>
      <c r="G101">
        <v>2</v>
      </c>
      <c r="H101" s="3">
        <v>2590.91</v>
      </c>
      <c r="I101">
        <v>20</v>
      </c>
      <c r="J101" t="s">
        <v>27</v>
      </c>
      <c r="L101">
        <f t="shared" si="2"/>
        <v>5181.82</v>
      </c>
      <c r="M101">
        <f t="shared" si="3"/>
        <v>1</v>
      </c>
    </row>
    <row r="102" spans="1:13" x14ac:dyDescent="0.3">
      <c r="A102">
        <v>1100</v>
      </c>
      <c r="B102" s="2">
        <v>45816</v>
      </c>
      <c r="C102" t="s">
        <v>15</v>
      </c>
      <c r="D102" t="s">
        <v>11</v>
      </c>
      <c r="E102" t="s">
        <v>30</v>
      </c>
      <c r="F102" t="s">
        <v>31</v>
      </c>
      <c r="G102">
        <v>1</v>
      </c>
      <c r="H102" s="3">
        <v>3217.87</v>
      </c>
      <c r="I102">
        <v>0</v>
      </c>
      <c r="J102" t="s">
        <v>42</v>
      </c>
      <c r="L102">
        <f t="shared" si="2"/>
        <v>3217.87</v>
      </c>
      <c r="M102">
        <f t="shared" si="3"/>
        <v>2</v>
      </c>
    </row>
    <row r="103" spans="1:13" x14ac:dyDescent="0.3">
      <c r="A103">
        <v>1101</v>
      </c>
      <c r="B103" s="2">
        <v>45756</v>
      </c>
      <c r="C103" t="s">
        <v>50</v>
      </c>
      <c r="D103" t="s">
        <v>33</v>
      </c>
      <c r="E103" t="s">
        <v>25</v>
      </c>
      <c r="F103" t="s">
        <v>34</v>
      </c>
      <c r="G103">
        <v>8</v>
      </c>
      <c r="H103" s="3">
        <v>281.73</v>
      </c>
      <c r="I103">
        <v>5</v>
      </c>
      <c r="J103" t="s">
        <v>27</v>
      </c>
      <c r="L103">
        <f t="shared" si="2"/>
        <v>2253.84</v>
      </c>
      <c r="M103">
        <f t="shared" si="3"/>
        <v>2</v>
      </c>
    </row>
    <row r="104" spans="1:13" x14ac:dyDescent="0.3">
      <c r="A104">
        <v>1102</v>
      </c>
      <c r="B104" s="2">
        <v>45850</v>
      </c>
      <c r="C104" t="s">
        <v>10</v>
      </c>
      <c r="D104" t="s">
        <v>16</v>
      </c>
      <c r="E104" t="s">
        <v>30</v>
      </c>
      <c r="F104" t="s">
        <v>45</v>
      </c>
      <c r="G104">
        <v>2</v>
      </c>
      <c r="H104" s="3">
        <v>3644.52</v>
      </c>
      <c r="I104">
        <v>0</v>
      </c>
      <c r="J104" t="s">
        <v>42</v>
      </c>
      <c r="L104">
        <f t="shared" si="2"/>
        <v>7289.04</v>
      </c>
      <c r="M104">
        <f t="shared" si="3"/>
        <v>3</v>
      </c>
    </row>
    <row r="105" spans="1:13" x14ac:dyDescent="0.3">
      <c r="A105">
        <v>1103</v>
      </c>
      <c r="B105" s="2">
        <v>45968</v>
      </c>
      <c r="C105" t="s">
        <v>50</v>
      </c>
      <c r="D105" t="s">
        <v>33</v>
      </c>
      <c r="E105" t="s">
        <v>17</v>
      </c>
      <c r="F105" t="s">
        <v>18</v>
      </c>
      <c r="G105">
        <v>5</v>
      </c>
      <c r="H105" s="3">
        <v>1607.12</v>
      </c>
      <c r="I105">
        <v>10</v>
      </c>
      <c r="J105" t="s">
        <v>23</v>
      </c>
      <c r="L105">
        <f t="shared" si="2"/>
        <v>8035.5999999999995</v>
      </c>
      <c r="M105">
        <f t="shared" si="3"/>
        <v>4</v>
      </c>
    </row>
    <row r="106" spans="1:13" x14ac:dyDescent="0.3">
      <c r="A106">
        <v>1104</v>
      </c>
      <c r="B106" s="2">
        <v>45799</v>
      </c>
      <c r="C106" t="s">
        <v>32</v>
      </c>
      <c r="D106" t="s">
        <v>11</v>
      </c>
      <c r="E106" t="s">
        <v>12</v>
      </c>
      <c r="F106" t="s">
        <v>52</v>
      </c>
      <c r="G106">
        <v>2</v>
      </c>
      <c r="H106" s="3">
        <v>255.52</v>
      </c>
      <c r="I106">
        <v>0</v>
      </c>
      <c r="J106" t="s">
        <v>23</v>
      </c>
      <c r="L106">
        <f t="shared" si="2"/>
        <v>511.04</v>
      </c>
      <c r="M106">
        <f t="shared" si="3"/>
        <v>2</v>
      </c>
    </row>
    <row r="107" spans="1:13" x14ac:dyDescent="0.3">
      <c r="A107">
        <v>1105</v>
      </c>
      <c r="B107" s="2">
        <v>45855</v>
      </c>
      <c r="C107" t="s">
        <v>32</v>
      </c>
      <c r="D107" t="s">
        <v>16</v>
      </c>
      <c r="E107" t="s">
        <v>30</v>
      </c>
      <c r="F107" t="s">
        <v>38</v>
      </c>
      <c r="G107">
        <v>8</v>
      </c>
      <c r="H107" s="3">
        <v>727.28</v>
      </c>
      <c r="I107">
        <v>5</v>
      </c>
      <c r="J107" t="s">
        <v>27</v>
      </c>
      <c r="L107">
        <f t="shared" si="2"/>
        <v>5818.24</v>
      </c>
      <c r="M107">
        <f t="shared" si="3"/>
        <v>3</v>
      </c>
    </row>
    <row r="108" spans="1:13" x14ac:dyDescent="0.3">
      <c r="A108">
        <v>1106</v>
      </c>
      <c r="B108" s="2">
        <v>46012</v>
      </c>
      <c r="C108" t="s">
        <v>37</v>
      </c>
      <c r="D108" t="s">
        <v>24</v>
      </c>
      <c r="E108" t="s">
        <v>21</v>
      </c>
      <c r="F108" t="s">
        <v>47</v>
      </c>
      <c r="G108">
        <v>6</v>
      </c>
      <c r="H108" s="3">
        <v>3896.4</v>
      </c>
      <c r="I108">
        <v>5</v>
      </c>
      <c r="J108" t="s">
        <v>42</v>
      </c>
      <c r="L108">
        <f t="shared" si="2"/>
        <v>23378.400000000001</v>
      </c>
      <c r="M108">
        <f t="shared" si="3"/>
        <v>4</v>
      </c>
    </row>
    <row r="109" spans="1:13" x14ac:dyDescent="0.3">
      <c r="A109">
        <v>1107</v>
      </c>
      <c r="B109" s="2">
        <v>45920</v>
      </c>
      <c r="C109" t="s">
        <v>40</v>
      </c>
      <c r="D109" t="s">
        <v>16</v>
      </c>
      <c r="E109" t="s">
        <v>25</v>
      </c>
      <c r="F109" t="s">
        <v>36</v>
      </c>
      <c r="G109">
        <v>3</v>
      </c>
      <c r="H109" s="3">
        <v>1225.79</v>
      </c>
      <c r="I109">
        <v>0</v>
      </c>
      <c r="J109" t="s">
        <v>23</v>
      </c>
      <c r="L109">
        <f t="shared" si="2"/>
        <v>3677.37</v>
      </c>
      <c r="M109">
        <f t="shared" si="3"/>
        <v>3</v>
      </c>
    </row>
    <row r="110" spans="1:13" x14ac:dyDescent="0.3">
      <c r="A110">
        <v>1108</v>
      </c>
      <c r="B110" s="2">
        <v>45740</v>
      </c>
      <c r="C110" t="s">
        <v>15</v>
      </c>
      <c r="D110" t="s">
        <v>11</v>
      </c>
      <c r="E110" t="s">
        <v>30</v>
      </c>
      <c r="F110" t="s">
        <v>31</v>
      </c>
      <c r="G110">
        <v>2</v>
      </c>
      <c r="H110" s="3">
        <v>1302.28</v>
      </c>
      <c r="I110">
        <v>0</v>
      </c>
      <c r="J110" t="s">
        <v>27</v>
      </c>
      <c r="L110">
        <f t="shared" si="2"/>
        <v>2604.56</v>
      </c>
      <c r="M110">
        <f t="shared" si="3"/>
        <v>1</v>
      </c>
    </row>
    <row r="111" spans="1:13" x14ac:dyDescent="0.3">
      <c r="A111">
        <v>1109</v>
      </c>
      <c r="B111" s="2">
        <v>45913</v>
      </c>
      <c r="C111" t="s">
        <v>46</v>
      </c>
      <c r="D111" t="s">
        <v>24</v>
      </c>
      <c r="E111" t="s">
        <v>21</v>
      </c>
      <c r="F111" t="s">
        <v>51</v>
      </c>
      <c r="G111">
        <v>4</v>
      </c>
      <c r="H111" s="3">
        <v>728.25</v>
      </c>
      <c r="I111">
        <v>5</v>
      </c>
      <c r="J111" t="s">
        <v>14</v>
      </c>
      <c r="L111">
        <f t="shared" si="2"/>
        <v>2913</v>
      </c>
      <c r="M111">
        <f t="shared" si="3"/>
        <v>3</v>
      </c>
    </row>
    <row r="112" spans="1:13" x14ac:dyDescent="0.3">
      <c r="A112">
        <v>1110</v>
      </c>
      <c r="B112" s="2">
        <v>45808</v>
      </c>
      <c r="C112" t="s">
        <v>32</v>
      </c>
      <c r="D112" t="s">
        <v>33</v>
      </c>
      <c r="E112" t="s">
        <v>17</v>
      </c>
      <c r="F112" t="s">
        <v>18</v>
      </c>
      <c r="G112">
        <v>5</v>
      </c>
      <c r="H112" s="3">
        <v>1772.42</v>
      </c>
      <c r="I112">
        <v>15</v>
      </c>
      <c r="J112" t="s">
        <v>42</v>
      </c>
      <c r="L112">
        <f t="shared" si="2"/>
        <v>8862.1</v>
      </c>
      <c r="M112">
        <f t="shared" si="3"/>
        <v>2</v>
      </c>
    </row>
    <row r="113" spans="1:13" x14ac:dyDescent="0.3">
      <c r="A113">
        <v>1111</v>
      </c>
      <c r="B113" s="2">
        <v>45784</v>
      </c>
      <c r="C113" t="s">
        <v>37</v>
      </c>
      <c r="D113" t="s">
        <v>24</v>
      </c>
      <c r="E113" t="s">
        <v>17</v>
      </c>
      <c r="F113" t="s">
        <v>49</v>
      </c>
      <c r="G113">
        <v>4</v>
      </c>
      <c r="H113" s="3">
        <v>816.95</v>
      </c>
      <c r="I113">
        <v>10</v>
      </c>
      <c r="J113" t="s">
        <v>27</v>
      </c>
      <c r="L113">
        <f t="shared" si="2"/>
        <v>3267.8</v>
      </c>
      <c r="M113">
        <f t="shared" si="3"/>
        <v>2</v>
      </c>
    </row>
    <row r="114" spans="1:13" x14ac:dyDescent="0.3">
      <c r="A114">
        <v>1112</v>
      </c>
      <c r="B114" s="2">
        <v>45860</v>
      </c>
      <c r="C114" t="s">
        <v>32</v>
      </c>
      <c r="D114" t="s">
        <v>24</v>
      </c>
      <c r="E114" t="s">
        <v>12</v>
      </c>
      <c r="F114" t="s">
        <v>43</v>
      </c>
      <c r="G114">
        <v>4</v>
      </c>
      <c r="H114" s="3">
        <v>2975.94</v>
      </c>
      <c r="I114">
        <v>0</v>
      </c>
      <c r="J114" t="s">
        <v>19</v>
      </c>
      <c r="L114">
        <f t="shared" si="2"/>
        <v>11903.76</v>
      </c>
      <c r="M114">
        <f t="shared" si="3"/>
        <v>3</v>
      </c>
    </row>
    <row r="115" spans="1:13" x14ac:dyDescent="0.3">
      <c r="A115">
        <v>1113</v>
      </c>
      <c r="B115" s="2">
        <v>45660</v>
      </c>
      <c r="C115" t="s">
        <v>46</v>
      </c>
      <c r="D115" t="s">
        <v>24</v>
      </c>
      <c r="E115" t="s">
        <v>21</v>
      </c>
      <c r="F115" t="s">
        <v>22</v>
      </c>
      <c r="G115">
        <v>8</v>
      </c>
      <c r="H115" s="3">
        <v>4127.53</v>
      </c>
      <c r="I115">
        <v>0</v>
      </c>
      <c r="J115" t="s">
        <v>42</v>
      </c>
      <c r="L115">
        <f t="shared" si="2"/>
        <v>33020.239999999998</v>
      </c>
      <c r="M115">
        <f t="shared" si="3"/>
        <v>1</v>
      </c>
    </row>
    <row r="116" spans="1:13" x14ac:dyDescent="0.3">
      <c r="A116">
        <v>1114</v>
      </c>
      <c r="B116" s="2">
        <v>45683</v>
      </c>
      <c r="C116" t="s">
        <v>40</v>
      </c>
      <c r="D116" t="s">
        <v>24</v>
      </c>
      <c r="E116" t="s">
        <v>17</v>
      </c>
      <c r="F116" t="s">
        <v>18</v>
      </c>
      <c r="G116">
        <v>2</v>
      </c>
      <c r="H116" s="3">
        <v>1769.23</v>
      </c>
      <c r="I116">
        <v>20</v>
      </c>
      <c r="J116" t="s">
        <v>27</v>
      </c>
      <c r="L116">
        <f t="shared" si="2"/>
        <v>3538.46</v>
      </c>
      <c r="M116">
        <f t="shared" si="3"/>
        <v>1</v>
      </c>
    </row>
    <row r="117" spans="1:13" x14ac:dyDescent="0.3">
      <c r="A117">
        <v>1115</v>
      </c>
      <c r="B117" s="2">
        <v>45998</v>
      </c>
      <c r="C117" t="s">
        <v>10</v>
      </c>
      <c r="D117" t="s">
        <v>11</v>
      </c>
      <c r="E117" t="s">
        <v>30</v>
      </c>
      <c r="F117" t="s">
        <v>31</v>
      </c>
      <c r="G117">
        <v>6</v>
      </c>
      <c r="H117" s="3">
        <v>1096.76</v>
      </c>
      <c r="I117">
        <v>0</v>
      </c>
      <c r="J117" t="s">
        <v>42</v>
      </c>
      <c r="L117">
        <f t="shared" si="2"/>
        <v>6580.5599999999995</v>
      </c>
      <c r="M117">
        <f t="shared" si="3"/>
        <v>4</v>
      </c>
    </row>
    <row r="118" spans="1:13" x14ac:dyDescent="0.3">
      <c r="A118">
        <v>1116</v>
      </c>
      <c r="B118" s="2">
        <v>45762</v>
      </c>
      <c r="C118" t="s">
        <v>32</v>
      </c>
      <c r="D118" t="s">
        <v>11</v>
      </c>
      <c r="E118" t="s">
        <v>17</v>
      </c>
      <c r="F118" t="s">
        <v>18</v>
      </c>
      <c r="G118">
        <v>4</v>
      </c>
      <c r="H118" s="3">
        <v>3694.14</v>
      </c>
      <c r="I118">
        <v>20</v>
      </c>
      <c r="J118" t="s">
        <v>42</v>
      </c>
      <c r="L118">
        <f t="shared" si="2"/>
        <v>14776.56</v>
      </c>
      <c r="M118">
        <f t="shared" si="3"/>
        <v>2</v>
      </c>
    </row>
    <row r="119" spans="1:13" x14ac:dyDescent="0.3">
      <c r="A119">
        <v>1117</v>
      </c>
      <c r="B119" s="2">
        <v>45752</v>
      </c>
      <c r="C119" t="s">
        <v>20</v>
      </c>
      <c r="D119" t="s">
        <v>33</v>
      </c>
      <c r="E119" t="s">
        <v>30</v>
      </c>
      <c r="F119" t="s">
        <v>31</v>
      </c>
      <c r="G119">
        <v>2</v>
      </c>
      <c r="H119" s="3">
        <v>1034.82</v>
      </c>
      <c r="I119">
        <v>20</v>
      </c>
      <c r="J119" t="s">
        <v>19</v>
      </c>
      <c r="L119">
        <f t="shared" si="2"/>
        <v>2069.64</v>
      </c>
      <c r="M119">
        <f t="shared" si="3"/>
        <v>2</v>
      </c>
    </row>
    <row r="120" spans="1:13" x14ac:dyDescent="0.3">
      <c r="A120">
        <v>1118</v>
      </c>
      <c r="B120" s="2">
        <v>45690</v>
      </c>
      <c r="C120" t="s">
        <v>15</v>
      </c>
      <c r="D120" t="s">
        <v>11</v>
      </c>
      <c r="E120" t="s">
        <v>25</v>
      </c>
      <c r="F120" t="s">
        <v>34</v>
      </c>
      <c r="G120">
        <v>7</v>
      </c>
      <c r="H120" s="3">
        <v>3038.51</v>
      </c>
      <c r="I120">
        <v>0</v>
      </c>
      <c r="J120" t="s">
        <v>14</v>
      </c>
      <c r="L120">
        <f t="shared" si="2"/>
        <v>21269.57</v>
      </c>
      <c r="M120">
        <f t="shared" si="3"/>
        <v>1</v>
      </c>
    </row>
    <row r="121" spans="1:13" x14ac:dyDescent="0.3">
      <c r="A121">
        <v>1119</v>
      </c>
      <c r="B121" s="2">
        <v>45861</v>
      </c>
      <c r="C121" t="s">
        <v>32</v>
      </c>
      <c r="D121" t="s">
        <v>16</v>
      </c>
      <c r="E121" t="s">
        <v>21</v>
      </c>
      <c r="F121" t="s">
        <v>29</v>
      </c>
      <c r="G121">
        <v>5</v>
      </c>
      <c r="H121" s="3">
        <v>3054.98</v>
      </c>
      <c r="I121">
        <v>5</v>
      </c>
      <c r="J121" t="s">
        <v>23</v>
      </c>
      <c r="L121">
        <f t="shared" si="2"/>
        <v>15274.9</v>
      </c>
      <c r="M121">
        <f t="shared" si="3"/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zoomScale="85" zoomScaleNormal="85" workbookViewId="0">
      <selection activeCell="B14" sqref="B14"/>
    </sheetView>
  </sheetViews>
  <sheetFormatPr defaultColWidth="8.6640625" defaultRowHeight="14.4" x14ac:dyDescent="0.3"/>
  <cols>
    <col min="1" max="1" width="125.77734375" bestFit="1" customWidth="1"/>
    <col min="2" max="2" width="40" customWidth="1"/>
  </cols>
  <sheetData>
    <row r="1" spans="1:5" ht="17.399999999999999" x14ac:dyDescent="0.3">
      <c r="A1" s="4" t="s">
        <v>54</v>
      </c>
    </row>
    <row r="2" spans="1:5" x14ac:dyDescent="0.3">
      <c r="A2" t="s">
        <v>55</v>
      </c>
    </row>
    <row r="4" spans="1:5" x14ac:dyDescent="0.3">
      <c r="A4" s="5" t="s">
        <v>56</v>
      </c>
      <c r="B4">
        <f>SUMIFS(Data!L:L,Data!E:E,"Electronics",Data!D:D,"North")</f>
        <v>46201.369999999995</v>
      </c>
    </row>
    <row r="5" spans="1:5" x14ac:dyDescent="0.3">
      <c r="A5" s="5" t="s">
        <v>57</v>
      </c>
      <c r="B5">
        <f>COUNTIFS(Data!J2:J121,"Priya",Data!I2:I121,"&gt;10")</f>
        <v>9</v>
      </c>
    </row>
    <row r="6" spans="1:5" x14ac:dyDescent="0.3">
      <c r="A6" s="5" t="s">
        <v>58</v>
      </c>
      <c r="B6" t="str">
        <f>_xlfn.XLOOKUP(1050,Data!A2:A121,Data!F2:F121,"Not found")</f>
        <v>Wool Sweater</v>
      </c>
    </row>
    <row r="7" spans="1:5" x14ac:dyDescent="0.3">
      <c r="A7" s="5" t="s">
        <v>59</v>
      </c>
      <c r="B7">
        <f>AVERAGEIFS(Data!H2:H121,Data!E2:E121,"Apparel",Data!J2:J121,"Rahul")</f>
        <v>2842.3675000000003</v>
      </c>
    </row>
    <row r="8" spans="1:5" x14ac:dyDescent="0.3">
      <c r="A8" s="5" t="s">
        <v>60</v>
      </c>
      <c r="B8" cm="1">
        <f t="array" ref="B8">SUM(Data!G2:G121*Data!H2:H121*(1-Data!I2:I121/100))</f>
        <v>1214807.2465000004</v>
      </c>
    </row>
    <row r="9" spans="1:5" x14ac:dyDescent="0.3">
      <c r="A9" s="5" t="s">
        <v>61</v>
      </c>
      <c r="B9" t="str" cm="1">
        <f t="array" ref="B9">_xlfn.IFS(Data!G2&lt;=3,"Small",Data!G2&lt;=6,"Medium",Data!G2&gt;7,"Large")</f>
        <v>Small</v>
      </c>
    </row>
    <row r="10" spans="1:5" x14ac:dyDescent="0.3">
      <c r="A10" s="5" t="s">
        <v>83</v>
      </c>
      <c r="B10" t="str">
        <f>TEXT(Data!B12,"mmmm yyyy")</f>
        <v>May 2025</v>
      </c>
    </row>
    <row r="11" spans="1:5" x14ac:dyDescent="0.3">
      <c r="A11" s="5" t="s">
        <v>62</v>
      </c>
      <c r="B11" cm="1">
        <f t="array" ref="B11">_xlfn.XLOOKUP(1,(Data!D2:D121="South")*(Data!F2:F121="Yoga Mat"),(Data!H2:H121),"Not Found")</f>
        <v>712.63</v>
      </c>
    </row>
    <row r="12" spans="1:5" x14ac:dyDescent="0.3">
      <c r="A12" s="5" t="s">
        <v>63</v>
      </c>
      <c r="B12" t="s">
        <v>85</v>
      </c>
      <c r="C12" t="str" cm="1">
        <f t="array" ref="C12:C16">_xlfn._xlws.SORT(_xlfn.UNIQUE(Data!J2:J121))</f>
        <v>Amit</v>
      </c>
      <c r="E12" t="s">
        <v>87</v>
      </c>
    </row>
    <row r="13" spans="1:5" x14ac:dyDescent="0.3">
      <c r="A13" s="5" t="s">
        <v>64</v>
      </c>
      <c r="B13" t="s">
        <v>85</v>
      </c>
      <c r="C13" t="str">
        <v>Priya</v>
      </c>
      <c r="E13" cm="1">
        <f t="array" ref="E13:E28">_xlfn._xlws.FILTER(Data!A2:A121,(Data!D2:D121="West")*(Data!I2:I121=0))</f>
        <v>1006</v>
      </c>
    </row>
    <row r="14" spans="1:5" x14ac:dyDescent="0.3">
      <c r="A14" s="5" t="s">
        <v>65</v>
      </c>
      <c r="B14">
        <f>COUNTIF(Data!F2:F121,"*Band*")</f>
        <v>3</v>
      </c>
      <c r="C14" t="str">
        <v>Rahul</v>
      </c>
      <c r="E14">
        <v>1012</v>
      </c>
    </row>
    <row r="15" spans="1:5" x14ac:dyDescent="0.3">
      <c r="A15" s="5" t="s">
        <v>66</v>
      </c>
      <c r="B15" t="str">
        <f>_xlfn.XLOOKUP(_xlfn.MAXIFS(Data!L2:L121,Data!E2:E121,"Beauty"),Data!L2:L121,Data!J2:J121,"not found")</f>
        <v>Rahul</v>
      </c>
      <c r="C15" t="str">
        <v>Sneha</v>
      </c>
      <c r="E15">
        <v>1016</v>
      </c>
    </row>
    <row r="16" spans="1:5" x14ac:dyDescent="0.3">
      <c r="A16" s="5" t="s">
        <v>67</v>
      </c>
      <c r="B16" cm="1">
        <f t="array" ref="B16">COUNTA(_xlfn.UNIQUE(_xlfn._xlws.FILTER(Data!C2:C121,Data!D2:D121="East")))</f>
        <v>8</v>
      </c>
      <c r="C16" t="str">
        <v>Vikram</v>
      </c>
      <c r="E16">
        <v>1020</v>
      </c>
    </row>
    <row r="17" spans="1:5" x14ac:dyDescent="0.3">
      <c r="A17" s="5" t="s">
        <v>68</v>
      </c>
      <c r="B17">
        <f>LARGE(Data!H2:H121,2)</f>
        <v>4475.2299999999996</v>
      </c>
      <c r="E17">
        <v>1034</v>
      </c>
    </row>
    <row r="18" spans="1:5" x14ac:dyDescent="0.3">
      <c r="A18" s="5" t="s">
        <v>69</v>
      </c>
      <c r="B18" t="str">
        <f>_xlfn.XLOOKUP(MAX(Data!L2:L121),Data!L2:L121,Data!C2:C121,"Not found")</f>
        <v>Aarav Mehta</v>
      </c>
      <c r="E18">
        <v>1035</v>
      </c>
    </row>
    <row r="19" spans="1:5" x14ac:dyDescent="0.3">
      <c r="A19" s="5" t="s">
        <v>70</v>
      </c>
      <c r="B19">
        <f>COUNTIF(Data!M2:M121,"=1")</f>
        <v>32</v>
      </c>
      <c r="E19">
        <v>1036</v>
      </c>
    </row>
    <row r="20" spans="1:5" x14ac:dyDescent="0.3">
      <c r="A20" s="5" t="s">
        <v>71</v>
      </c>
      <c r="B20" s="6">
        <f>COUNTIF(Data!I2:I121,"=0")/COUNTA(Data!I2:I121)</f>
        <v>0.5</v>
      </c>
      <c r="E20">
        <v>1037</v>
      </c>
    </row>
    <row r="21" spans="1:5" x14ac:dyDescent="0.3">
      <c r="A21" s="5" t="s">
        <v>72</v>
      </c>
      <c r="B21" t="str" cm="1">
        <f t="array" ref="B21">INDEX(Data!F2:F121,_xlfn.MODE.SNGL(MATCH(Data!F2:F121,Data!F2:F121,0)))</f>
        <v>Wireless Mouse</v>
      </c>
      <c r="E21">
        <v>1040</v>
      </c>
    </row>
    <row r="22" spans="1:5" x14ac:dyDescent="0.3">
      <c r="A22" s="5" t="s">
        <v>73</v>
      </c>
      <c r="B22" t="s">
        <v>85</v>
      </c>
      <c r="C22" t="str" cm="1">
        <f t="array" ref="C22:C25">_xlfn.UNIQUE(Data!D2:D121)</f>
        <v>North</v>
      </c>
      <c r="D22">
        <f>SUMIF(Data!D2:D121,'Formula Test'!C22,Data!L2:L121)</f>
        <v>352344.95999999996</v>
      </c>
      <c r="E22">
        <v>1044</v>
      </c>
    </row>
    <row r="23" spans="1:5" x14ac:dyDescent="0.3">
      <c r="A23" s="5" t="s">
        <v>74</v>
      </c>
      <c r="B23" t="str">
        <f>TEXT(Data!B27,"dddd")</f>
        <v>Saturday</v>
      </c>
      <c r="C23" t="str">
        <v>West</v>
      </c>
      <c r="D23">
        <f>SUMIF(Data!D3:D122,'Formula Test'!C23,Data!L3:L122)</f>
        <v>367354.66</v>
      </c>
      <c r="E23">
        <v>1067</v>
      </c>
    </row>
    <row r="24" spans="1:5" x14ac:dyDescent="0.3">
      <c r="A24" s="5" t="s">
        <v>75</v>
      </c>
      <c r="B24">
        <f>AVERAGEIF(Data!G2:G121,"&gt;5",Data!L2:L121)</f>
        <v>16760.450652173917</v>
      </c>
      <c r="C24" t="str">
        <v>South</v>
      </c>
      <c r="D24">
        <f>SUMIF(Data!D4:D123,'Formula Test'!C24,Data!L4:L123)</f>
        <v>340737.82999999996</v>
      </c>
      <c r="E24">
        <v>1078</v>
      </c>
    </row>
    <row r="25" spans="1:5" x14ac:dyDescent="0.3">
      <c r="A25" s="5" t="s">
        <v>76</v>
      </c>
      <c r="B25" t="str" cm="1">
        <f t="array" ref="B25">INDEX(Data!J2:J121,_xlfn.MODE.SNGL(MATCH(Data!J2:J121,Data!J2:J121,0)))</f>
        <v>Priya</v>
      </c>
      <c r="C25" t="str">
        <v>East</v>
      </c>
      <c r="D25">
        <f>SUMIF(Data!D5:D124,'Formula Test'!C25,Data!L5:L124)</f>
        <v>216930.49</v>
      </c>
      <c r="E25">
        <v>1085</v>
      </c>
    </row>
    <row r="26" spans="1:5" x14ac:dyDescent="0.3">
      <c r="A26" s="5" t="s">
        <v>77</v>
      </c>
      <c r="B26" s="7" cm="1">
        <f t="array" ref="B26">COUNTA(_xlfn.UNIQUE(_xlfn._xlws.FILTER(Data!F2:F121,Data!E2:E121="Home","")))</f>
        <v>4</v>
      </c>
      <c r="E26">
        <v>1092</v>
      </c>
    </row>
    <row r="27" spans="1:5" x14ac:dyDescent="0.3">
      <c r="A27" s="5" t="s">
        <v>78</v>
      </c>
      <c r="B27">
        <f>SUM(Data!N22)</f>
        <v>274446.43</v>
      </c>
      <c r="E27">
        <v>1102</v>
      </c>
    </row>
    <row r="28" spans="1:5" x14ac:dyDescent="0.3">
      <c r="A28" s="5" t="s">
        <v>79</v>
      </c>
      <c r="B28" t="b" cm="1">
        <f t="array" ref="B28">SUMPRODUCT((Data!J2:J121="Sneha")*(Data!I2:I121&lt;=20))=0</f>
        <v>0</v>
      </c>
      <c r="E28">
        <v>1107</v>
      </c>
    </row>
    <row r="29" spans="1:5" x14ac:dyDescent="0.3">
      <c r="A29" s="5" t="s">
        <v>80</v>
      </c>
      <c r="B29" t="str">
        <f>_xlfn.TEXTJOIN("-",TRUE,Data!C7,Data!D7)</f>
        <v>Nisha Reddy-West</v>
      </c>
    </row>
    <row r="30" spans="1:5" x14ac:dyDescent="0.3">
      <c r="A30" s="5" t="s">
        <v>81</v>
      </c>
      <c r="B30" s="8" t="str">
        <f>_xlfn.TEXTJOIN(" to ",TRUE,C31,C32)</f>
        <v>Jan-2025 to Dec-2025</v>
      </c>
    </row>
    <row r="31" spans="1:5" x14ac:dyDescent="0.3">
      <c r="B31" s="8">
        <f>MIN(Data!B2:B121)</f>
        <v>45658</v>
      </c>
      <c r="C31" t="str">
        <f>TEXT(B31,"mmm-yyyy")</f>
        <v>Jan-2025</v>
      </c>
    </row>
    <row r="32" spans="1:5" x14ac:dyDescent="0.3">
      <c r="B32" s="8">
        <f>MAX(Data!B2:B121)</f>
        <v>46022</v>
      </c>
      <c r="C32" t="str">
        <f>TEXT(B32,"mmm-yyyy")</f>
        <v>Dec-2025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2026-07-06T04:53:28Z</dcterms:created>
  <dcterms:modified xsi:type="dcterms:W3CDTF">2026-07-06T10:50:41Z</dcterms:modified>
  <dc:language>en-US</dc:language>
</cp:coreProperties>
</file>