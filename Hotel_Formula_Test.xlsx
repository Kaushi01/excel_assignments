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716C24-42CE-4525-AB10-328CF584E597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Data" sheetId="1" r:id="rId1"/>
    <sheet name="Formula Tes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3" i="2"/>
  <c r="B25" i="2"/>
  <c r="E31" i="2"/>
  <c r="E32" i="2"/>
  <c r="E33" i="2"/>
  <c r="E30" i="2"/>
  <c r="D30" i="2" a="1"/>
  <c r="D30" i="2" s="1"/>
  <c r="D3" i="2" a="1"/>
  <c r="D3" i="2" s="1"/>
  <c r="B23" i="2"/>
  <c r="B30" i="2"/>
  <c r="B34" i="2"/>
  <c r="B33" i="2"/>
  <c r="B29" i="2"/>
  <c r="B28" i="2" a="1"/>
  <c r="B28" i="2" s="1"/>
  <c r="B26" i="2" a="1"/>
  <c r="B26" i="2" s="1"/>
  <c r="B27" i="2"/>
  <c r="B24" i="2"/>
  <c r="E23" i="2"/>
  <c r="E24" i="2"/>
  <c r="E25" i="2"/>
  <c r="E26" i="2"/>
  <c r="E22" i="2"/>
  <c r="D22" i="2" a="1"/>
  <c r="D22" i="2" s="1"/>
  <c r="B21" i="2" a="1"/>
  <c r="B21" i="2" s="1"/>
  <c r="B20" i="2"/>
  <c r="B19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2" i="1"/>
  <c r="B18" i="2"/>
  <c r="B17" i="2"/>
  <c r="B16" i="2" a="1"/>
  <c r="B16" i="2" s="1"/>
  <c r="B14" i="2"/>
  <c r="F12" i="2" a="1"/>
  <c r="F12" i="2" s="1"/>
  <c r="D12" i="2" a="1"/>
  <c r="D12" i="2" s="1"/>
  <c r="B11" i="2" a="1"/>
  <c r="B11" i="2" s="1"/>
  <c r="B10" i="2"/>
  <c r="B9" i="2"/>
  <c r="B8" i="2"/>
  <c r="B7" i="2"/>
  <c r="B6" i="2"/>
  <c r="B5" i="2"/>
  <c r="B4" i="2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B15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<sst xmlns="http://schemas.openxmlformats.org/spreadsheetml/2006/main" count="691" uniqueCount="84">
  <si>
    <t>ResID</t>
  </si>
  <si>
    <t>CheckInDate</t>
  </si>
  <si>
    <t>GuestName</t>
  </si>
  <si>
    <t>City</t>
  </si>
  <si>
    <t>RoomType</t>
  </si>
  <si>
    <t>Platform</t>
  </si>
  <si>
    <t>Nights</t>
  </si>
  <si>
    <t>RatePerNight</t>
  </si>
  <si>
    <t>TotalGuests</t>
  </si>
  <si>
    <t>Status</t>
  </si>
  <si>
    <t>Rohan Gupta</t>
  </si>
  <si>
    <t>Shimla</t>
  </si>
  <si>
    <t>Standard</t>
  </si>
  <si>
    <t>Booking.com</t>
  </si>
  <si>
    <t>Confirmed</t>
  </si>
  <si>
    <t>Karan Malhotra</t>
  </si>
  <si>
    <t>Kochi</t>
  </si>
  <si>
    <t>Suite</t>
  </si>
  <si>
    <t>Airbnb</t>
  </si>
  <si>
    <t>Diya Kapoor</t>
  </si>
  <si>
    <t>Villa</t>
  </si>
  <si>
    <t>Udaipur</t>
  </si>
  <si>
    <t>MakeMyTrip</t>
  </si>
  <si>
    <t>Farhan Ali</t>
  </si>
  <si>
    <t>Jaipur</t>
  </si>
  <si>
    <t>Aditya Iyer</t>
  </si>
  <si>
    <t>Mysore</t>
  </si>
  <si>
    <t>Deluxe</t>
  </si>
  <si>
    <t>Ishaan Rao</t>
  </si>
  <si>
    <t>Manali</t>
  </si>
  <si>
    <t>Direct</t>
  </si>
  <si>
    <t>Devansh Shah</t>
  </si>
  <si>
    <t>Goa</t>
  </si>
  <si>
    <t>Sanjay Verma</t>
  </si>
  <si>
    <t>Nisha Reddy</t>
  </si>
  <si>
    <t>Goibibo</t>
  </si>
  <si>
    <t>Ananya Bose</t>
  </si>
  <si>
    <t>Cancelled</t>
  </si>
  <si>
    <t>Priyanka Rao</t>
  </si>
  <si>
    <t>Meera Pillai</t>
  </si>
  <si>
    <t>Kavya Nair</t>
  </si>
  <si>
    <t>No Show</t>
  </si>
  <si>
    <t>Zara Khan</t>
  </si>
  <si>
    <t>Tanvi Joshi</t>
  </si>
  <si>
    <t>Aarav Mehta</t>
  </si>
  <si>
    <t>Hotel Bookings Formula Test</t>
  </si>
  <si>
    <t>Use the Data sheet (rows 2-129) as your source. Write one formula per answer cell in column B.</t>
  </si>
  <si>
    <t>Q1. Total booking value (Nights x RatePerNight) for 'Suite' bookings in 'Goa'.</t>
  </si>
  <si>
    <t>Q2. Count of bookings made through 'Airbnb' with Status='Cancelled'.</t>
  </si>
  <si>
    <t>Q3. Look up the City for ResID 9060, with a safe fallback if it isn't found.</t>
  </si>
  <si>
    <t>Q4. Average RatePerNight for 'Deluxe' rooms booked via 'MakeMyTrip'.</t>
  </si>
  <si>
    <t>Q5. Total booking value across the entire dataset for Status='Confirmed' only, without adding a helper column.</t>
  </si>
  <si>
    <t>Q6. Classify ResID 9000's stay as 'Short' (Nights&lt;=2), 'Medium' (3-5), or 'Long' (6+).</t>
  </si>
  <si>
    <t>Q7. Extract the month name and year (e.g. 'March 2025') from the CheckInDate of ResID 9015.</t>
  </si>
  <si>
    <t>Q8. Return the RatePerNight where City='Manali' and RoomType='Villa', using an array-style match (no helper column).</t>
  </si>
  <si>
    <t>Q9. Return a unique, alphabetically sorted list of all Platforms as a spilled array.</t>
  </si>
  <si>
    <t>Q10. Return all ResIDs where RoomType='Suite' AND Status='Confirmed', as a spilled array.</t>
  </si>
  <si>
    <t>Q11. Count how many GuestNames contain 'Malhotra' anywhere in the dataset.</t>
  </si>
  <si>
    <t>Q12. Find the City with the highest total booking value among 'Villa' bookings, using formulas only (no pivot table).</t>
  </si>
  <si>
    <t>Q13. Calculate the total number of unique GuestNames who booked a 'Suite'.</t>
  </si>
  <si>
    <t>Q14. Find the second-lowest RatePerNight in the entire dataset.</t>
  </si>
  <si>
    <t>Q15. Return the GuestName associated with the highest single TotalGuests count on record.</t>
  </si>
  <si>
    <t>Q16. Count the number of bookings made in Q3 2025 (Jul-Sep).</t>
  </si>
  <si>
    <t>Q17. Calculate the percentage of bookings with Status='No Show'.</t>
  </si>
  <si>
    <t>Q18. Return the most frequently booked RoomType overall.</t>
  </si>
  <si>
    <t>Q19. Find the total booking value generated by each Platform, broken out into a small 5-row summary table using formulas (not a pivot table).</t>
  </si>
  <si>
    <t>Q20. Extract just the day of the week (e.g. 'Monday') for the CheckInDate of ResID 9030.</t>
  </si>
  <si>
    <t>Q21. Return the average Nights for bookings with RatePerNight greater than 5000.</t>
  </si>
  <si>
    <t>Q22. Find the RoomType that appears most often for bookings with TotalGuests greater than 4.</t>
  </si>
  <si>
    <t>Q23. Return the number of distinct RoomTypes booked in 'Kochi'.</t>
  </si>
  <si>
    <t>Q24. Calculate the total number of days between ResID 9010's CheckInDate and today's date.</t>
  </si>
  <si>
    <t>Q25. Return TRUE or FALSE for whether every 'Villa' booking has TotalGuests of 2 or more.</t>
  </si>
  <si>
    <t>Q26. Concatenate the GuestName and City into a single string separated by a hyphen for ResID 9025 (e.g. 'Aarav Mehta-Goa').</t>
  </si>
  <si>
    <t>Q27. Find the earliest and latest CheckInDate in the dataset, displayed as a single text string like 'Jan-2025 to Dec-2025'.</t>
  </si>
  <si>
    <t>nights x raterpernight</t>
  </si>
  <si>
    <t>done in right</t>
  </si>
  <si>
    <t>ans9</t>
  </si>
  <si>
    <t>ans10</t>
  </si>
  <si>
    <t>year</t>
  </si>
  <si>
    <t>quarter</t>
  </si>
  <si>
    <t>ans19</t>
  </si>
  <si>
    <t>ref ans27</t>
  </si>
  <si>
    <t>ref ans12</t>
  </si>
  <si>
    <t>ref ans22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</si>
</sst>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name val="Arial"/>
      <charset val="1"/>
    </font>
    <font>
      <b/>
      <sz val="14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4" fillId="0" borderId="0" xfId="0" applyFont="1"/>
    <xf numFmtId="0" fontId="2" fillId="2" borderId="0" xfId="0" applyFont="1" applyFill="1"/>
    <xf numFmtId="0" fontId="3" fillId="2" borderId="0" xfId="0" applyFont="1" applyFill="1"/>
    <xf numFmtId="9" fontId="1" fillId="0" borderId="0" xfId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"/>
  <sheetViews>
    <sheetView zoomScaleNormal="100" workbookViewId="0">
      <pane ySplit="1" topLeftCell="A104" activePane="bottomLeft" state="frozen"/>
      <selection pane="bottomLeft" activeCell="I15" sqref="I15"/>
    </sheetView>
  </sheetViews>
  <sheetFormatPr defaultColWidth="8.6640625" defaultRowHeight="14.4" x14ac:dyDescent="0.3"/>
  <cols>
    <col min="1" max="1" width="6.77734375" bestFit="1" customWidth="1"/>
    <col min="2" max="2" width="13.44140625" bestFit="1" customWidth="1"/>
    <col min="3" max="3" width="13.77734375" bestFit="1" customWidth="1"/>
    <col min="4" max="4" width="7.44140625" bestFit="1" customWidth="1"/>
    <col min="5" max="6" width="11.6640625" bestFit="1" customWidth="1"/>
    <col min="7" max="7" width="7.21875" bestFit="1" customWidth="1"/>
    <col min="8" max="8" width="14" bestFit="1" customWidth="1"/>
    <col min="9" max="9" width="12.6640625" bestFit="1" customWidth="1"/>
    <col min="10" max="10" width="9.5546875" bestFit="1" customWidth="1"/>
    <col min="12" max="12" width="22.3320312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3" t="s">
        <v>74</v>
      </c>
      <c r="M1" s="3" t="s">
        <v>78</v>
      </c>
      <c r="N1" s="3" t="s">
        <v>79</v>
      </c>
    </row>
    <row r="2" spans="1:14" x14ac:dyDescent="0.3">
      <c r="A2">
        <v>9000</v>
      </c>
      <c r="B2" s="1">
        <v>45758</v>
      </c>
      <c r="C2" t="s">
        <v>10</v>
      </c>
      <c r="D2" t="s">
        <v>11</v>
      </c>
      <c r="E2" t="s">
        <v>12</v>
      </c>
      <c r="F2" t="s">
        <v>13</v>
      </c>
      <c r="G2">
        <v>7</v>
      </c>
      <c r="H2">
        <v>2739.34</v>
      </c>
      <c r="I2">
        <v>1</v>
      </c>
      <c r="J2" t="s">
        <v>14</v>
      </c>
      <c r="L2">
        <f>G2*H2</f>
        <v>19175.38</v>
      </c>
      <c r="M2">
        <f>YEAR(B2)</f>
        <v>2025</v>
      </c>
      <c r="N2">
        <f>ROUNDUP(MONTH(B2)/3,0)</f>
        <v>2</v>
      </c>
    </row>
    <row r="3" spans="1:14" x14ac:dyDescent="0.3">
      <c r="A3">
        <v>9001</v>
      </c>
      <c r="B3" s="1">
        <v>45997</v>
      </c>
      <c r="C3" t="s">
        <v>15</v>
      </c>
      <c r="D3" t="s">
        <v>16</v>
      </c>
      <c r="E3" t="s">
        <v>17</v>
      </c>
      <c r="F3" t="s">
        <v>18</v>
      </c>
      <c r="G3">
        <v>4</v>
      </c>
      <c r="H3">
        <v>5135.34</v>
      </c>
      <c r="I3">
        <v>5</v>
      </c>
      <c r="J3" t="s">
        <v>14</v>
      </c>
      <c r="L3">
        <f t="shared" ref="L3:L66" si="0">G3*H3</f>
        <v>20541.36</v>
      </c>
      <c r="M3">
        <f t="shared" ref="M3:M66" si="1">YEAR(B3)</f>
        <v>2025</v>
      </c>
      <c r="N3">
        <f t="shared" ref="N3:N66" si="2">ROUNDUP(MONTH(B3)/3,0)</f>
        <v>4</v>
      </c>
    </row>
    <row r="4" spans="1:14" x14ac:dyDescent="0.3">
      <c r="A4">
        <v>9002</v>
      </c>
      <c r="B4" s="1">
        <v>45981</v>
      </c>
      <c r="C4" t="s">
        <v>19</v>
      </c>
      <c r="D4" t="s">
        <v>11</v>
      </c>
      <c r="E4" t="s">
        <v>20</v>
      </c>
      <c r="F4" t="s">
        <v>13</v>
      </c>
      <c r="G4">
        <v>1</v>
      </c>
      <c r="H4">
        <v>10215.6</v>
      </c>
      <c r="I4">
        <v>2</v>
      </c>
      <c r="J4" t="s">
        <v>14</v>
      </c>
      <c r="L4">
        <f t="shared" si="0"/>
        <v>10215.6</v>
      </c>
      <c r="M4">
        <f t="shared" si="1"/>
        <v>2025</v>
      </c>
      <c r="N4">
        <f t="shared" si="2"/>
        <v>4</v>
      </c>
    </row>
    <row r="5" spans="1:14" x14ac:dyDescent="0.3">
      <c r="A5">
        <v>9003</v>
      </c>
      <c r="B5" s="1">
        <v>45772</v>
      </c>
      <c r="C5" t="s">
        <v>19</v>
      </c>
      <c r="D5" t="s">
        <v>21</v>
      </c>
      <c r="E5" t="s">
        <v>12</v>
      </c>
      <c r="F5" t="s">
        <v>22</v>
      </c>
      <c r="G5">
        <v>1</v>
      </c>
      <c r="H5">
        <v>2371.91</v>
      </c>
      <c r="I5">
        <v>5</v>
      </c>
      <c r="J5" t="s">
        <v>14</v>
      </c>
      <c r="L5">
        <f t="shared" si="0"/>
        <v>2371.91</v>
      </c>
      <c r="M5">
        <f t="shared" si="1"/>
        <v>2025</v>
      </c>
      <c r="N5">
        <f t="shared" si="2"/>
        <v>2</v>
      </c>
    </row>
    <row r="6" spans="1:14" x14ac:dyDescent="0.3">
      <c r="A6">
        <v>9004</v>
      </c>
      <c r="B6" s="1">
        <v>45763</v>
      </c>
      <c r="C6" t="s">
        <v>23</v>
      </c>
      <c r="D6" t="s">
        <v>24</v>
      </c>
      <c r="E6" t="s">
        <v>20</v>
      </c>
      <c r="F6" t="s">
        <v>13</v>
      </c>
      <c r="G6">
        <v>3</v>
      </c>
      <c r="H6">
        <v>7609.89</v>
      </c>
      <c r="I6">
        <v>1</v>
      </c>
      <c r="J6" t="s">
        <v>14</v>
      </c>
      <c r="L6">
        <f t="shared" si="0"/>
        <v>22829.670000000002</v>
      </c>
      <c r="M6">
        <f t="shared" si="1"/>
        <v>2025</v>
      </c>
      <c r="N6">
        <f t="shared" si="2"/>
        <v>2</v>
      </c>
    </row>
    <row r="7" spans="1:14" x14ac:dyDescent="0.3">
      <c r="A7">
        <v>9005</v>
      </c>
      <c r="B7" s="1">
        <v>45843</v>
      </c>
      <c r="C7" t="s">
        <v>25</v>
      </c>
      <c r="D7" t="s">
        <v>24</v>
      </c>
      <c r="E7" t="s">
        <v>20</v>
      </c>
      <c r="F7" t="s">
        <v>18</v>
      </c>
      <c r="G7">
        <v>2</v>
      </c>
      <c r="H7">
        <v>7988.52</v>
      </c>
      <c r="I7">
        <v>2</v>
      </c>
      <c r="J7" t="s">
        <v>14</v>
      </c>
      <c r="L7">
        <f t="shared" si="0"/>
        <v>15977.04</v>
      </c>
      <c r="M7">
        <f t="shared" si="1"/>
        <v>2025</v>
      </c>
      <c r="N7">
        <f t="shared" si="2"/>
        <v>3</v>
      </c>
    </row>
    <row r="8" spans="1:14" x14ac:dyDescent="0.3">
      <c r="A8">
        <v>9006</v>
      </c>
      <c r="B8" s="1">
        <v>45812</v>
      </c>
      <c r="C8" t="s">
        <v>10</v>
      </c>
      <c r="D8" t="s">
        <v>26</v>
      </c>
      <c r="E8" t="s">
        <v>27</v>
      </c>
      <c r="F8" t="s">
        <v>18</v>
      </c>
      <c r="G8">
        <v>7</v>
      </c>
      <c r="H8">
        <v>3693.92</v>
      </c>
      <c r="I8">
        <v>4</v>
      </c>
      <c r="J8" t="s">
        <v>14</v>
      </c>
      <c r="L8">
        <f t="shared" si="0"/>
        <v>25857.440000000002</v>
      </c>
      <c r="M8">
        <f t="shared" si="1"/>
        <v>2025</v>
      </c>
      <c r="N8">
        <f t="shared" si="2"/>
        <v>2</v>
      </c>
    </row>
    <row r="9" spans="1:14" x14ac:dyDescent="0.3">
      <c r="A9">
        <v>9007</v>
      </c>
      <c r="B9" s="1">
        <v>45994</v>
      </c>
      <c r="C9" t="s">
        <v>28</v>
      </c>
      <c r="D9" t="s">
        <v>29</v>
      </c>
      <c r="E9" t="s">
        <v>12</v>
      </c>
      <c r="F9" t="s">
        <v>30</v>
      </c>
      <c r="G9">
        <v>7</v>
      </c>
      <c r="H9">
        <v>2221.4699999999998</v>
      </c>
      <c r="I9">
        <v>6</v>
      </c>
      <c r="J9" t="s">
        <v>14</v>
      </c>
      <c r="L9">
        <f t="shared" si="0"/>
        <v>15550.289999999999</v>
      </c>
      <c r="M9">
        <f t="shared" si="1"/>
        <v>2025</v>
      </c>
      <c r="N9">
        <f t="shared" si="2"/>
        <v>4</v>
      </c>
    </row>
    <row r="10" spans="1:14" x14ac:dyDescent="0.3">
      <c r="A10">
        <v>9008</v>
      </c>
      <c r="B10" s="1">
        <v>45722</v>
      </c>
      <c r="C10" t="s">
        <v>28</v>
      </c>
      <c r="D10" t="s">
        <v>16</v>
      </c>
      <c r="E10" t="s">
        <v>17</v>
      </c>
      <c r="F10" t="s">
        <v>18</v>
      </c>
      <c r="G10">
        <v>7</v>
      </c>
      <c r="H10">
        <v>5658.75</v>
      </c>
      <c r="I10">
        <v>4</v>
      </c>
      <c r="J10" t="s">
        <v>14</v>
      </c>
      <c r="L10">
        <f t="shared" si="0"/>
        <v>39611.25</v>
      </c>
      <c r="M10">
        <f t="shared" si="1"/>
        <v>2025</v>
      </c>
      <c r="N10">
        <f t="shared" si="2"/>
        <v>1</v>
      </c>
    </row>
    <row r="11" spans="1:14" x14ac:dyDescent="0.3">
      <c r="A11">
        <v>9009</v>
      </c>
      <c r="B11" s="1">
        <v>45938</v>
      </c>
      <c r="C11" t="s">
        <v>31</v>
      </c>
      <c r="D11" t="s">
        <v>32</v>
      </c>
      <c r="E11" t="s">
        <v>12</v>
      </c>
      <c r="F11" t="s">
        <v>13</v>
      </c>
      <c r="G11">
        <v>2</v>
      </c>
      <c r="H11">
        <v>2293.75</v>
      </c>
      <c r="I11">
        <v>4</v>
      </c>
      <c r="J11" t="s">
        <v>14</v>
      </c>
      <c r="L11">
        <f t="shared" si="0"/>
        <v>4587.5</v>
      </c>
      <c r="M11">
        <f t="shared" si="1"/>
        <v>2025</v>
      </c>
      <c r="N11">
        <f t="shared" si="2"/>
        <v>4</v>
      </c>
    </row>
    <row r="12" spans="1:14" x14ac:dyDescent="0.3">
      <c r="A12">
        <v>9010</v>
      </c>
      <c r="B12" s="1">
        <v>45983</v>
      </c>
      <c r="C12" t="s">
        <v>33</v>
      </c>
      <c r="D12" t="s">
        <v>32</v>
      </c>
      <c r="E12" t="s">
        <v>20</v>
      </c>
      <c r="F12" t="s">
        <v>22</v>
      </c>
      <c r="G12">
        <v>7</v>
      </c>
      <c r="H12">
        <v>8905.81</v>
      </c>
      <c r="I12">
        <v>6</v>
      </c>
      <c r="J12" t="s">
        <v>14</v>
      </c>
      <c r="L12">
        <f t="shared" si="0"/>
        <v>62340.67</v>
      </c>
      <c r="M12">
        <f t="shared" si="1"/>
        <v>2025</v>
      </c>
      <c r="N12">
        <f t="shared" si="2"/>
        <v>4</v>
      </c>
    </row>
    <row r="13" spans="1:14" x14ac:dyDescent="0.3">
      <c r="A13">
        <v>9011</v>
      </c>
      <c r="B13" s="1">
        <v>45823</v>
      </c>
      <c r="C13" t="s">
        <v>31</v>
      </c>
      <c r="D13" t="s">
        <v>16</v>
      </c>
      <c r="E13" t="s">
        <v>17</v>
      </c>
      <c r="F13" t="s">
        <v>30</v>
      </c>
      <c r="G13">
        <v>1</v>
      </c>
      <c r="H13">
        <v>6863.43</v>
      </c>
      <c r="I13">
        <v>3</v>
      </c>
      <c r="J13" t="s">
        <v>14</v>
      </c>
      <c r="L13">
        <f t="shared" si="0"/>
        <v>6863.43</v>
      </c>
      <c r="M13">
        <f t="shared" si="1"/>
        <v>2025</v>
      </c>
      <c r="N13">
        <f t="shared" si="2"/>
        <v>2</v>
      </c>
    </row>
    <row r="14" spans="1:14" x14ac:dyDescent="0.3">
      <c r="A14">
        <v>9012</v>
      </c>
      <c r="B14" s="1">
        <v>45898</v>
      </c>
      <c r="C14" t="s">
        <v>34</v>
      </c>
      <c r="D14" t="s">
        <v>16</v>
      </c>
      <c r="E14" t="s">
        <v>27</v>
      </c>
      <c r="F14" t="s">
        <v>18</v>
      </c>
      <c r="G14">
        <v>3</v>
      </c>
      <c r="H14">
        <v>3764.03</v>
      </c>
      <c r="I14">
        <v>6</v>
      </c>
      <c r="J14" t="s">
        <v>14</v>
      </c>
      <c r="L14">
        <f t="shared" si="0"/>
        <v>11292.09</v>
      </c>
      <c r="M14">
        <f t="shared" si="1"/>
        <v>2025</v>
      </c>
      <c r="N14">
        <f t="shared" si="2"/>
        <v>3</v>
      </c>
    </row>
    <row r="15" spans="1:14" x14ac:dyDescent="0.3">
      <c r="A15">
        <v>9013</v>
      </c>
      <c r="B15" s="1">
        <v>45764</v>
      </c>
      <c r="C15" t="s">
        <v>31</v>
      </c>
      <c r="D15" t="s">
        <v>21</v>
      </c>
      <c r="E15" t="s">
        <v>27</v>
      </c>
      <c r="F15" t="s">
        <v>35</v>
      </c>
      <c r="G15">
        <v>6</v>
      </c>
      <c r="H15">
        <v>3324.93</v>
      </c>
      <c r="I15">
        <v>4</v>
      </c>
      <c r="J15" t="s">
        <v>14</v>
      </c>
      <c r="L15">
        <f t="shared" si="0"/>
        <v>19949.579999999998</v>
      </c>
      <c r="M15">
        <f t="shared" si="1"/>
        <v>2025</v>
      </c>
      <c r="N15">
        <f t="shared" si="2"/>
        <v>2</v>
      </c>
    </row>
    <row r="16" spans="1:14" x14ac:dyDescent="0.3">
      <c r="A16">
        <v>9014</v>
      </c>
      <c r="B16" s="1">
        <v>45962</v>
      </c>
      <c r="C16" t="s">
        <v>33</v>
      </c>
      <c r="D16" t="s">
        <v>24</v>
      </c>
      <c r="E16" t="s">
        <v>12</v>
      </c>
      <c r="F16" t="s">
        <v>18</v>
      </c>
      <c r="G16">
        <v>2</v>
      </c>
      <c r="H16">
        <v>2361.35</v>
      </c>
      <c r="I16">
        <v>6</v>
      </c>
      <c r="J16" t="s">
        <v>14</v>
      </c>
      <c r="L16">
        <f t="shared" si="0"/>
        <v>4722.7</v>
      </c>
      <c r="M16">
        <f t="shared" si="1"/>
        <v>2025</v>
      </c>
      <c r="N16">
        <f t="shared" si="2"/>
        <v>4</v>
      </c>
    </row>
    <row r="17" spans="1:14" x14ac:dyDescent="0.3">
      <c r="A17">
        <v>9015</v>
      </c>
      <c r="B17" s="1">
        <v>45802</v>
      </c>
      <c r="C17" t="s">
        <v>25</v>
      </c>
      <c r="D17" t="s">
        <v>26</v>
      </c>
      <c r="E17" t="s">
        <v>12</v>
      </c>
      <c r="F17" t="s">
        <v>35</v>
      </c>
      <c r="G17">
        <v>1</v>
      </c>
      <c r="H17">
        <v>2241.9499999999998</v>
      </c>
      <c r="I17">
        <v>6</v>
      </c>
      <c r="J17" t="s">
        <v>14</v>
      </c>
      <c r="L17">
        <f t="shared" si="0"/>
        <v>2241.9499999999998</v>
      </c>
      <c r="M17">
        <f t="shared" si="1"/>
        <v>2025</v>
      </c>
      <c r="N17">
        <f t="shared" si="2"/>
        <v>2</v>
      </c>
    </row>
    <row r="18" spans="1:14" x14ac:dyDescent="0.3">
      <c r="A18">
        <v>9016</v>
      </c>
      <c r="B18" s="1">
        <v>45901</v>
      </c>
      <c r="C18" t="s">
        <v>25</v>
      </c>
      <c r="D18" t="s">
        <v>26</v>
      </c>
      <c r="E18" t="s">
        <v>20</v>
      </c>
      <c r="F18" t="s">
        <v>18</v>
      </c>
      <c r="G18">
        <v>1</v>
      </c>
      <c r="H18">
        <v>9619.4500000000007</v>
      </c>
      <c r="I18">
        <v>3</v>
      </c>
      <c r="J18" t="s">
        <v>14</v>
      </c>
      <c r="L18">
        <f t="shared" si="0"/>
        <v>9619.4500000000007</v>
      </c>
      <c r="M18">
        <f t="shared" si="1"/>
        <v>2025</v>
      </c>
      <c r="N18">
        <f t="shared" si="2"/>
        <v>3</v>
      </c>
    </row>
    <row r="19" spans="1:14" x14ac:dyDescent="0.3">
      <c r="A19">
        <v>9017</v>
      </c>
      <c r="B19" s="1">
        <v>45876</v>
      </c>
      <c r="C19" t="s">
        <v>36</v>
      </c>
      <c r="D19" t="s">
        <v>26</v>
      </c>
      <c r="E19" t="s">
        <v>12</v>
      </c>
      <c r="F19" t="s">
        <v>13</v>
      </c>
      <c r="G19">
        <v>1</v>
      </c>
      <c r="H19">
        <v>2245.09</v>
      </c>
      <c r="I19">
        <v>1</v>
      </c>
      <c r="J19" t="s">
        <v>37</v>
      </c>
      <c r="L19">
        <f t="shared" si="0"/>
        <v>2245.09</v>
      </c>
      <c r="M19">
        <f t="shared" si="1"/>
        <v>2025</v>
      </c>
      <c r="N19">
        <f t="shared" si="2"/>
        <v>3</v>
      </c>
    </row>
    <row r="20" spans="1:14" x14ac:dyDescent="0.3">
      <c r="A20">
        <v>9018</v>
      </c>
      <c r="B20" s="1">
        <v>45670</v>
      </c>
      <c r="C20" t="s">
        <v>28</v>
      </c>
      <c r="D20" t="s">
        <v>26</v>
      </c>
      <c r="E20" t="s">
        <v>27</v>
      </c>
      <c r="F20" t="s">
        <v>35</v>
      </c>
      <c r="G20">
        <v>6</v>
      </c>
      <c r="H20">
        <v>3685.76</v>
      </c>
      <c r="I20">
        <v>1</v>
      </c>
      <c r="J20" t="s">
        <v>14</v>
      </c>
      <c r="L20">
        <f t="shared" si="0"/>
        <v>22114.560000000001</v>
      </c>
      <c r="M20">
        <f t="shared" si="1"/>
        <v>2025</v>
      </c>
      <c r="N20">
        <f t="shared" si="2"/>
        <v>1</v>
      </c>
    </row>
    <row r="21" spans="1:14" x14ac:dyDescent="0.3">
      <c r="A21">
        <v>9019</v>
      </c>
      <c r="B21" s="1">
        <v>46017</v>
      </c>
      <c r="C21" t="s">
        <v>31</v>
      </c>
      <c r="D21" t="s">
        <v>32</v>
      </c>
      <c r="E21" t="s">
        <v>17</v>
      </c>
      <c r="F21" t="s">
        <v>35</v>
      </c>
      <c r="G21">
        <v>1</v>
      </c>
      <c r="H21">
        <v>6651.92</v>
      </c>
      <c r="I21">
        <v>4</v>
      </c>
      <c r="J21" t="s">
        <v>14</v>
      </c>
      <c r="L21">
        <f t="shared" si="0"/>
        <v>6651.92</v>
      </c>
      <c r="M21">
        <f t="shared" si="1"/>
        <v>2025</v>
      </c>
      <c r="N21">
        <f t="shared" si="2"/>
        <v>4</v>
      </c>
    </row>
    <row r="22" spans="1:14" x14ac:dyDescent="0.3">
      <c r="A22">
        <v>9020</v>
      </c>
      <c r="B22" s="1">
        <v>45916</v>
      </c>
      <c r="C22" t="s">
        <v>38</v>
      </c>
      <c r="D22" t="s">
        <v>32</v>
      </c>
      <c r="E22" t="s">
        <v>27</v>
      </c>
      <c r="F22" t="s">
        <v>30</v>
      </c>
      <c r="G22">
        <v>3</v>
      </c>
      <c r="H22">
        <v>4096.01</v>
      </c>
      <c r="I22">
        <v>4</v>
      </c>
      <c r="J22" t="s">
        <v>14</v>
      </c>
      <c r="L22">
        <f t="shared" si="0"/>
        <v>12288.03</v>
      </c>
      <c r="M22">
        <f t="shared" si="1"/>
        <v>2025</v>
      </c>
      <c r="N22">
        <f t="shared" si="2"/>
        <v>3</v>
      </c>
    </row>
    <row r="23" spans="1:14" x14ac:dyDescent="0.3">
      <c r="A23">
        <v>9021</v>
      </c>
      <c r="B23" s="1">
        <v>45915</v>
      </c>
      <c r="C23" t="s">
        <v>39</v>
      </c>
      <c r="D23" t="s">
        <v>29</v>
      </c>
      <c r="E23" t="s">
        <v>12</v>
      </c>
      <c r="F23" t="s">
        <v>22</v>
      </c>
      <c r="G23">
        <v>2</v>
      </c>
      <c r="H23">
        <v>2591.12</v>
      </c>
      <c r="I23">
        <v>5</v>
      </c>
      <c r="J23" t="s">
        <v>37</v>
      </c>
      <c r="L23">
        <f t="shared" si="0"/>
        <v>5182.24</v>
      </c>
      <c r="M23">
        <f t="shared" si="1"/>
        <v>2025</v>
      </c>
      <c r="N23">
        <f t="shared" si="2"/>
        <v>3</v>
      </c>
    </row>
    <row r="24" spans="1:14" x14ac:dyDescent="0.3">
      <c r="A24">
        <v>9022</v>
      </c>
      <c r="B24" s="1">
        <v>46002</v>
      </c>
      <c r="C24" t="s">
        <v>33</v>
      </c>
      <c r="D24" t="s">
        <v>16</v>
      </c>
      <c r="E24" t="s">
        <v>17</v>
      </c>
      <c r="F24" t="s">
        <v>30</v>
      </c>
      <c r="G24">
        <v>4</v>
      </c>
      <c r="H24">
        <v>6181.31</v>
      </c>
      <c r="I24">
        <v>4</v>
      </c>
      <c r="J24" t="s">
        <v>14</v>
      </c>
      <c r="L24">
        <f t="shared" si="0"/>
        <v>24725.24</v>
      </c>
      <c r="M24">
        <f t="shared" si="1"/>
        <v>2025</v>
      </c>
      <c r="N24">
        <f t="shared" si="2"/>
        <v>4</v>
      </c>
    </row>
    <row r="25" spans="1:14" x14ac:dyDescent="0.3">
      <c r="A25">
        <v>9023</v>
      </c>
      <c r="B25" s="1">
        <v>45922</v>
      </c>
      <c r="C25" t="s">
        <v>40</v>
      </c>
      <c r="D25" t="s">
        <v>11</v>
      </c>
      <c r="E25" t="s">
        <v>17</v>
      </c>
      <c r="F25" t="s">
        <v>35</v>
      </c>
      <c r="G25">
        <v>1</v>
      </c>
      <c r="H25">
        <v>7166.01</v>
      </c>
      <c r="I25">
        <v>6</v>
      </c>
      <c r="J25" t="s">
        <v>37</v>
      </c>
      <c r="L25">
        <f t="shared" si="0"/>
        <v>7166.01</v>
      </c>
      <c r="M25">
        <f t="shared" si="1"/>
        <v>2025</v>
      </c>
      <c r="N25">
        <f t="shared" si="2"/>
        <v>3</v>
      </c>
    </row>
    <row r="26" spans="1:14" x14ac:dyDescent="0.3">
      <c r="A26">
        <v>9024</v>
      </c>
      <c r="B26" s="1">
        <v>45746</v>
      </c>
      <c r="C26" t="s">
        <v>28</v>
      </c>
      <c r="D26" t="s">
        <v>21</v>
      </c>
      <c r="E26" t="s">
        <v>17</v>
      </c>
      <c r="F26" t="s">
        <v>18</v>
      </c>
      <c r="G26">
        <v>3</v>
      </c>
      <c r="H26">
        <v>5096.91</v>
      </c>
      <c r="I26">
        <v>1</v>
      </c>
      <c r="J26" t="s">
        <v>14</v>
      </c>
      <c r="L26">
        <f t="shared" si="0"/>
        <v>15290.73</v>
      </c>
      <c r="M26">
        <f t="shared" si="1"/>
        <v>2025</v>
      </c>
      <c r="N26">
        <f t="shared" si="2"/>
        <v>1</v>
      </c>
    </row>
    <row r="27" spans="1:14" x14ac:dyDescent="0.3">
      <c r="A27">
        <v>9025</v>
      </c>
      <c r="B27" s="1">
        <v>45938</v>
      </c>
      <c r="C27" t="s">
        <v>10</v>
      </c>
      <c r="D27" t="s">
        <v>26</v>
      </c>
      <c r="E27" t="s">
        <v>20</v>
      </c>
      <c r="F27" t="s">
        <v>18</v>
      </c>
      <c r="G27">
        <v>4</v>
      </c>
      <c r="H27">
        <v>7175.58</v>
      </c>
      <c r="I27">
        <v>1</v>
      </c>
      <c r="J27" t="s">
        <v>14</v>
      </c>
      <c r="L27">
        <f t="shared" si="0"/>
        <v>28702.32</v>
      </c>
      <c r="M27">
        <f t="shared" si="1"/>
        <v>2025</v>
      </c>
      <c r="N27">
        <f t="shared" si="2"/>
        <v>4</v>
      </c>
    </row>
    <row r="28" spans="1:14" x14ac:dyDescent="0.3">
      <c r="A28">
        <v>9026</v>
      </c>
      <c r="B28" s="1">
        <v>45694</v>
      </c>
      <c r="C28" t="s">
        <v>19</v>
      </c>
      <c r="D28" t="s">
        <v>32</v>
      </c>
      <c r="E28" t="s">
        <v>20</v>
      </c>
      <c r="F28" t="s">
        <v>35</v>
      </c>
      <c r="G28">
        <v>5</v>
      </c>
      <c r="H28">
        <v>9408.66</v>
      </c>
      <c r="I28">
        <v>5</v>
      </c>
      <c r="J28" t="s">
        <v>41</v>
      </c>
      <c r="L28">
        <f t="shared" si="0"/>
        <v>47043.3</v>
      </c>
      <c r="M28">
        <f t="shared" si="1"/>
        <v>2025</v>
      </c>
      <c r="N28">
        <f t="shared" si="2"/>
        <v>1</v>
      </c>
    </row>
    <row r="29" spans="1:14" x14ac:dyDescent="0.3">
      <c r="A29">
        <v>9027</v>
      </c>
      <c r="B29" s="1">
        <v>45807</v>
      </c>
      <c r="C29" t="s">
        <v>25</v>
      </c>
      <c r="D29" t="s">
        <v>26</v>
      </c>
      <c r="E29" t="s">
        <v>12</v>
      </c>
      <c r="F29" t="s">
        <v>35</v>
      </c>
      <c r="G29">
        <v>4</v>
      </c>
      <c r="H29">
        <v>2285.9499999999998</v>
      </c>
      <c r="I29">
        <v>6</v>
      </c>
      <c r="J29" t="s">
        <v>14</v>
      </c>
      <c r="L29">
        <f t="shared" si="0"/>
        <v>9143.7999999999993</v>
      </c>
      <c r="M29">
        <f t="shared" si="1"/>
        <v>2025</v>
      </c>
      <c r="N29">
        <f t="shared" si="2"/>
        <v>2</v>
      </c>
    </row>
    <row r="30" spans="1:14" x14ac:dyDescent="0.3">
      <c r="A30">
        <v>9028</v>
      </c>
      <c r="B30" s="1">
        <v>45830</v>
      </c>
      <c r="C30" t="s">
        <v>15</v>
      </c>
      <c r="D30" t="s">
        <v>11</v>
      </c>
      <c r="E30" t="s">
        <v>27</v>
      </c>
      <c r="F30" t="s">
        <v>13</v>
      </c>
      <c r="G30">
        <v>4</v>
      </c>
      <c r="H30">
        <v>3262.97</v>
      </c>
      <c r="I30">
        <v>1</v>
      </c>
      <c r="J30" t="s">
        <v>37</v>
      </c>
      <c r="L30">
        <f t="shared" si="0"/>
        <v>13051.88</v>
      </c>
      <c r="M30">
        <f t="shared" si="1"/>
        <v>2025</v>
      </c>
      <c r="N30">
        <f t="shared" si="2"/>
        <v>2</v>
      </c>
    </row>
    <row r="31" spans="1:14" x14ac:dyDescent="0.3">
      <c r="A31">
        <v>9029</v>
      </c>
      <c r="B31" s="1">
        <v>45960</v>
      </c>
      <c r="C31" t="s">
        <v>42</v>
      </c>
      <c r="D31" t="s">
        <v>11</v>
      </c>
      <c r="E31" t="s">
        <v>17</v>
      </c>
      <c r="F31" t="s">
        <v>30</v>
      </c>
      <c r="G31">
        <v>6</v>
      </c>
      <c r="H31">
        <v>6610.37</v>
      </c>
      <c r="I31">
        <v>1</v>
      </c>
      <c r="J31" t="s">
        <v>14</v>
      </c>
      <c r="L31">
        <f t="shared" si="0"/>
        <v>39662.22</v>
      </c>
      <c r="M31">
        <f t="shared" si="1"/>
        <v>2025</v>
      </c>
      <c r="N31">
        <f t="shared" si="2"/>
        <v>4</v>
      </c>
    </row>
    <row r="32" spans="1:14" x14ac:dyDescent="0.3">
      <c r="A32">
        <v>9030</v>
      </c>
      <c r="B32" s="1">
        <v>45891</v>
      </c>
      <c r="C32" t="s">
        <v>34</v>
      </c>
      <c r="D32" t="s">
        <v>29</v>
      </c>
      <c r="E32" t="s">
        <v>17</v>
      </c>
      <c r="F32" t="s">
        <v>35</v>
      </c>
      <c r="G32">
        <v>3</v>
      </c>
      <c r="H32">
        <v>6457.71</v>
      </c>
      <c r="I32">
        <v>6</v>
      </c>
      <c r="J32" t="s">
        <v>14</v>
      </c>
      <c r="L32">
        <f t="shared" si="0"/>
        <v>19373.13</v>
      </c>
      <c r="M32">
        <f t="shared" si="1"/>
        <v>2025</v>
      </c>
      <c r="N32">
        <f t="shared" si="2"/>
        <v>3</v>
      </c>
    </row>
    <row r="33" spans="1:14" x14ac:dyDescent="0.3">
      <c r="A33">
        <v>9031</v>
      </c>
      <c r="B33" s="1">
        <v>45776</v>
      </c>
      <c r="C33" t="s">
        <v>40</v>
      </c>
      <c r="D33" t="s">
        <v>11</v>
      </c>
      <c r="E33" t="s">
        <v>12</v>
      </c>
      <c r="F33" t="s">
        <v>35</v>
      </c>
      <c r="G33">
        <v>1</v>
      </c>
      <c r="H33">
        <v>2451.19</v>
      </c>
      <c r="I33">
        <v>2</v>
      </c>
      <c r="J33" t="s">
        <v>14</v>
      </c>
      <c r="L33">
        <f t="shared" si="0"/>
        <v>2451.19</v>
      </c>
      <c r="M33">
        <f t="shared" si="1"/>
        <v>2025</v>
      </c>
      <c r="N33">
        <f t="shared" si="2"/>
        <v>2</v>
      </c>
    </row>
    <row r="34" spans="1:14" x14ac:dyDescent="0.3">
      <c r="A34">
        <v>9032</v>
      </c>
      <c r="B34" s="1">
        <v>45942</v>
      </c>
      <c r="C34" t="s">
        <v>43</v>
      </c>
      <c r="D34" t="s">
        <v>11</v>
      </c>
      <c r="E34" t="s">
        <v>20</v>
      </c>
      <c r="F34" t="s">
        <v>18</v>
      </c>
      <c r="G34">
        <v>1</v>
      </c>
      <c r="H34">
        <v>8224.02</v>
      </c>
      <c r="I34">
        <v>6</v>
      </c>
      <c r="J34" t="s">
        <v>37</v>
      </c>
      <c r="L34">
        <f t="shared" si="0"/>
        <v>8224.02</v>
      </c>
      <c r="M34">
        <f t="shared" si="1"/>
        <v>2025</v>
      </c>
      <c r="N34">
        <f t="shared" si="2"/>
        <v>4</v>
      </c>
    </row>
    <row r="35" spans="1:14" x14ac:dyDescent="0.3">
      <c r="A35">
        <v>9033</v>
      </c>
      <c r="B35" s="1">
        <v>45704</v>
      </c>
      <c r="C35" t="s">
        <v>39</v>
      </c>
      <c r="D35" t="s">
        <v>11</v>
      </c>
      <c r="E35" t="s">
        <v>17</v>
      </c>
      <c r="F35" t="s">
        <v>30</v>
      </c>
      <c r="G35">
        <v>1</v>
      </c>
      <c r="H35">
        <v>6855.33</v>
      </c>
      <c r="I35">
        <v>6</v>
      </c>
      <c r="J35" t="s">
        <v>14</v>
      </c>
      <c r="L35">
        <f t="shared" si="0"/>
        <v>6855.33</v>
      </c>
      <c r="M35">
        <f t="shared" si="1"/>
        <v>2025</v>
      </c>
      <c r="N35">
        <f t="shared" si="2"/>
        <v>1</v>
      </c>
    </row>
    <row r="36" spans="1:14" x14ac:dyDescent="0.3">
      <c r="A36">
        <v>9034</v>
      </c>
      <c r="B36" s="1">
        <v>45899</v>
      </c>
      <c r="C36" t="s">
        <v>19</v>
      </c>
      <c r="D36" t="s">
        <v>29</v>
      </c>
      <c r="E36" t="s">
        <v>20</v>
      </c>
      <c r="F36" t="s">
        <v>22</v>
      </c>
      <c r="G36">
        <v>2</v>
      </c>
      <c r="H36">
        <v>8903.92</v>
      </c>
      <c r="I36">
        <v>2</v>
      </c>
      <c r="J36" t="s">
        <v>14</v>
      </c>
      <c r="L36">
        <f t="shared" si="0"/>
        <v>17807.84</v>
      </c>
      <c r="M36">
        <f t="shared" si="1"/>
        <v>2025</v>
      </c>
      <c r="N36">
        <f t="shared" si="2"/>
        <v>3</v>
      </c>
    </row>
    <row r="37" spans="1:14" x14ac:dyDescent="0.3">
      <c r="A37">
        <v>9035</v>
      </c>
      <c r="B37" s="1">
        <v>45920</v>
      </c>
      <c r="C37" t="s">
        <v>42</v>
      </c>
      <c r="D37" t="s">
        <v>16</v>
      </c>
      <c r="E37" t="s">
        <v>17</v>
      </c>
      <c r="F37" t="s">
        <v>30</v>
      </c>
      <c r="G37">
        <v>5</v>
      </c>
      <c r="H37">
        <v>6026.77</v>
      </c>
      <c r="I37">
        <v>1</v>
      </c>
      <c r="J37" t="s">
        <v>14</v>
      </c>
      <c r="L37">
        <f t="shared" si="0"/>
        <v>30133.850000000002</v>
      </c>
      <c r="M37">
        <f t="shared" si="1"/>
        <v>2025</v>
      </c>
      <c r="N37">
        <f t="shared" si="2"/>
        <v>3</v>
      </c>
    </row>
    <row r="38" spans="1:14" x14ac:dyDescent="0.3">
      <c r="A38">
        <v>9036</v>
      </c>
      <c r="B38" s="1">
        <v>45974</v>
      </c>
      <c r="C38" t="s">
        <v>39</v>
      </c>
      <c r="D38" t="s">
        <v>32</v>
      </c>
      <c r="E38" t="s">
        <v>20</v>
      </c>
      <c r="F38" t="s">
        <v>13</v>
      </c>
      <c r="G38">
        <v>3</v>
      </c>
      <c r="H38">
        <v>8643.33</v>
      </c>
      <c r="I38">
        <v>3</v>
      </c>
      <c r="J38" t="s">
        <v>41</v>
      </c>
      <c r="L38">
        <f t="shared" si="0"/>
        <v>25929.989999999998</v>
      </c>
      <c r="M38">
        <f t="shared" si="1"/>
        <v>2025</v>
      </c>
      <c r="N38">
        <f t="shared" si="2"/>
        <v>4</v>
      </c>
    </row>
    <row r="39" spans="1:14" x14ac:dyDescent="0.3">
      <c r="A39">
        <v>9037</v>
      </c>
      <c r="B39" s="1">
        <v>45975</v>
      </c>
      <c r="C39" t="s">
        <v>10</v>
      </c>
      <c r="D39" t="s">
        <v>29</v>
      </c>
      <c r="E39" t="s">
        <v>20</v>
      </c>
      <c r="F39" t="s">
        <v>13</v>
      </c>
      <c r="G39">
        <v>3</v>
      </c>
      <c r="H39">
        <v>7874.43</v>
      </c>
      <c r="I39">
        <v>3</v>
      </c>
      <c r="J39" t="s">
        <v>14</v>
      </c>
      <c r="L39">
        <f t="shared" si="0"/>
        <v>23623.29</v>
      </c>
      <c r="M39">
        <f t="shared" si="1"/>
        <v>2025</v>
      </c>
      <c r="N39">
        <f t="shared" si="2"/>
        <v>4</v>
      </c>
    </row>
    <row r="40" spans="1:14" x14ac:dyDescent="0.3">
      <c r="A40">
        <v>9038</v>
      </c>
      <c r="B40" s="1">
        <v>45887</v>
      </c>
      <c r="C40" t="s">
        <v>10</v>
      </c>
      <c r="D40" t="s">
        <v>21</v>
      </c>
      <c r="E40" t="s">
        <v>17</v>
      </c>
      <c r="F40" t="s">
        <v>13</v>
      </c>
      <c r="G40">
        <v>7</v>
      </c>
      <c r="H40">
        <v>4979.33</v>
      </c>
      <c r="I40">
        <v>6</v>
      </c>
      <c r="J40" t="s">
        <v>14</v>
      </c>
      <c r="L40">
        <f t="shared" si="0"/>
        <v>34855.31</v>
      </c>
      <c r="M40">
        <f t="shared" si="1"/>
        <v>2025</v>
      </c>
      <c r="N40">
        <f t="shared" si="2"/>
        <v>3</v>
      </c>
    </row>
    <row r="41" spans="1:14" x14ac:dyDescent="0.3">
      <c r="A41">
        <v>9039</v>
      </c>
      <c r="B41" s="1">
        <v>45772</v>
      </c>
      <c r="C41" t="s">
        <v>23</v>
      </c>
      <c r="D41" t="s">
        <v>11</v>
      </c>
      <c r="E41" t="s">
        <v>17</v>
      </c>
      <c r="F41" t="s">
        <v>18</v>
      </c>
      <c r="G41">
        <v>5</v>
      </c>
      <c r="H41">
        <v>5963.27</v>
      </c>
      <c r="I41">
        <v>3</v>
      </c>
      <c r="J41" t="s">
        <v>14</v>
      </c>
      <c r="L41">
        <f t="shared" si="0"/>
        <v>29816.350000000002</v>
      </c>
      <c r="M41">
        <f t="shared" si="1"/>
        <v>2025</v>
      </c>
      <c r="N41">
        <f t="shared" si="2"/>
        <v>2</v>
      </c>
    </row>
    <row r="42" spans="1:14" x14ac:dyDescent="0.3">
      <c r="A42">
        <v>9040</v>
      </c>
      <c r="B42" s="1">
        <v>45865</v>
      </c>
      <c r="C42" t="s">
        <v>40</v>
      </c>
      <c r="D42" t="s">
        <v>26</v>
      </c>
      <c r="E42" t="s">
        <v>20</v>
      </c>
      <c r="F42" t="s">
        <v>35</v>
      </c>
      <c r="G42">
        <v>6</v>
      </c>
      <c r="H42">
        <v>7095.83</v>
      </c>
      <c r="I42">
        <v>3</v>
      </c>
      <c r="J42" t="s">
        <v>14</v>
      </c>
      <c r="L42">
        <f t="shared" si="0"/>
        <v>42574.979999999996</v>
      </c>
      <c r="M42">
        <f t="shared" si="1"/>
        <v>2025</v>
      </c>
      <c r="N42">
        <f t="shared" si="2"/>
        <v>3</v>
      </c>
    </row>
    <row r="43" spans="1:14" x14ac:dyDescent="0.3">
      <c r="A43">
        <v>9041</v>
      </c>
      <c r="B43" s="1">
        <v>45826</v>
      </c>
      <c r="C43" t="s">
        <v>25</v>
      </c>
      <c r="D43" t="s">
        <v>11</v>
      </c>
      <c r="E43" t="s">
        <v>12</v>
      </c>
      <c r="F43" t="s">
        <v>13</v>
      </c>
      <c r="G43">
        <v>7</v>
      </c>
      <c r="H43">
        <v>2475.7800000000002</v>
      </c>
      <c r="I43">
        <v>2</v>
      </c>
      <c r="J43" t="s">
        <v>14</v>
      </c>
      <c r="L43">
        <f t="shared" si="0"/>
        <v>17330.460000000003</v>
      </c>
      <c r="M43">
        <f t="shared" si="1"/>
        <v>2025</v>
      </c>
      <c r="N43">
        <f t="shared" si="2"/>
        <v>2</v>
      </c>
    </row>
    <row r="44" spans="1:14" x14ac:dyDescent="0.3">
      <c r="A44">
        <v>9042</v>
      </c>
      <c r="B44" s="1">
        <v>45833</v>
      </c>
      <c r="C44" t="s">
        <v>39</v>
      </c>
      <c r="D44" t="s">
        <v>24</v>
      </c>
      <c r="E44" t="s">
        <v>17</v>
      </c>
      <c r="F44" t="s">
        <v>13</v>
      </c>
      <c r="G44">
        <v>3</v>
      </c>
      <c r="H44">
        <v>5618.79</v>
      </c>
      <c r="I44">
        <v>5</v>
      </c>
      <c r="J44" t="s">
        <v>14</v>
      </c>
      <c r="L44">
        <f t="shared" si="0"/>
        <v>16856.37</v>
      </c>
      <c r="M44">
        <f t="shared" si="1"/>
        <v>2025</v>
      </c>
      <c r="N44">
        <f t="shared" si="2"/>
        <v>2</v>
      </c>
    </row>
    <row r="45" spans="1:14" x14ac:dyDescent="0.3">
      <c r="A45">
        <v>9043</v>
      </c>
      <c r="B45" s="1">
        <v>45766</v>
      </c>
      <c r="C45" t="s">
        <v>23</v>
      </c>
      <c r="D45" t="s">
        <v>24</v>
      </c>
      <c r="E45" t="s">
        <v>12</v>
      </c>
      <c r="F45" t="s">
        <v>13</v>
      </c>
      <c r="G45">
        <v>4</v>
      </c>
      <c r="H45">
        <v>2538.1799999999998</v>
      </c>
      <c r="I45">
        <v>5</v>
      </c>
      <c r="J45" t="s">
        <v>14</v>
      </c>
      <c r="L45">
        <f t="shared" si="0"/>
        <v>10152.719999999999</v>
      </c>
      <c r="M45">
        <f t="shared" si="1"/>
        <v>2025</v>
      </c>
      <c r="N45">
        <f t="shared" si="2"/>
        <v>2</v>
      </c>
    </row>
    <row r="46" spans="1:14" x14ac:dyDescent="0.3">
      <c r="A46">
        <v>9044</v>
      </c>
      <c r="B46" s="1">
        <v>45873</v>
      </c>
      <c r="C46" t="s">
        <v>38</v>
      </c>
      <c r="D46" t="s">
        <v>29</v>
      </c>
      <c r="E46" t="s">
        <v>17</v>
      </c>
      <c r="F46" t="s">
        <v>18</v>
      </c>
      <c r="G46">
        <v>4</v>
      </c>
      <c r="H46">
        <v>7208.52</v>
      </c>
      <c r="I46">
        <v>5</v>
      </c>
      <c r="J46" t="s">
        <v>14</v>
      </c>
      <c r="L46">
        <f t="shared" si="0"/>
        <v>28834.080000000002</v>
      </c>
      <c r="M46">
        <f t="shared" si="1"/>
        <v>2025</v>
      </c>
      <c r="N46">
        <f t="shared" si="2"/>
        <v>3</v>
      </c>
    </row>
    <row r="47" spans="1:14" x14ac:dyDescent="0.3">
      <c r="A47">
        <v>9045</v>
      </c>
      <c r="B47" s="1">
        <v>45925</v>
      </c>
      <c r="C47" t="s">
        <v>25</v>
      </c>
      <c r="D47" t="s">
        <v>21</v>
      </c>
      <c r="E47" t="s">
        <v>17</v>
      </c>
      <c r="F47" t="s">
        <v>18</v>
      </c>
      <c r="G47">
        <v>1</v>
      </c>
      <c r="H47">
        <v>5105.4399999999996</v>
      </c>
      <c r="I47">
        <v>4</v>
      </c>
      <c r="J47" t="s">
        <v>37</v>
      </c>
      <c r="L47">
        <f t="shared" si="0"/>
        <v>5105.4399999999996</v>
      </c>
      <c r="M47">
        <f t="shared" si="1"/>
        <v>2025</v>
      </c>
      <c r="N47">
        <f t="shared" si="2"/>
        <v>3</v>
      </c>
    </row>
    <row r="48" spans="1:14" x14ac:dyDescent="0.3">
      <c r="A48">
        <v>9046</v>
      </c>
      <c r="B48" s="1">
        <v>45961</v>
      </c>
      <c r="C48" t="s">
        <v>19</v>
      </c>
      <c r="D48" t="s">
        <v>16</v>
      </c>
      <c r="E48" t="s">
        <v>20</v>
      </c>
      <c r="F48" t="s">
        <v>22</v>
      </c>
      <c r="G48">
        <v>1</v>
      </c>
      <c r="H48">
        <v>9145.99</v>
      </c>
      <c r="I48">
        <v>3</v>
      </c>
      <c r="J48" t="s">
        <v>14</v>
      </c>
      <c r="L48">
        <f t="shared" si="0"/>
        <v>9145.99</v>
      </c>
      <c r="M48">
        <f t="shared" si="1"/>
        <v>2025</v>
      </c>
      <c r="N48">
        <f t="shared" si="2"/>
        <v>4</v>
      </c>
    </row>
    <row r="49" spans="1:14" x14ac:dyDescent="0.3">
      <c r="A49">
        <v>9047</v>
      </c>
      <c r="B49" s="1">
        <v>45697</v>
      </c>
      <c r="C49" t="s">
        <v>43</v>
      </c>
      <c r="D49" t="s">
        <v>29</v>
      </c>
      <c r="E49" t="s">
        <v>12</v>
      </c>
      <c r="F49" t="s">
        <v>22</v>
      </c>
      <c r="G49">
        <v>6</v>
      </c>
      <c r="H49">
        <v>2411.5300000000002</v>
      </c>
      <c r="I49">
        <v>6</v>
      </c>
      <c r="J49" t="s">
        <v>41</v>
      </c>
      <c r="L49">
        <f t="shared" si="0"/>
        <v>14469.18</v>
      </c>
      <c r="M49">
        <f t="shared" si="1"/>
        <v>2025</v>
      </c>
      <c r="N49">
        <f t="shared" si="2"/>
        <v>1</v>
      </c>
    </row>
    <row r="50" spans="1:14" x14ac:dyDescent="0.3">
      <c r="A50">
        <v>9048</v>
      </c>
      <c r="B50" s="1">
        <v>45967</v>
      </c>
      <c r="C50" t="s">
        <v>33</v>
      </c>
      <c r="D50" t="s">
        <v>11</v>
      </c>
      <c r="E50" t="s">
        <v>27</v>
      </c>
      <c r="F50" t="s">
        <v>22</v>
      </c>
      <c r="G50">
        <v>7</v>
      </c>
      <c r="H50">
        <v>3892.4</v>
      </c>
      <c r="I50">
        <v>4</v>
      </c>
      <c r="J50" t="s">
        <v>14</v>
      </c>
      <c r="L50">
        <f t="shared" si="0"/>
        <v>27246.799999999999</v>
      </c>
      <c r="M50">
        <f t="shared" si="1"/>
        <v>2025</v>
      </c>
      <c r="N50">
        <f t="shared" si="2"/>
        <v>4</v>
      </c>
    </row>
    <row r="51" spans="1:14" x14ac:dyDescent="0.3">
      <c r="A51">
        <v>9049</v>
      </c>
      <c r="B51" s="1">
        <v>45749</v>
      </c>
      <c r="C51" t="s">
        <v>39</v>
      </c>
      <c r="D51" t="s">
        <v>29</v>
      </c>
      <c r="E51" t="s">
        <v>12</v>
      </c>
      <c r="F51" t="s">
        <v>13</v>
      </c>
      <c r="G51">
        <v>5</v>
      </c>
      <c r="H51">
        <v>2120.9</v>
      </c>
      <c r="I51">
        <v>3</v>
      </c>
      <c r="J51" t="s">
        <v>37</v>
      </c>
      <c r="L51">
        <f t="shared" si="0"/>
        <v>10604.5</v>
      </c>
      <c r="M51">
        <f t="shared" si="1"/>
        <v>2025</v>
      </c>
      <c r="N51">
        <f t="shared" si="2"/>
        <v>2</v>
      </c>
    </row>
    <row r="52" spans="1:14" x14ac:dyDescent="0.3">
      <c r="A52">
        <v>9050</v>
      </c>
      <c r="B52" s="1">
        <v>45784</v>
      </c>
      <c r="C52" t="s">
        <v>23</v>
      </c>
      <c r="D52" t="s">
        <v>16</v>
      </c>
      <c r="E52" t="s">
        <v>17</v>
      </c>
      <c r="F52" t="s">
        <v>30</v>
      </c>
      <c r="G52">
        <v>2</v>
      </c>
      <c r="H52">
        <v>6612.25</v>
      </c>
      <c r="I52">
        <v>6</v>
      </c>
      <c r="J52" t="s">
        <v>14</v>
      </c>
      <c r="L52">
        <f t="shared" si="0"/>
        <v>13224.5</v>
      </c>
      <c r="M52">
        <f t="shared" si="1"/>
        <v>2025</v>
      </c>
      <c r="N52">
        <f t="shared" si="2"/>
        <v>2</v>
      </c>
    </row>
    <row r="53" spans="1:14" x14ac:dyDescent="0.3">
      <c r="A53">
        <v>9051</v>
      </c>
      <c r="B53" s="1">
        <v>45868</v>
      </c>
      <c r="C53" t="s">
        <v>33</v>
      </c>
      <c r="D53" t="s">
        <v>21</v>
      </c>
      <c r="E53" t="s">
        <v>27</v>
      </c>
      <c r="F53" t="s">
        <v>13</v>
      </c>
      <c r="G53">
        <v>3</v>
      </c>
      <c r="H53">
        <v>3980.11</v>
      </c>
      <c r="I53">
        <v>2</v>
      </c>
      <c r="J53" t="s">
        <v>37</v>
      </c>
      <c r="L53">
        <f t="shared" si="0"/>
        <v>11940.33</v>
      </c>
      <c r="M53">
        <f t="shared" si="1"/>
        <v>2025</v>
      </c>
      <c r="N53">
        <f t="shared" si="2"/>
        <v>3</v>
      </c>
    </row>
    <row r="54" spans="1:14" x14ac:dyDescent="0.3">
      <c r="A54">
        <v>9052</v>
      </c>
      <c r="B54" s="1">
        <v>45739</v>
      </c>
      <c r="C54" t="s">
        <v>40</v>
      </c>
      <c r="D54" t="s">
        <v>29</v>
      </c>
      <c r="E54" t="s">
        <v>20</v>
      </c>
      <c r="F54" t="s">
        <v>13</v>
      </c>
      <c r="G54">
        <v>5</v>
      </c>
      <c r="H54">
        <v>7979.32</v>
      </c>
      <c r="I54">
        <v>3</v>
      </c>
      <c r="J54" t="s">
        <v>14</v>
      </c>
      <c r="L54">
        <f t="shared" si="0"/>
        <v>39896.6</v>
      </c>
      <c r="M54">
        <f t="shared" si="1"/>
        <v>2025</v>
      </c>
      <c r="N54">
        <f t="shared" si="2"/>
        <v>1</v>
      </c>
    </row>
    <row r="55" spans="1:14" x14ac:dyDescent="0.3">
      <c r="A55">
        <v>9053</v>
      </c>
      <c r="B55" s="1">
        <v>45886</v>
      </c>
      <c r="C55" t="s">
        <v>36</v>
      </c>
      <c r="D55" t="s">
        <v>11</v>
      </c>
      <c r="E55" t="s">
        <v>12</v>
      </c>
      <c r="F55" t="s">
        <v>35</v>
      </c>
      <c r="G55">
        <v>2</v>
      </c>
      <c r="H55">
        <v>2025.82</v>
      </c>
      <c r="I55">
        <v>1</v>
      </c>
      <c r="J55" t="s">
        <v>14</v>
      </c>
      <c r="L55">
        <f t="shared" si="0"/>
        <v>4051.64</v>
      </c>
      <c r="M55">
        <f t="shared" si="1"/>
        <v>2025</v>
      </c>
      <c r="N55">
        <f t="shared" si="2"/>
        <v>3</v>
      </c>
    </row>
    <row r="56" spans="1:14" x14ac:dyDescent="0.3">
      <c r="A56">
        <v>9054</v>
      </c>
      <c r="B56" s="1">
        <v>45823</v>
      </c>
      <c r="C56" t="s">
        <v>34</v>
      </c>
      <c r="D56" t="s">
        <v>26</v>
      </c>
      <c r="E56" t="s">
        <v>27</v>
      </c>
      <c r="F56" t="s">
        <v>22</v>
      </c>
      <c r="G56">
        <v>3</v>
      </c>
      <c r="H56">
        <v>4423.26</v>
      </c>
      <c r="I56">
        <v>1</v>
      </c>
      <c r="J56" t="s">
        <v>14</v>
      </c>
      <c r="L56">
        <f t="shared" si="0"/>
        <v>13269.78</v>
      </c>
      <c r="M56">
        <f t="shared" si="1"/>
        <v>2025</v>
      </c>
      <c r="N56">
        <f t="shared" si="2"/>
        <v>2</v>
      </c>
    </row>
    <row r="57" spans="1:14" x14ac:dyDescent="0.3">
      <c r="A57">
        <v>9055</v>
      </c>
      <c r="B57" s="1">
        <v>45799</v>
      </c>
      <c r="C57" t="s">
        <v>43</v>
      </c>
      <c r="D57" t="s">
        <v>32</v>
      </c>
      <c r="E57" t="s">
        <v>27</v>
      </c>
      <c r="F57" t="s">
        <v>18</v>
      </c>
      <c r="G57">
        <v>5</v>
      </c>
      <c r="H57">
        <v>3282.8</v>
      </c>
      <c r="I57">
        <v>2</v>
      </c>
      <c r="J57" t="s">
        <v>14</v>
      </c>
      <c r="L57">
        <f t="shared" si="0"/>
        <v>16414</v>
      </c>
      <c r="M57">
        <f t="shared" si="1"/>
        <v>2025</v>
      </c>
      <c r="N57">
        <f t="shared" si="2"/>
        <v>2</v>
      </c>
    </row>
    <row r="58" spans="1:14" x14ac:dyDescent="0.3">
      <c r="A58">
        <v>9056</v>
      </c>
      <c r="B58" s="1">
        <v>45782</v>
      </c>
      <c r="C58" t="s">
        <v>19</v>
      </c>
      <c r="D58" t="s">
        <v>24</v>
      </c>
      <c r="E58" t="s">
        <v>12</v>
      </c>
      <c r="F58" t="s">
        <v>13</v>
      </c>
      <c r="G58">
        <v>2</v>
      </c>
      <c r="H58">
        <v>2262.69</v>
      </c>
      <c r="I58">
        <v>5</v>
      </c>
      <c r="J58" t="s">
        <v>37</v>
      </c>
      <c r="L58">
        <f t="shared" si="0"/>
        <v>4525.38</v>
      </c>
      <c r="M58">
        <f t="shared" si="1"/>
        <v>2025</v>
      </c>
      <c r="N58">
        <f t="shared" si="2"/>
        <v>2</v>
      </c>
    </row>
    <row r="59" spans="1:14" x14ac:dyDescent="0.3">
      <c r="A59">
        <v>9057</v>
      </c>
      <c r="B59" s="1">
        <v>45896</v>
      </c>
      <c r="C59" t="s">
        <v>28</v>
      </c>
      <c r="D59" t="s">
        <v>21</v>
      </c>
      <c r="E59" t="s">
        <v>17</v>
      </c>
      <c r="F59" t="s">
        <v>30</v>
      </c>
      <c r="G59">
        <v>2</v>
      </c>
      <c r="H59">
        <v>6033.65</v>
      </c>
      <c r="I59">
        <v>2</v>
      </c>
      <c r="J59" t="s">
        <v>14</v>
      </c>
      <c r="L59">
        <f t="shared" si="0"/>
        <v>12067.3</v>
      </c>
      <c r="M59">
        <f t="shared" si="1"/>
        <v>2025</v>
      </c>
      <c r="N59">
        <f t="shared" si="2"/>
        <v>3</v>
      </c>
    </row>
    <row r="60" spans="1:14" x14ac:dyDescent="0.3">
      <c r="A60">
        <v>9058</v>
      </c>
      <c r="B60" s="1">
        <v>45743</v>
      </c>
      <c r="C60" t="s">
        <v>39</v>
      </c>
      <c r="D60" t="s">
        <v>32</v>
      </c>
      <c r="E60" t="s">
        <v>12</v>
      </c>
      <c r="F60" t="s">
        <v>22</v>
      </c>
      <c r="G60">
        <v>2</v>
      </c>
      <c r="H60">
        <v>2307.0500000000002</v>
      </c>
      <c r="I60">
        <v>1</v>
      </c>
      <c r="J60" t="s">
        <v>14</v>
      </c>
      <c r="L60">
        <f t="shared" si="0"/>
        <v>4614.1000000000004</v>
      </c>
      <c r="M60">
        <f t="shared" si="1"/>
        <v>2025</v>
      </c>
      <c r="N60">
        <f t="shared" si="2"/>
        <v>1</v>
      </c>
    </row>
    <row r="61" spans="1:14" x14ac:dyDescent="0.3">
      <c r="A61">
        <v>9059</v>
      </c>
      <c r="B61" s="1">
        <v>45798</v>
      </c>
      <c r="C61" t="s">
        <v>39</v>
      </c>
      <c r="D61" t="s">
        <v>11</v>
      </c>
      <c r="E61" t="s">
        <v>12</v>
      </c>
      <c r="F61" t="s">
        <v>22</v>
      </c>
      <c r="G61">
        <v>1</v>
      </c>
      <c r="H61">
        <v>2366.6999999999998</v>
      </c>
      <c r="I61">
        <v>3</v>
      </c>
      <c r="J61" t="s">
        <v>14</v>
      </c>
      <c r="L61">
        <f t="shared" si="0"/>
        <v>2366.6999999999998</v>
      </c>
      <c r="M61">
        <f t="shared" si="1"/>
        <v>2025</v>
      </c>
      <c r="N61">
        <f t="shared" si="2"/>
        <v>2</v>
      </c>
    </row>
    <row r="62" spans="1:14" x14ac:dyDescent="0.3">
      <c r="A62">
        <v>9060</v>
      </c>
      <c r="B62" s="1">
        <v>45891</v>
      </c>
      <c r="C62" t="s">
        <v>31</v>
      </c>
      <c r="D62" t="s">
        <v>11</v>
      </c>
      <c r="E62" t="s">
        <v>27</v>
      </c>
      <c r="F62" t="s">
        <v>30</v>
      </c>
      <c r="G62">
        <v>4</v>
      </c>
      <c r="H62">
        <v>3511.67</v>
      </c>
      <c r="I62">
        <v>2</v>
      </c>
      <c r="J62" t="s">
        <v>14</v>
      </c>
      <c r="L62">
        <f t="shared" si="0"/>
        <v>14046.68</v>
      </c>
      <c r="M62">
        <f t="shared" si="1"/>
        <v>2025</v>
      </c>
      <c r="N62">
        <f t="shared" si="2"/>
        <v>3</v>
      </c>
    </row>
    <row r="63" spans="1:14" x14ac:dyDescent="0.3">
      <c r="A63">
        <v>9061</v>
      </c>
      <c r="B63" s="1">
        <v>45738</v>
      </c>
      <c r="C63" t="s">
        <v>23</v>
      </c>
      <c r="D63" t="s">
        <v>32</v>
      </c>
      <c r="E63" t="s">
        <v>20</v>
      </c>
      <c r="F63" t="s">
        <v>18</v>
      </c>
      <c r="G63">
        <v>7</v>
      </c>
      <c r="H63">
        <v>7410.53</v>
      </c>
      <c r="I63">
        <v>6</v>
      </c>
      <c r="J63" t="s">
        <v>41</v>
      </c>
      <c r="L63">
        <f t="shared" si="0"/>
        <v>51873.71</v>
      </c>
      <c r="M63">
        <f t="shared" si="1"/>
        <v>2025</v>
      </c>
      <c r="N63">
        <f t="shared" si="2"/>
        <v>1</v>
      </c>
    </row>
    <row r="64" spans="1:14" x14ac:dyDescent="0.3">
      <c r="A64">
        <v>9062</v>
      </c>
      <c r="B64" s="1">
        <v>45935</v>
      </c>
      <c r="C64" t="s">
        <v>34</v>
      </c>
      <c r="D64" t="s">
        <v>24</v>
      </c>
      <c r="E64" t="s">
        <v>12</v>
      </c>
      <c r="F64" t="s">
        <v>35</v>
      </c>
      <c r="G64">
        <v>6</v>
      </c>
      <c r="H64">
        <v>2550.7800000000002</v>
      </c>
      <c r="I64">
        <v>4</v>
      </c>
      <c r="J64" t="s">
        <v>37</v>
      </c>
      <c r="L64">
        <f t="shared" si="0"/>
        <v>15304.68</v>
      </c>
      <c r="M64">
        <f t="shared" si="1"/>
        <v>2025</v>
      </c>
      <c r="N64">
        <f t="shared" si="2"/>
        <v>4</v>
      </c>
    </row>
    <row r="65" spans="1:14" x14ac:dyDescent="0.3">
      <c r="A65">
        <v>9063</v>
      </c>
      <c r="B65" s="1">
        <v>45880</v>
      </c>
      <c r="C65" t="s">
        <v>40</v>
      </c>
      <c r="D65" t="s">
        <v>11</v>
      </c>
      <c r="E65" t="s">
        <v>27</v>
      </c>
      <c r="F65" t="s">
        <v>18</v>
      </c>
      <c r="G65">
        <v>3</v>
      </c>
      <c r="H65">
        <v>4355.34</v>
      </c>
      <c r="I65">
        <v>6</v>
      </c>
      <c r="J65" t="s">
        <v>14</v>
      </c>
      <c r="L65">
        <f t="shared" si="0"/>
        <v>13066.02</v>
      </c>
      <c r="M65">
        <f t="shared" si="1"/>
        <v>2025</v>
      </c>
      <c r="N65">
        <f t="shared" si="2"/>
        <v>3</v>
      </c>
    </row>
    <row r="66" spans="1:14" x14ac:dyDescent="0.3">
      <c r="A66">
        <v>9064</v>
      </c>
      <c r="B66" s="1">
        <v>45900</v>
      </c>
      <c r="C66" t="s">
        <v>38</v>
      </c>
      <c r="D66" t="s">
        <v>29</v>
      </c>
      <c r="E66" t="s">
        <v>20</v>
      </c>
      <c r="F66" t="s">
        <v>30</v>
      </c>
      <c r="G66">
        <v>7</v>
      </c>
      <c r="H66">
        <v>7052.48</v>
      </c>
      <c r="I66">
        <v>2</v>
      </c>
      <c r="J66" t="s">
        <v>37</v>
      </c>
      <c r="L66">
        <f t="shared" si="0"/>
        <v>49367.360000000001</v>
      </c>
      <c r="M66">
        <f t="shared" si="1"/>
        <v>2025</v>
      </c>
      <c r="N66">
        <f t="shared" si="2"/>
        <v>3</v>
      </c>
    </row>
    <row r="67" spans="1:14" x14ac:dyDescent="0.3">
      <c r="A67">
        <v>9065</v>
      </c>
      <c r="B67" s="1">
        <v>45852</v>
      </c>
      <c r="C67" t="s">
        <v>34</v>
      </c>
      <c r="D67" t="s">
        <v>11</v>
      </c>
      <c r="E67" t="s">
        <v>12</v>
      </c>
      <c r="F67" t="s">
        <v>30</v>
      </c>
      <c r="G67">
        <v>6</v>
      </c>
      <c r="H67">
        <v>2488.41</v>
      </c>
      <c r="I67">
        <v>4</v>
      </c>
      <c r="J67" t="s">
        <v>14</v>
      </c>
      <c r="L67">
        <f t="shared" ref="L67:L129" si="3">G67*H67</f>
        <v>14930.46</v>
      </c>
      <c r="M67">
        <f t="shared" ref="M67:M129" si="4">YEAR(B67)</f>
        <v>2025</v>
      </c>
      <c r="N67">
        <f t="shared" ref="N67:N129" si="5">ROUNDUP(MONTH(B67)/3,0)</f>
        <v>3</v>
      </c>
    </row>
    <row r="68" spans="1:14" x14ac:dyDescent="0.3">
      <c r="A68">
        <v>9066</v>
      </c>
      <c r="B68" s="1">
        <v>45839</v>
      </c>
      <c r="C68" t="s">
        <v>25</v>
      </c>
      <c r="D68" t="s">
        <v>11</v>
      </c>
      <c r="E68" t="s">
        <v>27</v>
      </c>
      <c r="F68" t="s">
        <v>13</v>
      </c>
      <c r="G68">
        <v>2</v>
      </c>
      <c r="H68">
        <v>4286.5200000000004</v>
      </c>
      <c r="I68">
        <v>2</v>
      </c>
      <c r="J68" t="s">
        <v>14</v>
      </c>
      <c r="L68">
        <f t="shared" si="3"/>
        <v>8573.0400000000009</v>
      </c>
      <c r="M68">
        <f t="shared" si="4"/>
        <v>2025</v>
      </c>
      <c r="N68">
        <f t="shared" si="5"/>
        <v>3</v>
      </c>
    </row>
    <row r="69" spans="1:14" x14ac:dyDescent="0.3">
      <c r="A69">
        <v>9067</v>
      </c>
      <c r="B69" s="1">
        <v>45711</v>
      </c>
      <c r="C69" t="s">
        <v>10</v>
      </c>
      <c r="D69" t="s">
        <v>11</v>
      </c>
      <c r="E69" t="s">
        <v>17</v>
      </c>
      <c r="F69" t="s">
        <v>35</v>
      </c>
      <c r="G69">
        <v>2</v>
      </c>
      <c r="H69">
        <v>5642.2</v>
      </c>
      <c r="I69">
        <v>1</v>
      </c>
      <c r="J69" t="s">
        <v>14</v>
      </c>
      <c r="L69">
        <f t="shared" si="3"/>
        <v>11284.4</v>
      </c>
      <c r="M69">
        <f t="shared" si="4"/>
        <v>2025</v>
      </c>
      <c r="N69">
        <f t="shared" si="5"/>
        <v>1</v>
      </c>
    </row>
    <row r="70" spans="1:14" x14ac:dyDescent="0.3">
      <c r="A70">
        <v>9068</v>
      </c>
      <c r="B70" s="1">
        <v>45953</v>
      </c>
      <c r="C70" t="s">
        <v>43</v>
      </c>
      <c r="D70" t="s">
        <v>29</v>
      </c>
      <c r="E70" t="s">
        <v>20</v>
      </c>
      <c r="F70" t="s">
        <v>18</v>
      </c>
      <c r="G70">
        <v>7</v>
      </c>
      <c r="H70">
        <v>7148.85</v>
      </c>
      <c r="I70">
        <v>1</v>
      </c>
      <c r="J70" t="s">
        <v>37</v>
      </c>
      <c r="L70">
        <f t="shared" si="3"/>
        <v>50041.950000000004</v>
      </c>
      <c r="M70">
        <f t="shared" si="4"/>
        <v>2025</v>
      </c>
      <c r="N70">
        <f t="shared" si="5"/>
        <v>4</v>
      </c>
    </row>
    <row r="71" spans="1:14" x14ac:dyDescent="0.3">
      <c r="A71">
        <v>9069</v>
      </c>
      <c r="B71" s="1">
        <v>45821</v>
      </c>
      <c r="C71" t="s">
        <v>44</v>
      </c>
      <c r="D71" t="s">
        <v>29</v>
      </c>
      <c r="E71" t="s">
        <v>17</v>
      </c>
      <c r="F71" t="s">
        <v>35</v>
      </c>
      <c r="G71">
        <v>1</v>
      </c>
      <c r="H71">
        <v>5381.51</v>
      </c>
      <c r="I71">
        <v>4</v>
      </c>
      <c r="J71" t="s">
        <v>14</v>
      </c>
      <c r="L71">
        <f t="shared" si="3"/>
        <v>5381.51</v>
      </c>
      <c r="M71">
        <f t="shared" si="4"/>
        <v>2025</v>
      </c>
      <c r="N71">
        <f t="shared" si="5"/>
        <v>2</v>
      </c>
    </row>
    <row r="72" spans="1:14" x14ac:dyDescent="0.3">
      <c r="A72">
        <v>9070</v>
      </c>
      <c r="B72" s="1">
        <v>45843</v>
      </c>
      <c r="C72" t="s">
        <v>25</v>
      </c>
      <c r="D72" t="s">
        <v>21</v>
      </c>
      <c r="E72" t="s">
        <v>20</v>
      </c>
      <c r="F72" t="s">
        <v>22</v>
      </c>
      <c r="G72">
        <v>6</v>
      </c>
      <c r="H72">
        <v>8788.91</v>
      </c>
      <c r="I72">
        <v>5</v>
      </c>
      <c r="J72" t="s">
        <v>14</v>
      </c>
      <c r="L72">
        <f t="shared" si="3"/>
        <v>52733.46</v>
      </c>
      <c r="M72">
        <f t="shared" si="4"/>
        <v>2025</v>
      </c>
      <c r="N72">
        <f t="shared" si="5"/>
        <v>3</v>
      </c>
    </row>
    <row r="73" spans="1:14" x14ac:dyDescent="0.3">
      <c r="A73">
        <v>9071</v>
      </c>
      <c r="B73" s="1">
        <v>45780</v>
      </c>
      <c r="C73" t="s">
        <v>42</v>
      </c>
      <c r="D73" t="s">
        <v>32</v>
      </c>
      <c r="E73" t="s">
        <v>12</v>
      </c>
      <c r="F73" t="s">
        <v>18</v>
      </c>
      <c r="G73">
        <v>5</v>
      </c>
      <c r="H73">
        <v>2324.34</v>
      </c>
      <c r="I73">
        <v>2</v>
      </c>
      <c r="J73" t="s">
        <v>14</v>
      </c>
      <c r="L73">
        <f t="shared" si="3"/>
        <v>11621.7</v>
      </c>
      <c r="M73">
        <f t="shared" si="4"/>
        <v>2025</v>
      </c>
      <c r="N73">
        <f t="shared" si="5"/>
        <v>2</v>
      </c>
    </row>
    <row r="74" spans="1:14" x14ac:dyDescent="0.3">
      <c r="A74">
        <v>9072</v>
      </c>
      <c r="B74" s="1">
        <v>45926</v>
      </c>
      <c r="C74" t="s">
        <v>40</v>
      </c>
      <c r="D74" t="s">
        <v>11</v>
      </c>
      <c r="E74" t="s">
        <v>20</v>
      </c>
      <c r="F74" t="s">
        <v>13</v>
      </c>
      <c r="G74">
        <v>3</v>
      </c>
      <c r="H74">
        <v>9261.0300000000007</v>
      </c>
      <c r="I74">
        <v>3</v>
      </c>
      <c r="J74" t="s">
        <v>37</v>
      </c>
      <c r="L74">
        <f t="shared" si="3"/>
        <v>27783.090000000004</v>
      </c>
      <c r="M74">
        <f t="shared" si="4"/>
        <v>2025</v>
      </c>
      <c r="N74">
        <f t="shared" si="5"/>
        <v>3</v>
      </c>
    </row>
    <row r="75" spans="1:14" x14ac:dyDescent="0.3">
      <c r="A75">
        <v>9073</v>
      </c>
      <c r="B75" s="1">
        <v>45761</v>
      </c>
      <c r="C75" t="s">
        <v>10</v>
      </c>
      <c r="D75" t="s">
        <v>11</v>
      </c>
      <c r="E75" t="s">
        <v>12</v>
      </c>
      <c r="F75" t="s">
        <v>13</v>
      </c>
      <c r="G75">
        <v>2</v>
      </c>
      <c r="H75">
        <v>2469.7399999999998</v>
      </c>
      <c r="I75">
        <v>4</v>
      </c>
      <c r="J75" t="s">
        <v>37</v>
      </c>
      <c r="L75">
        <f t="shared" si="3"/>
        <v>4939.4799999999996</v>
      </c>
      <c r="M75">
        <f t="shared" si="4"/>
        <v>2025</v>
      </c>
      <c r="N75">
        <f t="shared" si="5"/>
        <v>2</v>
      </c>
    </row>
    <row r="76" spans="1:14" x14ac:dyDescent="0.3">
      <c r="A76">
        <v>9074</v>
      </c>
      <c r="B76" s="1">
        <v>45766</v>
      </c>
      <c r="C76" t="s">
        <v>38</v>
      </c>
      <c r="D76" t="s">
        <v>29</v>
      </c>
      <c r="E76" t="s">
        <v>20</v>
      </c>
      <c r="F76" t="s">
        <v>35</v>
      </c>
      <c r="G76">
        <v>5</v>
      </c>
      <c r="H76">
        <v>9939.66</v>
      </c>
      <c r="I76">
        <v>2</v>
      </c>
      <c r="J76" t="s">
        <v>14</v>
      </c>
      <c r="L76">
        <f t="shared" si="3"/>
        <v>49698.3</v>
      </c>
      <c r="M76">
        <f t="shared" si="4"/>
        <v>2025</v>
      </c>
      <c r="N76">
        <f t="shared" si="5"/>
        <v>2</v>
      </c>
    </row>
    <row r="77" spans="1:14" x14ac:dyDescent="0.3">
      <c r="A77">
        <v>9075</v>
      </c>
      <c r="B77" s="1">
        <v>45961</v>
      </c>
      <c r="C77" t="s">
        <v>25</v>
      </c>
      <c r="D77" t="s">
        <v>11</v>
      </c>
      <c r="E77" t="s">
        <v>17</v>
      </c>
      <c r="F77" t="s">
        <v>13</v>
      </c>
      <c r="G77">
        <v>4</v>
      </c>
      <c r="H77">
        <v>6325.74</v>
      </c>
      <c r="I77">
        <v>1</v>
      </c>
      <c r="J77" t="s">
        <v>14</v>
      </c>
      <c r="L77">
        <f t="shared" si="3"/>
        <v>25302.959999999999</v>
      </c>
      <c r="M77">
        <f t="shared" si="4"/>
        <v>2025</v>
      </c>
      <c r="N77">
        <f t="shared" si="5"/>
        <v>4</v>
      </c>
    </row>
    <row r="78" spans="1:14" x14ac:dyDescent="0.3">
      <c r="A78">
        <v>9076</v>
      </c>
      <c r="B78" s="1">
        <v>46016</v>
      </c>
      <c r="C78" t="s">
        <v>25</v>
      </c>
      <c r="D78" t="s">
        <v>24</v>
      </c>
      <c r="E78" t="s">
        <v>27</v>
      </c>
      <c r="F78" t="s">
        <v>18</v>
      </c>
      <c r="G78">
        <v>3</v>
      </c>
      <c r="H78">
        <v>4328.72</v>
      </c>
      <c r="I78">
        <v>1</v>
      </c>
      <c r="J78" t="s">
        <v>14</v>
      </c>
      <c r="L78">
        <f t="shared" si="3"/>
        <v>12986.16</v>
      </c>
      <c r="M78">
        <f t="shared" si="4"/>
        <v>2025</v>
      </c>
      <c r="N78">
        <f t="shared" si="5"/>
        <v>4</v>
      </c>
    </row>
    <row r="79" spans="1:14" x14ac:dyDescent="0.3">
      <c r="A79">
        <v>9077</v>
      </c>
      <c r="B79" s="1">
        <v>45940</v>
      </c>
      <c r="C79" t="s">
        <v>43</v>
      </c>
      <c r="D79" t="s">
        <v>21</v>
      </c>
      <c r="E79" t="s">
        <v>12</v>
      </c>
      <c r="F79" t="s">
        <v>30</v>
      </c>
      <c r="G79">
        <v>2</v>
      </c>
      <c r="H79">
        <v>2109.63</v>
      </c>
      <c r="I79">
        <v>1</v>
      </c>
      <c r="J79" t="s">
        <v>41</v>
      </c>
      <c r="L79">
        <f t="shared" si="3"/>
        <v>4219.26</v>
      </c>
      <c r="M79">
        <f t="shared" si="4"/>
        <v>2025</v>
      </c>
      <c r="N79">
        <f t="shared" si="5"/>
        <v>4</v>
      </c>
    </row>
    <row r="80" spans="1:14" x14ac:dyDescent="0.3">
      <c r="A80">
        <v>9078</v>
      </c>
      <c r="B80" s="1">
        <v>45997</v>
      </c>
      <c r="C80" t="s">
        <v>31</v>
      </c>
      <c r="D80" t="s">
        <v>24</v>
      </c>
      <c r="E80" t="s">
        <v>27</v>
      </c>
      <c r="F80" t="s">
        <v>30</v>
      </c>
      <c r="G80">
        <v>3</v>
      </c>
      <c r="H80">
        <v>4032.1</v>
      </c>
      <c r="I80">
        <v>4</v>
      </c>
      <c r="J80" t="s">
        <v>14</v>
      </c>
      <c r="L80">
        <f t="shared" si="3"/>
        <v>12096.3</v>
      </c>
      <c r="M80">
        <f t="shared" si="4"/>
        <v>2025</v>
      </c>
      <c r="N80">
        <f t="shared" si="5"/>
        <v>4</v>
      </c>
    </row>
    <row r="81" spans="1:14" x14ac:dyDescent="0.3">
      <c r="A81">
        <v>9079</v>
      </c>
      <c r="B81" s="1">
        <v>45693</v>
      </c>
      <c r="C81" t="s">
        <v>25</v>
      </c>
      <c r="D81" t="s">
        <v>16</v>
      </c>
      <c r="E81" t="s">
        <v>12</v>
      </c>
      <c r="F81" t="s">
        <v>13</v>
      </c>
      <c r="G81">
        <v>7</v>
      </c>
      <c r="H81">
        <v>2218.8000000000002</v>
      </c>
      <c r="I81">
        <v>2</v>
      </c>
      <c r="J81" t="s">
        <v>14</v>
      </c>
      <c r="L81">
        <f t="shared" si="3"/>
        <v>15531.600000000002</v>
      </c>
      <c r="M81">
        <f t="shared" si="4"/>
        <v>2025</v>
      </c>
      <c r="N81">
        <f t="shared" si="5"/>
        <v>1</v>
      </c>
    </row>
    <row r="82" spans="1:14" x14ac:dyDescent="0.3">
      <c r="A82">
        <v>9080</v>
      </c>
      <c r="B82" s="1">
        <v>45907</v>
      </c>
      <c r="C82" t="s">
        <v>39</v>
      </c>
      <c r="D82" t="s">
        <v>16</v>
      </c>
      <c r="E82" t="s">
        <v>17</v>
      </c>
      <c r="F82" t="s">
        <v>35</v>
      </c>
      <c r="G82">
        <v>6</v>
      </c>
      <c r="H82">
        <v>6625.81</v>
      </c>
      <c r="I82">
        <v>2</v>
      </c>
      <c r="J82" t="s">
        <v>14</v>
      </c>
      <c r="L82">
        <f t="shared" si="3"/>
        <v>39754.86</v>
      </c>
      <c r="M82">
        <f t="shared" si="4"/>
        <v>2025</v>
      </c>
      <c r="N82">
        <f t="shared" si="5"/>
        <v>3</v>
      </c>
    </row>
    <row r="83" spans="1:14" x14ac:dyDescent="0.3">
      <c r="A83">
        <v>9081</v>
      </c>
      <c r="B83" s="1">
        <v>45866</v>
      </c>
      <c r="C83" t="s">
        <v>19</v>
      </c>
      <c r="D83" t="s">
        <v>16</v>
      </c>
      <c r="E83" t="s">
        <v>17</v>
      </c>
      <c r="F83" t="s">
        <v>13</v>
      </c>
      <c r="G83">
        <v>3</v>
      </c>
      <c r="H83">
        <v>6101.55</v>
      </c>
      <c r="I83">
        <v>4</v>
      </c>
      <c r="J83" t="s">
        <v>14</v>
      </c>
      <c r="L83">
        <f t="shared" si="3"/>
        <v>18304.650000000001</v>
      </c>
      <c r="M83">
        <f t="shared" si="4"/>
        <v>2025</v>
      </c>
      <c r="N83">
        <f t="shared" si="5"/>
        <v>3</v>
      </c>
    </row>
    <row r="84" spans="1:14" x14ac:dyDescent="0.3">
      <c r="A84">
        <v>9082</v>
      </c>
      <c r="B84" s="1">
        <v>45729</v>
      </c>
      <c r="C84" t="s">
        <v>19</v>
      </c>
      <c r="D84" t="s">
        <v>32</v>
      </c>
      <c r="E84" t="s">
        <v>20</v>
      </c>
      <c r="F84" t="s">
        <v>13</v>
      </c>
      <c r="G84">
        <v>3</v>
      </c>
      <c r="H84">
        <v>9534.02</v>
      </c>
      <c r="I84">
        <v>3</v>
      </c>
      <c r="J84" t="s">
        <v>37</v>
      </c>
      <c r="L84">
        <f t="shared" si="3"/>
        <v>28602.06</v>
      </c>
      <c r="M84">
        <f t="shared" si="4"/>
        <v>2025</v>
      </c>
      <c r="N84">
        <f t="shared" si="5"/>
        <v>1</v>
      </c>
    </row>
    <row r="85" spans="1:14" x14ac:dyDescent="0.3">
      <c r="A85">
        <v>9083</v>
      </c>
      <c r="B85" s="1">
        <v>45793</v>
      </c>
      <c r="C85" t="s">
        <v>25</v>
      </c>
      <c r="D85" t="s">
        <v>26</v>
      </c>
      <c r="E85" t="s">
        <v>12</v>
      </c>
      <c r="F85" t="s">
        <v>18</v>
      </c>
      <c r="G85">
        <v>1</v>
      </c>
      <c r="H85">
        <v>2303.06</v>
      </c>
      <c r="I85">
        <v>2</v>
      </c>
      <c r="J85" t="s">
        <v>14</v>
      </c>
      <c r="L85">
        <f t="shared" si="3"/>
        <v>2303.06</v>
      </c>
      <c r="M85">
        <f t="shared" si="4"/>
        <v>2025</v>
      </c>
      <c r="N85">
        <f t="shared" si="5"/>
        <v>2</v>
      </c>
    </row>
    <row r="86" spans="1:14" x14ac:dyDescent="0.3">
      <c r="A86">
        <v>9084</v>
      </c>
      <c r="B86" s="1">
        <v>45781</v>
      </c>
      <c r="C86" t="s">
        <v>36</v>
      </c>
      <c r="D86" t="s">
        <v>29</v>
      </c>
      <c r="E86" t="s">
        <v>27</v>
      </c>
      <c r="F86" t="s">
        <v>22</v>
      </c>
      <c r="G86">
        <v>3</v>
      </c>
      <c r="H86">
        <v>3399.67</v>
      </c>
      <c r="I86">
        <v>4</v>
      </c>
      <c r="J86" t="s">
        <v>14</v>
      </c>
      <c r="L86">
        <f t="shared" si="3"/>
        <v>10199.01</v>
      </c>
      <c r="M86">
        <f t="shared" si="4"/>
        <v>2025</v>
      </c>
      <c r="N86">
        <f t="shared" si="5"/>
        <v>2</v>
      </c>
    </row>
    <row r="87" spans="1:14" x14ac:dyDescent="0.3">
      <c r="A87">
        <v>9085</v>
      </c>
      <c r="B87" s="1">
        <v>45757</v>
      </c>
      <c r="C87" t="s">
        <v>39</v>
      </c>
      <c r="D87" t="s">
        <v>24</v>
      </c>
      <c r="E87" t="s">
        <v>12</v>
      </c>
      <c r="F87" t="s">
        <v>18</v>
      </c>
      <c r="G87">
        <v>7</v>
      </c>
      <c r="H87">
        <v>2253.12</v>
      </c>
      <c r="I87">
        <v>5</v>
      </c>
      <c r="J87" t="s">
        <v>14</v>
      </c>
      <c r="L87">
        <f t="shared" si="3"/>
        <v>15771.84</v>
      </c>
      <c r="M87">
        <f t="shared" si="4"/>
        <v>2025</v>
      </c>
      <c r="N87">
        <f t="shared" si="5"/>
        <v>2</v>
      </c>
    </row>
    <row r="88" spans="1:14" x14ac:dyDescent="0.3">
      <c r="A88">
        <v>9086</v>
      </c>
      <c r="B88" s="1">
        <v>45975</v>
      </c>
      <c r="C88" t="s">
        <v>33</v>
      </c>
      <c r="D88" t="s">
        <v>16</v>
      </c>
      <c r="E88" t="s">
        <v>17</v>
      </c>
      <c r="F88" t="s">
        <v>35</v>
      </c>
      <c r="G88">
        <v>1</v>
      </c>
      <c r="H88">
        <v>5875.35</v>
      </c>
      <c r="I88">
        <v>2</v>
      </c>
      <c r="J88" t="s">
        <v>14</v>
      </c>
      <c r="L88">
        <f t="shared" si="3"/>
        <v>5875.35</v>
      </c>
      <c r="M88">
        <f t="shared" si="4"/>
        <v>2025</v>
      </c>
      <c r="N88">
        <f t="shared" si="5"/>
        <v>4</v>
      </c>
    </row>
    <row r="89" spans="1:14" x14ac:dyDescent="0.3">
      <c r="A89">
        <v>9087</v>
      </c>
      <c r="B89" s="1">
        <v>45933</v>
      </c>
      <c r="C89" t="s">
        <v>15</v>
      </c>
      <c r="D89" t="s">
        <v>24</v>
      </c>
      <c r="E89" t="s">
        <v>20</v>
      </c>
      <c r="F89" t="s">
        <v>13</v>
      </c>
      <c r="G89">
        <v>4</v>
      </c>
      <c r="H89">
        <v>7605.17</v>
      </c>
      <c r="I89">
        <v>1</v>
      </c>
      <c r="J89" t="s">
        <v>14</v>
      </c>
      <c r="L89">
        <f t="shared" si="3"/>
        <v>30420.68</v>
      </c>
      <c r="M89">
        <f t="shared" si="4"/>
        <v>2025</v>
      </c>
      <c r="N89">
        <f t="shared" si="5"/>
        <v>4</v>
      </c>
    </row>
    <row r="90" spans="1:14" x14ac:dyDescent="0.3">
      <c r="A90">
        <v>9088</v>
      </c>
      <c r="B90" s="1">
        <v>45750</v>
      </c>
      <c r="C90" t="s">
        <v>23</v>
      </c>
      <c r="D90" t="s">
        <v>11</v>
      </c>
      <c r="E90" t="s">
        <v>27</v>
      </c>
      <c r="F90" t="s">
        <v>18</v>
      </c>
      <c r="G90">
        <v>4</v>
      </c>
      <c r="H90">
        <v>3224.93</v>
      </c>
      <c r="I90">
        <v>1</v>
      </c>
      <c r="J90" t="s">
        <v>14</v>
      </c>
      <c r="L90">
        <f t="shared" si="3"/>
        <v>12899.72</v>
      </c>
      <c r="M90">
        <f t="shared" si="4"/>
        <v>2025</v>
      </c>
      <c r="N90">
        <f t="shared" si="5"/>
        <v>2</v>
      </c>
    </row>
    <row r="91" spans="1:14" x14ac:dyDescent="0.3">
      <c r="A91">
        <v>9089</v>
      </c>
      <c r="B91" s="1">
        <v>45891</v>
      </c>
      <c r="C91" t="s">
        <v>15</v>
      </c>
      <c r="D91" t="s">
        <v>32</v>
      </c>
      <c r="E91" t="s">
        <v>20</v>
      </c>
      <c r="F91" t="s">
        <v>22</v>
      </c>
      <c r="G91">
        <v>3</v>
      </c>
      <c r="H91">
        <v>8660.49</v>
      </c>
      <c r="I91">
        <v>5</v>
      </c>
      <c r="J91" t="s">
        <v>37</v>
      </c>
      <c r="L91">
        <f t="shared" si="3"/>
        <v>25981.47</v>
      </c>
      <c r="M91">
        <f t="shared" si="4"/>
        <v>2025</v>
      </c>
      <c r="N91">
        <f t="shared" si="5"/>
        <v>3</v>
      </c>
    </row>
    <row r="92" spans="1:14" x14ac:dyDescent="0.3">
      <c r="A92">
        <v>9090</v>
      </c>
      <c r="B92" s="1">
        <v>45912</v>
      </c>
      <c r="C92" t="s">
        <v>39</v>
      </c>
      <c r="D92" t="s">
        <v>11</v>
      </c>
      <c r="E92" t="s">
        <v>27</v>
      </c>
      <c r="F92" t="s">
        <v>18</v>
      </c>
      <c r="G92">
        <v>5</v>
      </c>
      <c r="H92">
        <v>3133.46</v>
      </c>
      <c r="I92">
        <v>1</v>
      </c>
      <c r="J92" t="s">
        <v>14</v>
      </c>
      <c r="L92">
        <f t="shared" si="3"/>
        <v>15667.3</v>
      </c>
      <c r="M92">
        <f t="shared" si="4"/>
        <v>2025</v>
      </c>
      <c r="N92">
        <f t="shared" si="5"/>
        <v>3</v>
      </c>
    </row>
    <row r="93" spans="1:14" x14ac:dyDescent="0.3">
      <c r="A93">
        <v>9091</v>
      </c>
      <c r="B93" s="1">
        <v>45721</v>
      </c>
      <c r="C93" t="s">
        <v>25</v>
      </c>
      <c r="D93" t="s">
        <v>26</v>
      </c>
      <c r="E93" t="s">
        <v>27</v>
      </c>
      <c r="F93" t="s">
        <v>18</v>
      </c>
      <c r="G93">
        <v>1</v>
      </c>
      <c r="H93">
        <v>4338.18</v>
      </c>
      <c r="I93">
        <v>6</v>
      </c>
      <c r="J93" t="s">
        <v>37</v>
      </c>
      <c r="L93">
        <f t="shared" si="3"/>
        <v>4338.18</v>
      </c>
      <c r="M93">
        <f t="shared" si="4"/>
        <v>2025</v>
      </c>
      <c r="N93">
        <f t="shared" si="5"/>
        <v>1</v>
      </c>
    </row>
    <row r="94" spans="1:14" x14ac:dyDescent="0.3">
      <c r="A94">
        <v>9092</v>
      </c>
      <c r="B94" s="1">
        <v>45910</v>
      </c>
      <c r="C94" t="s">
        <v>10</v>
      </c>
      <c r="D94" t="s">
        <v>24</v>
      </c>
      <c r="E94" t="s">
        <v>27</v>
      </c>
      <c r="F94" t="s">
        <v>22</v>
      </c>
      <c r="G94">
        <v>2</v>
      </c>
      <c r="H94">
        <v>3749.14</v>
      </c>
      <c r="I94">
        <v>5</v>
      </c>
      <c r="J94" t="s">
        <v>14</v>
      </c>
      <c r="L94">
        <f t="shared" si="3"/>
        <v>7498.28</v>
      </c>
      <c r="M94">
        <f t="shared" si="4"/>
        <v>2025</v>
      </c>
      <c r="N94">
        <f t="shared" si="5"/>
        <v>3</v>
      </c>
    </row>
    <row r="95" spans="1:14" x14ac:dyDescent="0.3">
      <c r="A95">
        <v>9093</v>
      </c>
      <c r="B95" s="1">
        <v>46011</v>
      </c>
      <c r="C95" t="s">
        <v>31</v>
      </c>
      <c r="D95" t="s">
        <v>16</v>
      </c>
      <c r="E95" t="s">
        <v>20</v>
      </c>
      <c r="F95" t="s">
        <v>30</v>
      </c>
      <c r="G95">
        <v>7</v>
      </c>
      <c r="H95">
        <v>7854.82</v>
      </c>
      <c r="I95">
        <v>5</v>
      </c>
      <c r="J95" t="s">
        <v>14</v>
      </c>
      <c r="L95">
        <f t="shared" si="3"/>
        <v>54983.74</v>
      </c>
      <c r="M95">
        <f t="shared" si="4"/>
        <v>2025</v>
      </c>
      <c r="N95">
        <f t="shared" si="5"/>
        <v>4</v>
      </c>
    </row>
    <row r="96" spans="1:14" x14ac:dyDescent="0.3">
      <c r="A96">
        <v>9094</v>
      </c>
      <c r="B96" s="1">
        <v>45899</v>
      </c>
      <c r="C96" t="s">
        <v>40</v>
      </c>
      <c r="D96" t="s">
        <v>11</v>
      </c>
      <c r="E96" t="s">
        <v>17</v>
      </c>
      <c r="F96" t="s">
        <v>18</v>
      </c>
      <c r="G96">
        <v>5</v>
      </c>
      <c r="H96">
        <v>7078.45</v>
      </c>
      <c r="I96">
        <v>4</v>
      </c>
      <c r="J96" t="s">
        <v>37</v>
      </c>
      <c r="L96">
        <f t="shared" si="3"/>
        <v>35392.25</v>
      </c>
      <c r="M96">
        <f t="shared" si="4"/>
        <v>2025</v>
      </c>
      <c r="N96">
        <f t="shared" si="5"/>
        <v>3</v>
      </c>
    </row>
    <row r="97" spans="1:14" x14ac:dyDescent="0.3">
      <c r="A97">
        <v>9095</v>
      </c>
      <c r="B97" s="1">
        <v>45923</v>
      </c>
      <c r="C97" t="s">
        <v>19</v>
      </c>
      <c r="D97" t="s">
        <v>26</v>
      </c>
      <c r="E97" t="s">
        <v>27</v>
      </c>
      <c r="F97" t="s">
        <v>13</v>
      </c>
      <c r="G97">
        <v>5</v>
      </c>
      <c r="H97">
        <v>4417.9399999999996</v>
      </c>
      <c r="I97">
        <v>4</v>
      </c>
      <c r="J97" t="s">
        <v>14</v>
      </c>
      <c r="L97">
        <f t="shared" si="3"/>
        <v>22089.699999999997</v>
      </c>
      <c r="M97">
        <f t="shared" si="4"/>
        <v>2025</v>
      </c>
      <c r="N97">
        <f t="shared" si="5"/>
        <v>3</v>
      </c>
    </row>
    <row r="98" spans="1:14" x14ac:dyDescent="0.3">
      <c r="A98">
        <v>9096</v>
      </c>
      <c r="B98" s="1">
        <v>45937</v>
      </c>
      <c r="C98" t="s">
        <v>39</v>
      </c>
      <c r="D98" t="s">
        <v>29</v>
      </c>
      <c r="E98" t="s">
        <v>17</v>
      </c>
      <c r="F98" t="s">
        <v>30</v>
      </c>
      <c r="G98">
        <v>6</v>
      </c>
      <c r="H98">
        <v>4952.2</v>
      </c>
      <c r="I98">
        <v>4</v>
      </c>
      <c r="J98" t="s">
        <v>41</v>
      </c>
      <c r="L98">
        <f t="shared" si="3"/>
        <v>29713.199999999997</v>
      </c>
      <c r="M98">
        <f t="shared" si="4"/>
        <v>2025</v>
      </c>
      <c r="N98">
        <f t="shared" si="5"/>
        <v>4</v>
      </c>
    </row>
    <row r="99" spans="1:14" x14ac:dyDescent="0.3">
      <c r="A99">
        <v>9097</v>
      </c>
      <c r="B99" s="1">
        <v>45706</v>
      </c>
      <c r="C99" t="s">
        <v>15</v>
      </c>
      <c r="D99" t="s">
        <v>11</v>
      </c>
      <c r="E99" t="s">
        <v>17</v>
      </c>
      <c r="F99" t="s">
        <v>22</v>
      </c>
      <c r="G99">
        <v>1</v>
      </c>
      <c r="H99">
        <v>6704.69</v>
      </c>
      <c r="I99">
        <v>2</v>
      </c>
      <c r="J99" t="s">
        <v>14</v>
      </c>
      <c r="L99">
        <f t="shared" si="3"/>
        <v>6704.69</v>
      </c>
      <c r="M99">
        <f t="shared" si="4"/>
        <v>2025</v>
      </c>
      <c r="N99">
        <f t="shared" si="5"/>
        <v>1</v>
      </c>
    </row>
    <row r="100" spans="1:14" x14ac:dyDescent="0.3">
      <c r="A100">
        <v>9098</v>
      </c>
      <c r="B100" s="1">
        <v>45892</v>
      </c>
      <c r="C100" t="s">
        <v>15</v>
      </c>
      <c r="D100" t="s">
        <v>16</v>
      </c>
      <c r="E100" t="s">
        <v>27</v>
      </c>
      <c r="F100" t="s">
        <v>30</v>
      </c>
      <c r="G100">
        <v>7</v>
      </c>
      <c r="H100">
        <v>3327.72</v>
      </c>
      <c r="I100">
        <v>1</v>
      </c>
      <c r="J100" t="s">
        <v>14</v>
      </c>
      <c r="L100">
        <f t="shared" si="3"/>
        <v>23294.039999999997</v>
      </c>
      <c r="M100">
        <f t="shared" si="4"/>
        <v>2025</v>
      </c>
      <c r="N100">
        <f t="shared" si="5"/>
        <v>3</v>
      </c>
    </row>
    <row r="101" spans="1:14" x14ac:dyDescent="0.3">
      <c r="A101">
        <v>9099</v>
      </c>
      <c r="B101" s="1">
        <v>45896</v>
      </c>
      <c r="C101" t="s">
        <v>43</v>
      </c>
      <c r="D101" t="s">
        <v>16</v>
      </c>
      <c r="E101" t="s">
        <v>20</v>
      </c>
      <c r="F101" t="s">
        <v>30</v>
      </c>
      <c r="G101">
        <v>3</v>
      </c>
      <c r="H101">
        <v>9718.0400000000009</v>
      </c>
      <c r="I101">
        <v>6</v>
      </c>
      <c r="J101" t="s">
        <v>14</v>
      </c>
      <c r="L101">
        <f t="shared" si="3"/>
        <v>29154.120000000003</v>
      </c>
      <c r="M101">
        <f t="shared" si="4"/>
        <v>2025</v>
      </c>
      <c r="N101">
        <f t="shared" si="5"/>
        <v>3</v>
      </c>
    </row>
    <row r="102" spans="1:14" x14ac:dyDescent="0.3">
      <c r="A102">
        <v>9100</v>
      </c>
      <c r="B102" s="1">
        <v>45781</v>
      </c>
      <c r="C102" t="s">
        <v>33</v>
      </c>
      <c r="D102" t="s">
        <v>11</v>
      </c>
      <c r="E102" t="s">
        <v>12</v>
      </c>
      <c r="F102" t="s">
        <v>30</v>
      </c>
      <c r="G102">
        <v>6</v>
      </c>
      <c r="H102">
        <v>2664.29</v>
      </c>
      <c r="I102">
        <v>4</v>
      </c>
      <c r="J102" t="s">
        <v>14</v>
      </c>
      <c r="L102">
        <f t="shared" si="3"/>
        <v>15985.74</v>
      </c>
      <c r="M102">
        <f t="shared" si="4"/>
        <v>2025</v>
      </c>
      <c r="N102">
        <f t="shared" si="5"/>
        <v>2</v>
      </c>
    </row>
    <row r="103" spans="1:14" x14ac:dyDescent="0.3">
      <c r="A103">
        <v>9101</v>
      </c>
      <c r="B103" s="1">
        <v>45988</v>
      </c>
      <c r="C103" t="s">
        <v>43</v>
      </c>
      <c r="D103" t="s">
        <v>32</v>
      </c>
      <c r="E103" t="s">
        <v>27</v>
      </c>
      <c r="F103" t="s">
        <v>30</v>
      </c>
      <c r="G103">
        <v>2</v>
      </c>
      <c r="H103">
        <v>3715.77</v>
      </c>
      <c r="I103">
        <v>4</v>
      </c>
      <c r="J103" t="s">
        <v>37</v>
      </c>
      <c r="L103">
        <f t="shared" si="3"/>
        <v>7431.54</v>
      </c>
      <c r="M103">
        <f t="shared" si="4"/>
        <v>2025</v>
      </c>
      <c r="N103">
        <f t="shared" si="5"/>
        <v>4</v>
      </c>
    </row>
    <row r="104" spans="1:14" x14ac:dyDescent="0.3">
      <c r="A104">
        <v>9102</v>
      </c>
      <c r="B104" s="1">
        <v>45763</v>
      </c>
      <c r="C104" t="s">
        <v>31</v>
      </c>
      <c r="D104" t="s">
        <v>32</v>
      </c>
      <c r="E104" t="s">
        <v>20</v>
      </c>
      <c r="F104" t="s">
        <v>35</v>
      </c>
      <c r="G104">
        <v>6</v>
      </c>
      <c r="H104">
        <v>9916.99</v>
      </c>
      <c r="I104">
        <v>4</v>
      </c>
      <c r="J104" t="s">
        <v>14</v>
      </c>
      <c r="L104">
        <f t="shared" si="3"/>
        <v>59501.94</v>
      </c>
      <c r="M104">
        <f t="shared" si="4"/>
        <v>2025</v>
      </c>
      <c r="N104">
        <f t="shared" si="5"/>
        <v>2</v>
      </c>
    </row>
    <row r="105" spans="1:14" x14ac:dyDescent="0.3">
      <c r="A105">
        <v>9103</v>
      </c>
      <c r="B105" s="1">
        <v>45887</v>
      </c>
      <c r="C105" t="s">
        <v>23</v>
      </c>
      <c r="D105" t="s">
        <v>32</v>
      </c>
      <c r="E105" t="s">
        <v>20</v>
      </c>
      <c r="F105" t="s">
        <v>13</v>
      </c>
      <c r="G105">
        <v>6</v>
      </c>
      <c r="H105">
        <v>8546.0300000000007</v>
      </c>
      <c r="I105">
        <v>2</v>
      </c>
      <c r="J105" t="s">
        <v>37</v>
      </c>
      <c r="L105">
        <f t="shared" si="3"/>
        <v>51276.180000000008</v>
      </c>
      <c r="M105">
        <f t="shared" si="4"/>
        <v>2025</v>
      </c>
      <c r="N105">
        <f t="shared" si="5"/>
        <v>3</v>
      </c>
    </row>
    <row r="106" spans="1:14" x14ac:dyDescent="0.3">
      <c r="A106">
        <v>9104</v>
      </c>
      <c r="B106" s="1">
        <v>45839</v>
      </c>
      <c r="C106" t="s">
        <v>10</v>
      </c>
      <c r="D106" t="s">
        <v>29</v>
      </c>
      <c r="E106" t="s">
        <v>17</v>
      </c>
      <c r="F106" t="s">
        <v>18</v>
      </c>
      <c r="G106">
        <v>3</v>
      </c>
      <c r="H106">
        <v>6621.87</v>
      </c>
      <c r="I106">
        <v>1</v>
      </c>
      <c r="J106" t="s">
        <v>14</v>
      </c>
      <c r="L106">
        <f t="shared" si="3"/>
        <v>19865.61</v>
      </c>
      <c r="M106">
        <f t="shared" si="4"/>
        <v>2025</v>
      </c>
      <c r="N106">
        <f t="shared" si="5"/>
        <v>3</v>
      </c>
    </row>
    <row r="107" spans="1:14" x14ac:dyDescent="0.3">
      <c r="A107">
        <v>9105</v>
      </c>
      <c r="B107" s="1">
        <v>45773</v>
      </c>
      <c r="C107" t="s">
        <v>34</v>
      </c>
      <c r="D107" t="s">
        <v>26</v>
      </c>
      <c r="E107" t="s">
        <v>17</v>
      </c>
      <c r="F107" t="s">
        <v>18</v>
      </c>
      <c r="G107">
        <v>1</v>
      </c>
      <c r="H107">
        <v>5269.19</v>
      </c>
      <c r="I107">
        <v>4</v>
      </c>
      <c r="J107" t="s">
        <v>14</v>
      </c>
      <c r="L107">
        <f t="shared" si="3"/>
        <v>5269.19</v>
      </c>
      <c r="M107">
        <f t="shared" si="4"/>
        <v>2025</v>
      </c>
      <c r="N107">
        <f t="shared" si="5"/>
        <v>2</v>
      </c>
    </row>
    <row r="108" spans="1:14" x14ac:dyDescent="0.3">
      <c r="A108">
        <v>9106</v>
      </c>
      <c r="B108" s="1">
        <v>45757</v>
      </c>
      <c r="C108" t="s">
        <v>40</v>
      </c>
      <c r="D108" t="s">
        <v>32</v>
      </c>
      <c r="E108" t="s">
        <v>12</v>
      </c>
      <c r="F108" t="s">
        <v>13</v>
      </c>
      <c r="G108">
        <v>7</v>
      </c>
      <c r="H108">
        <v>1989.21</v>
      </c>
      <c r="I108">
        <v>2</v>
      </c>
      <c r="J108" t="s">
        <v>14</v>
      </c>
      <c r="L108">
        <f t="shared" si="3"/>
        <v>13924.470000000001</v>
      </c>
      <c r="M108">
        <f t="shared" si="4"/>
        <v>2025</v>
      </c>
      <c r="N108">
        <f t="shared" si="5"/>
        <v>2</v>
      </c>
    </row>
    <row r="109" spans="1:14" x14ac:dyDescent="0.3">
      <c r="A109">
        <v>9107</v>
      </c>
      <c r="B109" s="1">
        <v>45854</v>
      </c>
      <c r="C109" t="s">
        <v>40</v>
      </c>
      <c r="D109" t="s">
        <v>21</v>
      </c>
      <c r="E109" t="s">
        <v>27</v>
      </c>
      <c r="F109" t="s">
        <v>35</v>
      </c>
      <c r="G109">
        <v>5</v>
      </c>
      <c r="H109">
        <v>3949.91</v>
      </c>
      <c r="I109">
        <v>1</v>
      </c>
      <c r="J109" t="s">
        <v>14</v>
      </c>
      <c r="L109">
        <f t="shared" si="3"/>
        <v>19749.55</v>
      </c>
      <c r="M109">
        <f t="shared" si="4"/>
        <v>2025</v>
      </c>
      <c r="N109">
        <f t="shared" si="5"/>
        <v>3</v>
      </c>
    </row>
    <row r="110" spans="1:14" x14ac:dyDescent="0.3">
      <c r="A110">
        <v>9108</v>
      </c>
      <c r="B110" s="1">
        <v>45659</v>
      </c>
      <c r="C110" t="s">
        <v>19</v>
      </c>
      <c r="D110" t="s">
        <v>32</v>
      </c>
      <c r="E110" t="s">
        <v>20</v>
      </c>
      <c r="F110" t="s">
        <v>35</v>
      </c>
      <c r="G110">
        <v>1</v>
      </c>
      <c r="H110">
        <v>10234.68</v>
      </c>
      <c r="I110">
        <v>4</v>
      </c>
      <c r="J110" t="s">
        <v>14</v>
      </c>
      <c r="L110">
        <f t="shared" si="3"/>
        <v>10234.68</v>
      </c>
      <c r="M110">
        <f t="shared" si="4"/>
        <v>2025</v>
      </c>
      <c r="N110">
        <f t="shared" si="5"/>
        <v>1</v>
      </c>
    </row>
    <row r="111" spans="1:14" x14ac:dyDescent="0.3">
      <c r="A111">
        <v>9109</v>
      </c>
      <c r="B111" s="1">
        <v>45771</v>
      </c>
      <c r="C111" t="s">
        <v>44</v>
      </c>
      <c r="D111" t="s">
        <v>11</v>
      </c>
      <c r="E111" t="s">
        <v>27</v>
      </c>
      <c r="F111" t="s">
        <v>30</v>
      </c>
      <c r="G111">
        <v>3</v>
      </c>
      <c r="H111">
        <v>4196.51</v>
      </c>
      <c r="I111">
        <v>2</v>
      </c>
      <c r="J111" t="s">
        <v>14</v>
      </c>
      <c r="L111">
        <f t="shared" si="3"/>
        <v>12589.53</v>
      </c>
      <c r="M111">
        <f t="shared" si="4"/>
        <v>2025</v>
      </c>
      <c r="N111">
        <f t="shared" si="5"/>
        <v>2</v>
      </c>
    </row>
    <row r="112" spans="1:14" x14ac:dyDescent="0.3">
      <c r="A112">
        <v>9110</v>
      </c>
      <c r="B112" s="1">
        <v>46004</v>
      </c>
      <c r="C112" t="s">
        <v>15</v>
      </c>
      <c r="D112" t="s">
        <v>21</v>
      </c>
      <c r="E112" t="s">
        <v>17</v>
      </c>
      <c r="F112" t="s">
        <v>18</v>
      </c>
      <c r="G112">
        <v>3</v>
      </c>
      <c r="H112">
        <v>5316.12</v>
      </c>
      <c r="I112">
        <v>5</v>
      </c>
      <c r="J112" t="s">
        <v>37</v>
      </c>
      <c r="L112">
        <f t="shared" si="3"/>
        <v>15948.36</v>
      </c>
      <c r="M112">
        <f t="shared" si="4"/>
        <v>2025</v>
      </c>
      <c r="N112">
        <f t="shared" si="5"/>
        <v>4</v>
      </c>
    </row>
    <row r="113" spans="1:14" x14ac:dyDescent="0.3">
      <c r="A113">
        <v>9111</v>
      </c>
      <c r="B113" s="1">
        <v>45905</v>
      </c>
      <c r="C113" t="s">
        <v>38</v>
      </c>
      <c r="D113" t="s">
        <v>32</v>
      </c>
      <c r="E113" t="s">
        <v>17</v>
      </c>
      <c r="F113" t="s">
        <v>13</v>
      </c>
      <c r="G113">
        <v>7</v>
      </c>
      <c r="H113">
        <v>5408.87</v>
      </c>
      <c r="I113">
        <v>4</v>
      </c>
      <c r="J113" t="s">
        <v>14</v>
      </c>
      <c r="L113">
        <f t="shared" si="3"/>
        <v>37862.089999999997</v>
      </c>
      <c r="M113">
        <f t="shared" si="4"/>
        <v>2025</v>
      </c>
      <c r="N113">
        <f t="shared" si="5"/>
        <v>3</v>
      </c>
    </row>
    <row r="114" spans="1:14" x14ac:dyDescent="0.3">
      <c r="A114">
        <v>9112</v>
      </c>
      <c r="B114" s="1">
        <v>45785</v>
      </c>
      <c r="C114" t="s">
        <v>19</v>
      </c>
      <c r="D114" t="s">
        <v>26</v>
      </c>
      <c r="E114" t="s">
        <v>27</v>
      </c>
      <c r="F114" t="s">
        <v>13</v>
      </c>
      <c r="G114">
        <v>7</v>
      </c>
      <c r="H114">
        <v>3604.64</v>
      </c>
      <c r="I114">
        <v>1</v>
      </c>
      <c r="J114" t="s">
        <v>41</v>
      </c>
      <c r="L114">
        <f t="shared" si="3"/>
        <v>25232.48</v>
      </c>
      <c r="M114">
        <f t="shared" si="4"/>
        <v>2025</v>
      </c>
      <c r="N114">
        <f t="shared" si="5"/>
        <v>2</v>
      </c>
    </row>
    <row r="115" spans="1:14" x14ac:dyDescent="0.3">
      <c r="A115">
        <v>9113</v>
      </c>
      <c r="B115" s="1">
        <v>45865</v>
      </c>
      <c r="C115" t="s">
        <v>36</v>
      </c>
      <c r="D115" t="s">
        <v>11</v>
      </c>
      <c r="E115" t="s">
        <v>17</v>
      </c>
      <c r="F115" t="s">
        <v>30</v>
      </c>
      <c r="G115">
        <v>2</v>
      </c>
      <c r="H115">
        <v>5650.89</v>
      </c>
      <c r="I115">
        <v>1</v>
      </c>
      <c r="J115" t="s">
        <v>14</v>
      </c>
      <c r="L115">
        <f t="shared" si="3"/>
        <v>11301.78</v>
      </c>
      <c r="M115">
        <f t="shared" si="4"/>
        <v>2025</v>
      </c>
      <c r="N115">
        <f t="shared" si="5"/>
        <v>3</v>
      </c>
    </row>
    <row r="116" spans="1:14" x14ac:dyDescent="0.3">
      <c r="A116">
        <v>9114</v>
      </c>
      <c r="B116" s="1">
        <v>45766</v>
      </c>
      <c r="C116" t="s">
        <v>36</v>
      </c>
      <c r="D116" t="s">
        <v>32</v>
      </c>
      <c r="E116" t="s">
        <v>20</v>
      </c>
      <c r="F116" t="s">
        <v>13</v>
      </c>
      <c r="G116">
        <v>5</v>
      </c>
      <c r="H116">
        <v>7868.27</v>
      </c>
      <c r="I116">
        <v>1</v>
      </c>
      <c r="J116" t="s">
        <v>14</v>
      </c>
      <c r="L116">
        <f t="shared" si="3"/>
        <v>39341.350000000006</v>
      </c>
      <c r="M116">
        <f t="shared" si="4"/>
        <v>2025</v>
      </c>
      <c r="N116">
        <f t="shared" si="5"/>
        <v>2</v>
      </c>
    </row>
    <row r="117" spans="1:14" x14ac:dyDescent="0.3">
      <c r="A117">
        <v>9115</v>
      </c>
      <c r="B117" s="1">
        <v>45796</v>
      </c>
      <c r="C117" t="s">
        <v>25</v>
      </c>
      <c r="D117" t="s">
        <v>29</v>
      </c>
      <c r="E117" t="s">
        <v>27</v>
      </c>
      <c r="F117" t="s">
        <v>35</v>
      </c>
      <c r="G117">
        <v>2</v>
      </c>
      <c r="H117">
        <v>4412.34</v>
      </c>
      <c r="I117">
        <v>3</v>
      </c>
      <c r="J117" t="s">
        <v>14</v>
      </c>
      <c r="L117">
        <f t="shared" si="3"/>
        <v>8824.68</v>
      </c>
      <c r="M117">
        <f t="shared" si="4"/>
        <v>2025</v>
      </c>
      <c r="N117">
        <f t="shared" si="5"/>
        <v>2</v>
      </c>
    </row>
    <row r="118" spans="1:14" x14ac:dyDescent="0.3">
      <c r="A118">
        <v>9116</v>
      </c>
      <c r="B118" s="1">
        <v>45851</v>
      </c>
      <c r="C118" t="s">
        <v>39</v>
      </c>
      <c r="D118" t="s">
        <v>29</v>
      </c>
      <c r="E118" t="s">
        <v>12</v>
      </c>
      <c r="F118" t="s">
        <v>35</v>
      </c>
      <c r="G118">
        <v>4</v>
      </c>
      <c r="H118">
        <v>2646.46</v>
      </c>
      <c r="I118">
        <v>4</v>
      </c>
      <c r="J118" t="s">
        <v>14</v>
      </c>
      <c r="L118">
        <f t="shared" si="3"/>
        <v>10585.84</v>
      </c>
      <c r="M118">
        <f t="shared" si="4"/>
        <v>2025</v>
      </c>
      <c r="N118">
        <f t="shared" si="5"/>
        <v>3</v>
      </c>
    </row>
    <row r="119" spans="1:14" x14ac:dyDescent="0.3">
      <c r="A119">
        <v>9117</v>
      </c>
      <c r="B119" s="1">
        <v>45912</v>
      </c>
      <c r="C119" t="s">
        <v>39</v>
      </c>
      <c r="D119" t="s">
        <v>24</v>
      </c>
      <c r="E119" t="s">
        <v>20</v>
      </c>
      <c r="F119" t="s">
        <v>30</v>
      </c>
      <c r="G119">
        <v>5</v>
      </c>
      <c r="H119">
        <v>8742.32</v>
      </c>
      <c r="I119">
        <v>4</v>
      </c>
      <c r="J119" t="s">
        <v>14</v>
      </c>
      <c r="L119">
        <f t="shared" si="3"/>
        <v>43711.6</v>
      </c>
      <c r="M119">
        <f t="shared" si="4"/>
        <v>2025</v>
      </c>
      <c r="N119">
        <f t="shared" si="5"/>
        <v>3</v>
      </c>
    </row>
    <row r="120" spans="1:14" x14ac:dyDescent="0.3">
      <c r="A120">
        <v>9118</v>
      </c>
      <c r="B120" s="1">
        <v>45907</v>
      </c>
      <c r="C120" t="s">
        <v>39</v>
      </c>
      <c r="D120" t="s">
        <v>29</v>
      </c>
      <c r="E120" t="s">
        <v>27</v>
      </c>
      <c r="F120" t="s">
        <v>18</v>
      </c>
      <c r="G120">
        <v>4</v>
      </c>
      <c r="H120">
        <v>3785.69</v>
      </c>
      <c r="I120">
        <v>6</v>
      </c>
      <c r="J120" t="s">
        <v>14</v>
      </c>
      <c r="L120">
        <f t="shared" si="3"/>
        <v>15142.76</v>
      </c>
      <c r="M120">
        <f t="shared" si="4"/>
        <v>2025</v>
      </c>
      <c r="N120">
        <f t="shared" si="5"/>
        <v>3</v>
      </c>
    </row>
    <row r="121" spans="1:14" x14ac:dyDescent="0.3">
      <c r="A121">
        <v>9119</v>
      </c>
      <c r="B121" s="1">
        <v>45760</v>
      </c>
      <c r="C121" t="s">
        <v>38</v>
      </c>
      <c r="D121" t="s">
        <v>16</v>
      </c>
      <c r="E121" t="s">
        <v>20</v>
      </c>
      <c r="F121" t="s">
        <v>35</v>
      </c>
      <c r="G121">
        <v>5</v>
      </c>
      <c r="H121">
        <v>9145.7199999999993</v>
      </c>
      <c r="I121">
        <v>2</v>
      </c>
      <c r="J121" t="s">
        <v>14</v>
      </c>
      <c r="L121">
        <f t="shared" si="3"/>
        <v>45728.6</v>
      </c>
      <c r="M121">
        <f t="shared" si="4"/>
        <v>2025</v>
      </c>
      <c r="N121">
        <f t="shared" si="5"/>
        <v>2</v>
      </c>
    </row>
    <row r="122" spans="1:14" x14ac:dyDescent="0.3">
      <c r="A122">
        <v>9120</v>
      </c>
      <c r="B122" s="1">
        <v>45793</v>
      </c>
      <c r="C122" t="s">
        <v>34</v>
      </c>
      <c r="D122" t="s">
        <v>21</v>
      </c>
      <c r="E122" t="s">
        <v>12</v>
      </c>
      <c r="F122" t="s">
        <v>18</v>
      </c>
      <c r="G122">
        <v>3</v>
      </c>
      <c r="H122">
        <v>2270.4699999999998</v>
      </c>
      <c r="I122">
        <v>3</v>
      </c>
      <c r="J122" t="s">
        <v>14</v>
      </c>
      <c r="L122">
        <f t="shared" si="3"/>
        <v>6811.41</v>
      </c>
      <c r="M122">
        <f t="shared" si="4"/>
        <v>2025</v>
      </c>
      <c r="N122">
        <f t="shared" si="5"/>
        <v>2</v>
      </c>
    </row>
    <row r="123" spans="1:14" x14ac:dyDescent="0.3">
      <c r="A123">
        <v>9121</v>
      </c>
      <c r="B123" s="1">
        <v>45804</v>
      </c>
      <c r="C123" t="s">
        <v>31</v>
      </c>
      <c r="D123" t="s">
        <v>32</v>
      </c>
      <c r="E123" t="s">
        <v>27</v>
      </c>
      <c r="F123" t="s">
        <v>35</v>
      </c>
      <c r="G123">
        <v>5</v>
      </c>
      <c r="H123">
        <v>3541.24</v>
      </c>
      <c r="I123">
        <v>1</v>
      </c>
      <c r="J123" t="s">
        <v>14</v>
      </c>
      <c r="L123">
        <f t="shared" si="3"/>
        <v>17706.199999999997</v>
      </c>
      <c r="M123">
        <f t="shared" si="4"/>
        <v>2025</v>
      </c>
      <c r="N123">
        <f t="shared" si="5"/>
        <v>2</v>
      </c>
    </row>
    <row r="124" spans="1:14" x14ac:dyDescent="0.3">
      <c r="A124">
        <v>9122</v>
      </c>
      <c r="B124" s="1">
        <v>45691</v>
      </c>
      <c r="C124" t="s">
        <v>42</v>
      </c>
      <c r="D124" t="s">
        <v>29</v>
      </c>
      <c r="E124" t="s">
        <v>17</v>
      </c>
      <c r="F124" t="s">
        <v>18</v>
      </c>
      <c r="G124">
        <v>1</v>
      </c>
      <c r="H124">
        <v>5470.36</v>
      </c>
      <c r="I124">
        <v>4</v>
      </c>
      <c r="J124" t="s">
        <v>37</v>
      </c>
      <c r="L124">
        <f t="shared" si="3"/>
        <v>5470.36</v>
      </c>
      <c r="M124">
        <f t="shared" si="4"/>
        <v>2025</v>
      </c>
      <c r="N124">
        <f t="shared" si="5"/>
        <v>1</v>
      </c>
    </row>
    <row r="125" spans="1:14" x14ac:dyDescent="0.3">
      <c r="A125">
        <v>9123</v>
      </c>
      <c r="B125" s="1">
        <v>45846</v>
      </c>
      <c r="C125" t="s">
        <v>44</v>
      </c>
      <c r="D125" t="s">
        <v>29</v>
      </c>
      <c r="E125" t="s">
        <v>12</v>
      </c>
      <c r="F125" t="s">
        <v>22</v>
      </c>
      <c r="G125">
        <v>2</v>
      </c>
      <c r="H125">
        <v>2679.71</v>
      </c>
      <c r="I125">
        <v>3</v>
      </c>
      <c r="J125" t="s">
        <v>14</v>
      </c>
      <c r="L125">
        <f t="shared" si="3"/>
        <v>5359.42</v>
      </c>
      <c r="M125">
        <f t="shared" si="4"/>
        <v>2025</v>
      </c>
      <c r="N125">
        <f t="shared" si="5"/>
        <v>3</v>
      </c>
    </row>
    <row r="126" spans="1:14" x14ac:dyDescent="0.3">
      <c r="A126">
        <v>9124</v>
      </c>
      <c r="B126" s="1">
        <v>45799</v>
      </c>
      <c r="C126" t="s">
        <v>19</v>
      </c>
      <c r="D126" t="s">
        <v>24</v>
      </c>
      <c r="E126" t="s">
        <v>17</v>
      </c>
      <c r="F126" t="s">
        <v>35</v>
      </c>
      <c r="G126">
        <v>3</v>
      </c>
      <c r="H126">
        <v>6048.83</v>
      </c>
      <c r="I126">
        <v>2</v>
      </c>
      <c r="J126" t="s">
        <v>14</v>
      </c>
      <c r="L126">
        <f t="shared" si="3"/>
        <v>18146.489999999998</v>
      </c>
      <c r="M126">
        <f t="shared" si="4"/>
        <v>2025</v>
      </c>
      <c r="N126">
        <f t="shared" si="5"/>
        <v>2</v>
      </c>
    </row>
    <row r="127" spans="1:14" x14ac:dyDescent="0.3">
      <c r="A127">
        <v>9125</v>
      </c>
      <c r="B127" s="1">
        <v>45741</v>
      </c>
      <c r="C127" t="s">
        <v>34</v>
      </c>
      <c r="D127" t="s">
        <v>16</v>
      </c>
      <c r="E127" t="s">
        <v>17</v>
      </c>
      <c r="F127" t="s">
        <v>30</v>
      </c>
      <c r="G127">
        <v>3</v>
      </c>
      <c r="H127">
        <v>5553.13</v>
      </c>
      <c r="I127">
        <v>4</v>
      </c>
      <c r="J127" t="s">
        <v>14</v>
      </c>
      <c r="L127">
        <f t="shared" si="3"/>
        <v>16659.39</v>
      </c>
      <c r="M127">
        <f t="shared" si="4"/>
        <v>2025</v>
      </c>
      <c r="N127">
        <f t="shared" si="5"/>
        <v>1</v>
      </c>
    </row>
    <row r="128" spans="1:14" x14ac:dyDescent="0.3">
      <c r="A128">
        <v>9126</v>
      </c>
      <c r="B128" s="1">
        <v>45962</v>
      </c>
      <c r="C128" t="s">
        <v>28</v>
      </c>
      <c r="D128" t="s">
        <v>32</v>
      </c>
      <c r="E128" t="s">
        <v>12</v>
      </c>
      <c r="F128" t="s">
        <v>18</v>
      </c>
      <c r="G128">
        <v>2</v>
      </c>
      <c r="H128">
        <v>1894.04</v>
      </c>
      <c r="I128">
        <v>6</v>
      </c>
      <c r="J128" t="s">
        <v>14</v>
      </c>
      <c r="L128">
        <f t="shared" si="3"/>
        <v>3788.08</v>
      </c>
      <c r="M128">
        <f t="shared" si="4"/>
        <v>2025</v>
      </c>
      <c r="N128">
        <f t="shared" si="5"/>
        <v>4</v>
      </c>
    </row>
    <row r="129" spans="1:14" x14ac:dyDescent="0.3">
      <c r="A129">
        <v>9127</v>
      </c>
      <c r="B129" s="1">
        <v>45818</v>
      </c>
      <c r="C129" t="s">
        <v>38</v>
      </c>
      <c r="D129" t="s">
        <v>21</v>
      </c>
      <c r="E129" t="s">
        <v>20</v>
      </c>
      <c r="F129" t="s">
        <v>18</v>
      </c>
      <c r="G129">
        <v>6</v>
      </c>
      <c r="H129">
        <v>7581.2</v>
      </c>
      <c r="I129">
        <v>1</v>
      </c>
      <c r="J129" t="s">
        <v>14</v>
      </c>
      <c r="L129">
        <f t="shared" si="3"/>
        <v>45487.199999999997</v>
      </c>
      <c r="M129">
        <f t="shared" si="4"/>
        <v>2025</v>
      </c>
      <c r="N129">
        <f t="shared" si="5"/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tabSelected="1" topLeftCell="A10" zoomScaleNormal="100" workbookViewId="0">
      <selection activeCell="C20" sqref="C20"/>
    </sheetView>
  </sheetViews>
  <sheetFormatPr defaultColWidth="8.6640625" defaultRowHeight="14.4" x14ac:dyDescent="0.3"/>
  <cols>
    <col min="1" max="1" width="128.6640625" bestFit="1" customWidth="1"/>
    <col min="2" max="2" width="40" customWidth="1"/>
    <col min="4" max="4" width="11.6640625" bestFit="1" customWidth="1"/>
  </cols>
  <sheetData>
    <row r="1" spans="1:6" ht="17.399999999999999" x14ac:dyDescent="0.3">
      <c r="A1" s="4" t="s">
        <v>45</v>
      </c>
    </row>
    <row r="2" spans="1:6" x14ac:dyDescent="0.3">
      <c r="A2" t="s">
        <v>46</v>
      </c>
      <c r="D2" t="s">
        <v>82</v>
      </c>
    </row>
    <row r="3" spans="1:6" x14ac:dyDescent="0.3">
      <c r="D3" t="str" cm="1">
        <f t="array" ref="D3:D9">_xlfn.UNIQUE(Data!D2:D129)</f>
        <v>Shimla</v>
      </c>
      <c r="E3">
        <f>SUMIFS(Data!L2:L129,Data!D2:D129,'Formula Test'!D3,Data!E2:E129,"Villa")</f>
        <v>46222.710000000006</v>
      </c>
    </row>
    <row r="4" spans="1:6" x14ac:dyDescent="0.3">
      <c r="A4" s="2" t="s">
        <v>47</v>
      </c>
      <c r="B4">
        <f>SUMIFS(Data!L2:L129,Data!E2:E129,"Suite",Data!D2:D129,"Goa")</f>
        <v>44514.009999999995</v>
      </c>
      <c r="D4" t="str">
        <v>Kochi</v>
      </c>
      <c r="E4">
        <f>SUMIFS(Data!L3:L130,Data!D3:D130,'Formula Test'!D4,Data!E3:E130,"Villa")</f>
        <v>139012.45000000001</v>
      </c>
    </row>
    <row r="5" spans="1:6" x14ac:dyDescent="0.3">
      <c r="A5" s="2" t="s">
        <v>48</v>
      </c>
      <c r="B5">
        <f>COUNTIFS(Data!F2:F129,"Airbnb",Data!J2:J129,"Cancelled")</f>
        <v>7</v>
      </c>
      <c r="D5" t="str">
        <v>Udaipur</v>
      </c>
      <c r="E5">
        <f>SUMIFS(Data!L4:L131,Data!D4:D131,'Formula Test'!D5,Data!E4:E131,"Villa")</f>
        <v>98220.66</v>
      </c>
    </row>
    <row r="6" spans="1:6" x14ac:dyDescent="0.3">
      <c r="A6" s="2" t="s">
        <v>49</v>
      </c>
      <c r="B6" t="str">
        <f>_xlfn.XLOOKUP(9060,Data!A2:A129,Data!D2:D129,"null",0)</f>
        <v>Shimla</v>
      </c>
      <c r="D6" t="str">
        <v>Jaipur</v>
      </c>
      <c r="E6">
        <f>SUMIFS(Data!L5:L132,Data!D5:D132,'Formula Test'!D6,Data!E5:E132,"Villa")</f>
        <v>112938.99000000002</v>
      </c>
    </row>
    <row r="7" spans="1:6" x14ac:dyDescent="0.3">
      <c r="A7" s="2" t="s">
        <v>50</v>
      </c>
      <c r="B7">
        <f>AVERAGEIFS(Data!H2:H129,Data!E2:E129,"Deluxe",Data!F2:F129,"MakeMyTrip")</f>
        <v>3866.1174999999998</v>
      </c>
      <c r="D7" t="str">
        <v>Mysore</v>
      </c>
      <c r="E7">
        <f>SUMIFS(Data!L6:L133,Data!D6:D133,'Formula Test'!D7,Data!E6:E133,"Villa")</f>
        <v>80896.75</v>
      </c>
    </row>
    <row r="8" spans="1:6" x14ac:dyDescent="0.3">
      <c r="A8" s="2" t="s">
        <v>51</v>
      </c>
      <c r="B8">
        <f>SUMIF(Data!J2:J129,"Confirmed",Data!L2:L129)</f>
        <v>1901039.6700000004</v>
      </c>
      <c r="D8" t="str">
        <v>Manali</v>
      </c>
      <c r="E8">
        <f>SUMIFS(Data!L7:L134,Data!D7:D134,'Formula Test'!D8,Data!E7:E134,"Villa")</f>
        <v>230435.34000000003</v>
      </c>
    </row>
    <row r="9" spans="1:6" x14ac:dyDescent="0.3">
      <c r="A9" s="2" t="s">
        <v>52</v>
      </c>
      <c r="B9" t="str">
        <f>IF(Data!G2&lt;=2,"Short",IF(Data!G2&lt;=5,"Medium","Long"))</f>
        <v>Long</v>
      </c>
      <c r="D9" t="str">
        <v>Goa</v>
      </c>
      <c r="E9">
        <f>SUMIFS(Data!L8:L135,Data!D8:D135,'Formula Test'!D9,Data!E8:E135,"Villa")</f>
        <v>402125.35</v>
      </c>
    </row>
    <row r="10" spans="1:6" x14ac:dyDescent="0.3">
      <c r="A10" s="2" t="s">
        <v>53</v>
      </c>
      <c r="B10" t="str">
        <f>TEXT(Data!B17,"mmmm yyyy")</f>
        <v>May 2025</v>
      </c>
    </row>
    <row r="11" spans="1:6" x14ac:dyDescent="0.3">
      <c r="A11" s="2" t="s">
        <v>54</v>
      </c>
      <c r="B11" cm="1">
        <f t="array" ref="B11">SUMPRODUCT((Data!D2:D129="Manali")*(Data!E2:E129="Villa"),Data!H2:H129)</f>
        <v>48898.66</v>
      </c>
      <c r="D11" t="s">
        <v>76</v>
      </c>
      <c r="F11" t="s">
        <v>77</v>
      </c>
    </row>
    <row r="12" spans="1:6" x14ac:dyDescent="0.3">
      <c r="A12" s="2" t="s">
        <v>55</v>
      </c>
      <c r="B12" t="s">
        <v>75</v>
      </c>
      <c r="D12" t="str" cm="1">
        <f t="array" ref="D12:D16">_xlfn._xlws.SORT(_xlfn.UNIQUE(Data!F2:F129))</f>
        <v>Airbnb</v>
      </c>
      <c r="F12" cm="1">
        <f t="array" ref="F12:F40">_xlfn._xlws.FILTER(Data!A2:A129,(Data!E2:E129="Suite")*(Data!J2:J129="Confirmed"))</f>
        <v>9001</v>
      </c>
    </row>
    <row r="13" spans="1:6" x14ac:dyDescent="0.3">
      <c r="A13" s="2" t="s">
        <v>56</v>
      </c>
      <c r="B13" t="s">
        <v>75</v>
      </c>
      <c r="D13" t="str">
        <v>Booking.com</v>
      </c>
      <c r="F13">
        <v>9008</v>
      </c>
    </row>
    <row r="14" spans="1:6" x14ac:dyDescent="0.3">
      <c r="A14" s="2" t="s">
        <v>57</v>
      </c>
      <c r="B14">
        <f>COUNTIF(Data!C2:C129,"*Malhotra*")</f>
        <v>7</v>
      </c>
      <c r="D14" t="str">
        <v>Direct</v>
      </c>
      <c r="F14">
        <v>9011</v>
      </c>
    </row>
    <row r="15" spans="1:6" x14ac:dyDescent="0.3">
      <c r="A15" s="2" t="s">
        <v>58</v>
      </c>
      <c r="B15" t="str">
        <f>_xlfn.XLOOKUP(MAX(E3:E9),E3:E9,D3:D9,"null",0)</f>
        <v>Goa</v>
      </c>
      <c r="D15" t="str">
        <v>Goibibo</v>
      </c>
      <c r="F15">
        <v>9019</v>
      </c>
    </row>
    <row r="16" spans="1:6" x14ac:dyDescent="0.3">
      <c r="A16" s="2" t="s">
        <v>59</v>
      </c>
      <c r="B16" cm="1">
        <f t="array" ref="B16">COUNTA(_xlfn.UNIQUE(_xlfn._xlws.FILTER(Data!C2:C129,Data!E2:E129="Suite","null")))</f>
        <v>15</v>
      </c>
      <c r="D16" t="str">
        <v>MakeMyTrip</v>
      </c>
      <c r="F16">
        <v>9022</v>
      </c>
    </row>
    <row r="17" spans="1:6" x14ac:dyDescent="0.3">
      <c r="A17" s="2" t="s">
        <v>60</v>
      </c>
      <c r="B17">
        <f>SMALL(Data!H2:H129,2)</f>
        <v>1989.21</v>
      </c>
      <c r="F17">
        <v>9024</v>
      </c>
    </row>
    <row r="18" spans="1:6" x14ac:dyDescent="0.3">
      <c r="A18" s="2" t="s">
        <v>61</v>
      </c>
      <c r="B18" t="str">
        <f>_xlfn.XLOOKUP(MAX(Data!I2:I129),Data!I2:I129,Data!C2:C129)</f>
        <v>Ishaan Rao</v>
      </c>
      <c r="F18">
        <v>9029</v>
      </c>
    </row>
    <row r="19" spans="1:6" x14ac:dyDescent="0.3">
      <c r="A19" s="2" t="s">
        <v>62</v>
      </c>
      <c r="B19">
        <f>COUNTIFS(Data!N2:N129,3,Data!M2:M129,2025)</f>
        <v>42</v>
      </c>
      <c r="F19">
        <v>9030</v>
      </c>
    </row>
    <row r="20" spans="1:6" x14ac:dyDescent="0.3">
      <c r="A20" s="2" t="s">
        <v>63</v>
      </c>
      <c r="B20" s="5">
        <f>COUNTIF(Data!J2:J129,"No Show")/COUNTA(Data!J2:J129)</f>
        <v>5.46875E-2</v>
      </c>
      <c r="F20">
        <v>9033</v>
      </c>
    </row>
    <row r="21" spans="1:6" x14ac:dyDescent="0.3">
      <c r="A21" s="2" t="s">
        <v>64</v>
      </c>
      <c r="B21" t="str" cm="1">
        <f t="array" ref="B21">INDEX(Data!E2:E129,MATCH(MAX(COUNTIF(Data!E2:E129,Data!E2:E129)),COUNTIF(Data!E2:E129,Data!E2:E129),0))</f>
        <v>Suite</v>
      </c>
      <c r="D21" t="s">
        <v>80</v>
      </c>
      <c r="F21">
        <v>9035</v>
      </c>
    </row>
    <row r="22" spans="1:6" x14ac:dyDescent="0.3">
      <c r="A22" s="2" t="s">
        <v>65</v>
      </c>
      <c r="B22" t="s">
        <v>75</v>
      </c>
      <c r="D22" t="str" cm="1">
        <f t="array" ref="D22:D26">_xlfn.UNIQUE(Data!F2:F129)</f>
        <v>Booking.com</v>
      </c>
      <c r="E22">
        <f>SUMIF(Data!F2:F129,'Formula Test'!D22,Data!L2:L129)</f>
        <v>617003.89999999991</v>
      </c>
      <c r="F22">
        <v>9038</v>
      </c>
    </row>
    <row r="23" spans="1:6" x14ac:dyDescent="0.3">
      <c r="A23" s="2" t="s">
        <v>66</v>
      </c>
      <c r="B23" t="str">
        <f>TEXT(Data!B32,"dddd")</f>
        <v>Friday</v>
      </c>
      <c r="D23" t="str">
        <v>Airbnb</v>
      </c>
      <c r="E23">
        <f>SUMIF(Data!F3:F130,'Formula Test'!D23,Data!L3:L130)</f>
        <v>603753.13</v>
      </c>
      <c r="F23">
        <v>9039</v>
      </c>
    </row>
    <row r="24" spans="1:6" x14ac:dyDescent="0.3">
      <c r="A24" s="2" t="s">
        <v>67</v>
      </c>
      <c r="B24">
        <f>AVERAGEIF(Data!H2:H129,"&gt;5000",Data!G2:G129)</f>
        <v>3.5692307692307694</v>
      </c>
      <c r="D24" t="str">
        <v>MakeMyTrip</v>
      </c>
      <c r="E24">
        <f>SUMIF(Data!F4:F131,'Formula Test'!D24,Data!L4:L131)</f>
        <v>267291.54000000004</v>
      </c>
      <c r="F24">
        <v>9042</v>
      </c>
    </row>
    <row r="25" spans="1:6" x14ac:dyDescent="0.3">
      <c r="A25" s="2" t="s">
        <v>68</v>
      </c>
      <c r="B25" t="str">
        <f>_xlfn.XLOOKUP(MAX(E30:E33),E30:E33,D30:D33,"",0)</f>
        <v>Standard</v>
      </c>
      <c r="D25" t="str">
        <v>Direct</v>
      </c>
      <c r="E25">
        <f>SUMIF(Data!F5:F132,'Formula Test'!D25,Data!L5:L132)</f>
        <v>500854.93</v>
      </c>
      <c r="F25">
        <v>9044</v>
      </c>
    </row>
    <row r="26" spans="1:6" x14ac:dyDescent="0.3">
      <c r="A26" s="2" t="s">
        <v>69</v>
      </c>
      <c r="B26" cm="1">
        <f t="array" ref="B26">COUNTA(_xlfn.UNIQUE(_xlfn._xlws.FILTER(Data!E2:E129,Data!D2:D129="Kochi","null")))</f>
        <v>4</v>
      </c>
      <c r="D26" t="str">
        <v>Goibibo</v>
      </c>
      <c r="E26">
        <f>SUMIF(Data!F6:F133,'Formula Test'!D26,Data!L6:L133)</f>
        <v>500539.13999999996</v>
      </c>
      <c r="F26">
        <v>9050</v>
      </c>
    </row>
    <row r="27" spans="1:6" x14ac:dyDescent="0.3">
      <c r="A27" s="2" t="s">
        <v>70</v>
      </c>
      <c r="B27">
        <f ca="1">DATEDIF(Data!B12,TODAY(),"D")</f>
        <v>227</v>
      </c>
      <c r="F27">
        <v>9057</v>
      </c>
    </row>
    <row r="28" spans="1:6" x14ac:dyDescent="0.3">
      <c r="A28" s="2" t="s">
        <v>71</v>
      </c>
      <c r="B28" t="b" cm="1">
        <f t="array" ref="B28">SUMPRODUCT((Data!E2:E129="Villa")*(Data!I2:I129&lt;2))=0</f>
        <v>0</v>
      </c>
      <c r="F28">
        <v>9067</v>
      </c>
    </row>
    <row r="29" spans="1:6" x14ac:dyDescent="0.3">
      <c r="A29" s="2" t="s">
        <v>72</v>
      </c>
      <c r="B29" t="str">
        <f>_xlfn.TEXTJOIN("-",TRUE,Data!C27,Data!D27)</f>
        <v>Rohan Gupta-Mysore</v>
      </c>
      <c r="D29" t="s">
        <v>83</v>
      </c>
      <c r="F29">
        <v>9069</v>
      </c>
    </row>
    <row r="30" spans="1:6" x14ac:dyDescent="0.3">
      <c r="A30" s="2" t="s">
        <v>73</v>
      </c>
      <c r="B30" t="str">
        <f>_xlfn.TEXTJOIN(" to ",TRUE,B33,B34)</f>
        <v>Jan 2025 to Dec 2025</v>
      </c>
      <c r="D30" t="str" cm="1">
        <f t="array" ref="D30:D33">_xlfn.UNIQUE(Data!E2:E129)</f>
        <v>Standard</v>
      </c>
      <c r="E30">
        <f>COUNTIFS(Data!E2:E129,'Formula Test'!D30,Data!I2:I129,"&gt;4")</f>
        <v>11</v>
      </c>
      <c r="F30">
        <v>9075</v>
      </c>
    </row>
    <row r="31" spans="1:6" x14ac:dyDescent="0.3">
      <c r="D31" t="str">
        <v>Suite</v>
      </c>
      <c r="E31">
        <f>COUNTIFS(Data!E3:E130,'Formula Test'!D31,Data!I3:I130,"&gt;4")</f>
        <v>9</v>
      </c>
      <c r="F31">
        <v>9080</v>
      </c>
    </row>
    <row r="32" spans="1:6" x14ac:dyDescent="0.3">
      <c r="B32" t="s">
        <v>81</v>
      </c>
      <c r="D32" t="str">
        <v>Villa</v>
      </c>
      <c r="E32">
        <f>COUNTIFS(Data!E4:E131,'Formula Test'!D32,Data!I4:I131,"&gt;4")</f>
        <v>8</v>
      </c>
      <c r="F32">
        <v>9081</v>
      </c>
    </row>
    <row r="33" spans="2:6" x14ac:dyDescent="0.3">
      <c r="B33" t="str">
        <f>TEXT(MIN(Data!B2:B129),"mmm yyyy")</f>
        <v>Jan 2025</v>
      </c>
      <c r="D33" t="str">
        <v>Deluxe</v>
      </c>
      <c r="E33">
        <f>COUNTIFS(Data!E5:E132,'Formula Test'!D33,Data!I5:I132,"&gt;4")</f>
        <v>5</v>
      </c>
      <c r="F33">
        <v>9086</v>
      </c>
    </row>
    <row r="34" spans="2:6" x14ac:dyDescent="0.3">
      <c r="B34" t="str">
        <f>TEXT(MAX(Data!B3:B130),"mmm yyyy")</f>
        <v>Dec 2025</v>
      </c>
      <c r="F34">
        <v>9097</v>
      </c>
    </row>
    <row r="35" spans="2:6" x14ac:dyDescent="0.3">
      <c r="F35">
        <v>9104</v>
      </c>
    </row>
    <row r="36" spans="2:6" x14ac:dyDescent="0.3">
      <c r="F36">
        <v>9105</v>
      </c>
    </row>
    <row r="37" spans="2:6" x14ac:dyDescent="0.3">
      <c r="F37">
        <v>9111</v>
      </c>
    </row>
    <row r="38" spans="2:6" x14ac:dyDescent="0.3">
      <c r="F38">
        <v>9113</v>
      </c>
    </row>
    <row r="39" spans="2:6" x14ac:dyDescent="0.3">
      <c r="F39">
        <v>9124</v>
      </c>
    </row>
    <row r="40" spans="2:6" x14ac:dyDescent="0.3">
      <c r="F40">
        <v>9125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2026-07-07T06:19:14Z</dcterms:created>
  <dcterms:modified xsi:type="dcterms:W3CDTF">2026-07-07T13:43:41Z</dcterms:modified>
  <dc:language>en-US</dc:language>
</cp:coreProperties>
</file>