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16265A4D-3664-4265-A8CE-93EFD077E9BF}" xr6:coauthVersionLast="47" xr6:coauthVersionMax="47" xr10:uidLastSave="{00000000-0000-0000-0000-000000000000}"/>
  <bookViews>
    <workbookView xWindow="-108" yWindow="-108" windowWidth="23256" windowHeight="12576" tabRatio="500" activeTab="1" xr2:uid="{00000000-000D-0000-FFFF-FFFF00000000}"/>
  </bookViews>
  <sheets>
    <sheet name="Gym_Data" sheetId="1" r:id="rId1"/>
    <sheet name="Questions" sheetId="2" r:id="rId2"/>
    <sheet name="Answer_Key" sheetId="3" state="hidden"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6" i="2" l="1"/>
  <c r="C21" i="2"/>
  <c r="C20" i="2"/>
  <c r="C22" i="2" a="1"/>
  <c r="C22" i="2"/>
  <c r="C13" i="2"/>
  <c r="C9" i="2" a="1"/>
  <c r="C9" i="2" s="1"/>
  <c r="C19" i="2"/>
  <c r="C18" i="2"/>
  <c r="C17" i="2"/>
  <c r="C15" i="2"/>
  <c r="C14" i="2"/>
  <c r="C12" i="2"/>
  <c r="C11" i="2"/>
  <c r="C10" i="2" a="1"/>
  <c r="C10" i="2" s="1"/>
  <c r="C8" i="2"/>
  <c r="C7" i="2"/>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C6" i="2"/>
  <c r="C5" i="2"/>
  <c r="B19" i="3"/>
  <c r="B18" i="3"/>
  <c r="B17" i="3"/>
  <c r="B16" i="3"/>
  <c r="B15" i="3"/>
  <c r="B14" i="3"/>
  <c r="B13" i="3"/>
  <c r="B12" i="3"/>
  <c r="B11" i="3"/>
  <c r="B10" i="3"/>
  <c r="B9" i="3"/>
  <c r="B8" i="3"/>
  <c r="B7" i="3"/>
  <c r="B6" i="3"/>
  <c r="B5" i="3"/>
  <c r="B4" i="3"/>
  <c r="B3" i="3"/>
  <c r="B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<sst xmlns="http://schemas.openxmlformats.org/spreadsheetml/2006/main" count="420" uniqueCount="142">
  <si>
    <t>MemberID</t>
  </si>
  <si>
    <t>MemberName</t>
  </si>
  <si>
    <t>Gender</t>
  </si>
  <si>
    <t>Age</t>
  </si>
  <si>
    <t>City</t>
  </si>
  <si>
    <t>MembershipType</t>
  </si>
  <si>
    <t>JoinDate</t>
  </si>
  <si>
    <t>RenewalDate</t>
  </si>
  <si>
    <t>MonthlyFee</t>
  </si>
  <si>
    <t>SessionsAttended</t>
  </si>
  <si>
    <t>TrainerAssigned</t>
  </si>
  <si>
    <t>PaymentStatus</t>
  </si>
  <si>
    <t>Sai Sharma</t>
  </si>
  <si>
    <t>Female</t>
  </si>
  <si>
    <t>Pune</t>
  </si>
  <si>
    <t>Basic</t>
  </si>
  <si>
    <t>Coach Neha</t>
  </si>
  <si>
    <t>Paid</t>
  </si>
  <si>
    <t>Reyansh Reddy</t>
  </si>
  <si>
    <t>Male</t>
  </si>
  <si>
    <t>Lucknow</t>
  </si>
  <si>
    <t>Aarav Iyer</t>
  </si>
  <si>
    <t>Hyderabad</t>
  </si>
  <si>
    <t>Yash Sinha</t>
  </si>
  <si>
    <t>Ahmedabad</t>
  </si>
  <si>
    <t>Standard</t>
  </si>
  <si>
    <t>Coach Vikram</t>
  </si>
  <si>
    <t>Pending</t>
  </si>
  <si>
    <t>Kavya Chopra</t>
  </si>
  <si>
    <t>Delhi</t>
  </si>
  <si>
    <t>Premium</t>
  </si>
  <si>
    <t>Coach Simran</t>
  </si>
  <si>
    <t>Overdue</t>
  </si>
  <si>
    <t>Rudra Singh</t>
  </si>
  <si>
    <t>Bengaluru</t>
  </si>
  <si>
    <t>Coach Alisha</t>
  </si>
  <si>
    <t>Isha Iyer</t>
  </si>
  <si>
    <t>Ishaan Patel</t>
  </si>
  <si>
    <t>Kolkata</t>
  </si>
  <si>
    <t>Karan Nair</t>
  </si>
  <si>
    <t>Coach Farhan</t>
  </si>
  <si>
    <t>Simran Joshi</t>
  </si>
  <si>
    <t>Coach Raj</t>
  </si>
  <si>
    <t>Ananya Bhatt</t>
  </si>
  <si>
    <t>Sai Chauhan</t>
  </si>
  <si>
    <t>Mumbai</t>
  </si>
  <si>
    <t>Kiara Pillai</t>
  </si>
  <si>
    <t>Elite</t>
  </si>
  <si>
    <t>Priya Pillai</t>
  </si>
  <si>
    <t>Ritika Gupta</t>
  </si>
  <si>
    <t>Tanya Iyer</t>
  </si>
  <si>
    <t>Ayaan Rao</t>
  </si>
  <si>
    <t>Aadhya Sharma</t>
  </si>
  <si>
    <t>Sneha Reddy</t>
  </si>
  <si>
    <t>Shaurya Chopra</t>
  </si>
  <si>
    <t>Arjun Patel</t>
  </si>
  <si>
    <t>Jaipur</t>
  </si>
  <si>
    <t>Kabir Rao</t>
  </si>
  <si>
    <t>Myra Joshi</t>
  </si>
  <si>
    <t>Tanya Menon</t>
  </si>
  <si>
    <t>Simran Menon</t>
  </si>
  <si>
    <t>Saanvi Joshi</t>
  </si>
  <si>
    <t>Neha Malhotra</t>
  </si>
  <si>
    <t>Chennai</t>
  </si>
  <si>
    <t>Aryan Gupta</t>
  </si>
  <si>
    <t>Krishna Chopra</t>
  </si>
  <si>
    <t>Tanya Kapoor</t>
  </si>
  <si>
    <t>Dhruv Reddy</t>
  </si>
  <si>
    <t>Aditya Sharma</t>
  </si>
  <si>
    <t>Rohan Chauhan</t>
  </si>
  <si>
    <t>Aditya Chopra</t>
  </si>
  <si>
    <t>Saanvi Iyer</t>
  </si>
  <si>
    <t>Saanvi Singh</t>
  </si>
  <si>
    <t>Aadhya Patel</t>
  </si>
  <si>
    <t>Priya Malhotra</t>
  </si>
  <si>
    <t>Aryan Bhatt</t>
  </si>
  <si>
    <t>Priya Reddy</t>
  </si>
  <si>
    <t>Riya Pillai</t>
  </si>
  <si>
    <t>Rudra Iyer</t>
  </si>
  <si>
    <t>Isha Malhotra</t>
  </si>
  <si>
    <t>Reyansh Kapoor</t>
  </si>
  <si>
    <t>Meera Sinha</t>
  </si>
  <si>
    <t>Advait Patel</t>
  </si>
  <si>
    <t>Ishaan Chauhan</t>
  </si>
  <si>
    <t>Pooja Bhatt</t>
  </si>
  <si>
    <t>Rohan Patel</t>
  </si>
  <si>
    <t>Myra Bhatt</t>
  </si>
  <si>
    <t>Riya Joshi</t>
  </si>
  <si>
    <t>Vivaan Joshi</t>
  </si>
  <si>
    <t>Vivaan Gupta</t>
  </si>
  <si>
    <t>Dhruv Joshi</t>
  </si>
  <si>
    <t>Yash Patel</t>
  </si>
  <si>
    <t>Meera Mehta</t>
  </si>
  <si>
    <t>Arjun Bose</t>
  </si>
  <si>
    <t>Simran Patel</t>
  </si>
  <si>
    <t>Ayaan Gupta</t>
  </si>
  <si>
    <t>Advanced Excel Formula Test — Gym Membership Dataset</t>
  </si>
  <si>
    <t>Data is on the 'Gym_Data' sheet. Write your formula-based answer in column C for each question. Do not hardcode results — use live formulas referencing Gym_Data.</t>
  </si>
  <si>
    <t>#</t>
  </si>
  <si>
    <t>Question</t>
  </si>
  <si>
    <t>Your Answer</t>
  </si>
  <si>
    <t>Using SUMIFS, find the total MonthlyFee revenue from members whose MembershipType is 'Premium' and PaymentStatus is 'Paid'.</t>
  </si>
  <si>
    <t>Using AVERAGEIFS, find the average SessionsAttended for Female members in 'Bengaluru'.</t>
  </si>
  <si>
    <t>Using COUNTIFS, count how many members joined (JoinDate) in the year 2025 with PaymentStatus 'Overdue'.</t>
  </si>
  <si>
    <t>Using INDEX-MATCH, look up the TrainerAssigned for MemberID 25.</t>
  </si>
  <si>
    <t>Using INDEX-MATCH with two criteria (SUMPRODUCT or array MATCH), find the MonthlyFee for the member named exactly as it appears in cell C7 combined with their City in C8 (set up two helper input cells first).</t>
  </si>
  <si>
    <t>Using SUMPRODUCT, calculate the total SessionsAttended for all 'Elite' members without using SUMIFS.</t>
  </si>
  <si>
    <t>Using EDATE, calculate what the RenewalDate would be if every membership were exactly 6 months from JoinDate, for MemberID 10.</t>
  </si>
  <si>
    <t>Using EOMONTH, find the last day of the month in which MemberID 15 joined.</t>
  </si>
  <si>
    <t>Using WORKDAY, calculate the date 10 working days after MemberID 3's JoinDate (exclude weekends only, no holiday list needed).</t>
  </si>
  <si>
    <t>Using DATEDIF, calculate the number of full months between JoinDate and RenewalDate for MemberID 8.</t>
  </si>
  <si>
    <t>Using YEARFRAC, calculate the fraction of a year between JoinDate and RenewalDate for MemberID 20.</t>
  </si>
  <si>
    <t>Using SUMIFS with a date range, find total MonthlyFee revenue from members who joined between 01-Jan-2025 and 30-Jun-2025 inclusive.</t>
  </si>
  <si>
    <t>Using MAXIFS (_xlfn.MAXIFS), find the highest SessionsAttended among 'Standard' members.</t>
  </si>
  <si>
    <t>Using MINIFS (_xlfn.MINIFS), find the lowest Age among members with PaymentStatus 'Pending'.</t>
  </si>
  <si>
    <t>Using a nested IF or IFS (_xlfn.IFS), classify MemberID 1 as 'High Engagement' if SessionsAttended &gt; 40, 'Medium Engagement' if between 15 and 40, otherwise 'Low Engagement'.</t>
  </si>
  <si>
    <t>Using COUNTIFS, count how many distinct membership records exist where City is 'Delhi' OR City is 'Mumbai' (hint: two COUNTIFS added together).</t>
  </si>
  <si>
    <t>Using TEXTJOIN (_xlfn.TEXTJOIN), combine MemberName and City for MemberID 12 into one string separated by ' - '.</t>
  </si>
  <si>
    <t>Using SUMPRODUCT, calculate what percentage of total revenue (sum of MonthlyFee for all members) comes from 'Elite' membership members. Express as a formula giving a decimal (format as % if you like).</t>
  </si>
  <si>
    <t>Helper inputs for Q5:</t>
  </si>
  <si>
    <t>Member name to look up -&gt;</t>
  </si>
  <si>
    <t>City to match -&gt;</t>
  </si>
  <si>
    <t>Reference formulas (for grading) — do not edit</t>
  </si>
  <si>
    <t>Q1</t>
  </si>
  <si>
    <t>Q2</t>
  </si>
  <si>
    <t>Q3</t>
  </si>
  <si>
    <t>Q4</t>
  </si>
  <si>
    <t>Q5</t>
  </si>
  <si>
    <t>Q6</t>
  </si>
  <si>
    <t>Q7</t>
  </si>
  <si>
    <t>Q8</t>
  </si>
  <si>
    <t>Q9</t>
  </si>
  <si>
    <t>Q10</t>
  </si>
  <si>
    <t>Q11</t>
  </si>
  <si>
    <t>Q12</t>
  </si>
  <si>
    <t>Q13</t>
  </si>
  <si>
    <t>Q14</t>
  </si>
  <si>
    <t>Q15</t>
  </si>
  <si>
    <t>Q16</t>
  </si>
  <si>
    <t>Q17</t>
  </si>
  <si>
    <t>Q18</t>
  </si>
  <si>
    <t>Join_yr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</si>
</sst>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charset val="1"/>
    </font>
    <font>
      <sz val="10"/>
      <name val="Arial"/>
    </font>
    <font>
      <b/>
      <sz val="11"/>
      <color rgb="FFFFFFFF"/>
      <name val="Arial"/>
      <charset val="1"/>
    </font>
    <font>
      <sz val="10"/>
      <name val="Arial"/>
      <charset val="1"/>
    </font>
    <font>
      <b/>
      <sz val="14"/>
      <color rgb="FF1F4E78"/>
      <name val="Arial"/>
      <charset val="1"/>
    </font>
    <font>
      <i/>
      <sz val="10"/>
      <color rgb="FF595959"/>
      <name val="Arial"/>
      <charset val="1"/>
    </font>
    <font>
      <b/>
      <sz val="10"/>
      <name val="Arial"/>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s>
  <cellStyleXfs count="2">
    <xf numFmtId="0" fontId="0" fillId="0" borderId="0"/>
    <xf numFmtId="9" fontId="1" fillId="0" borderId="0" applyBorder="0" applyAlignment="0" applyProtection="0"/>
  </cellStyleXfs>
  <cellXfs count="13">
    <xf numFmtId="0" fontId="0" fillId="0" borderId="0" xfId="0"/>
    <xf numFmtId="0" fontId="5" fillId="0" borderId="0" xfId="0" applyFont="1"/>
    <xf numFmtId="0" fontId="4" fillId="0" borderId="0" xfId="0" applyFont="1"/>
    <xf numFmtId="0" fontId="2" fillId="2" borderId="1" xfId="0" applyFont="1" applyFill="1" applyBorder="1" applyAlignment="1">
      <alignment horizontal="center" vertical="center"/>
    </xf>
    <xf numFmtId="0" fontId="3" fillId="0" borderId="1" xfId="0" applyFont="1" applyBorder="1"/>
    <xf numFmtId="164" fontId="3" fillId="0" borderId="1" xfId="0" applyNumberFormat="1" applyFont="1" applyBorder="1"/>
    <xf numFmtId="0" fontId="6" fillId="0" borderId="1" xfId="0" applyFont="1" applyBorder="1" applyAlignment="1">
      <alignment horizontal="center" vertical="top"/>
    </xf>
    <xf numFmtId="0" fontId="3" fillId="0" borderId="1" xfId="0" applyFont="1" applyBorder="1" applyAlignment="1">
      <alignment vertical="top" wrapText="1"/>
    </xf>
    <xf numFmtId="0" fontId="0" fillId="3" borderId="1" xfId="0" applyFill="1" applyBorder="1"/>
    <xf numFmtId="0" fontId="6" fillId="0" borderId="0" xfId="0" applyFont="1"/>
    <xf numFmtId="0" fontId="2" fillId="2" borderId="2" xfId="0" applyFont="1" applyFill="1" applyBorder="1" applyAlignment="1">
      <alignment horizontal="center" vertical="center"/>
    </xf>
    <xf numFmtId="14" fontId="0" fillId="3" borderId="1" xfId="0" applyNumberFormat="1" applyFill="1" applyBorder="1"/>
    <xf numFmtId="9" fontId="1" fillId="0" borderId="1" xfId="1" applyBorder="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1"/>
  <sheetViews>
    <sheetView zoomScaleNormal="100" workbookViewId="0">
      <pane ySplit="1" topLeftCell="A36" activePane="bottomLeft" state="frozen"/>
      <selection pane="bottomLeft" activeCell="B56" sqref="B56"/>
    </sheetView>
  </sheetViews>
  <sheetFormatPr defaultColWidth="8.6640625" defaultRowHeight="14.4" x14ac:dyDescent="0.3"/>
  <cols>
    <col min="1" max="1" width="11" bestFit="1" customWidth="1"/>
    <col min="2" max="2" width="14.77734375" bestFit="1" customWidth="1"/>
    <col min="3" max="3" width="8.21875" bestFit="1" customWidth="1"/>
    <col min="4" max="4" width="4.88671875" bestFit="1" customWidth="1"/>
    <col min="5" max="5" width="10.6640625" bestFit="1" customWidth="1"/>
    <col min="6" max="6" width="18.21875" bestFit="1" customWidth="1"/>
    <col min="7" max="7" width="11.77734375" bestFit="1" customWidth="1"/>
    <col min="8" max="8" width="14" bestFit="1" customWidth="1"/>
    <col min="9" max="9" width="12.44140625" bestFit="1" customWidth="1"/>
    <col min="10" max="10" width="19" bestFit="1" customWidth="1"/>
    <col min="11" max="11" width="17.21875" bestFit="1" customWidth="1"/>
    <col min="12" max="12" width="15.88671875" bestFit="1"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N1" s="10" t="s">
        <v>141</v>
      </c>
    </row>
    <row r="2" spans="1:14" x14ac:dyDescent="0.3">
      <c r="A2" s="4">
        <v>1</v>
      </c>
      <c r="B2" s="4" t="s">
        <v>12</v>
      </c>
      <c r="C2" s="4" t="s">
        <v>13</v>
      </c>
      <c r="D2" s="4">
        <v>33</v>
      </c>
      <c r="E2" s="4" t="s">
        <v>14</v>
      </c>
      <c r="F2" s="4" t="s">
        <v>15</v>
      </c>
      <c r="G2" s="5">
        <v>45136</v>
      </c>
      <c r="H2" s="5">
        <v>45166</v>
      </c>
      <c r="I2" s="4">
        <v>1200</v>
      </c>
      <c r="J2" s="4">
        <v>37</v>
      </c>
      <c r="K2" s="4" t="s">
        <v>16</v>
      </c>
      <c r="L2" s="4" t="s">
        <v>17</v>
      </c>
      <c r="N2">
        <f>YEAR(G2)</f>
        <v>2023</v>
      </c>
    </row>
    <row r="3" spans="1:14" x14ac:dyDescent="0.3">
      <c r="A3" s="4">
        <v>2</v>
      </c>
      <c r="B3" s="4" t="s">
        <v>18</v>
      </c>
      <c r="C3" s="4" t="s">
        <v>19</v>
      </c>
      <c r="D3" s="4">
        <v>50</v>
      </c>
      <c r="E3" s="4" t="s">
        <v>20</v>
      </c>
      <c r="F3" s="4" t="s">
        <v>15</v>
      </c>
      <c r="G3" s="5">
        <v>45334</v>
      </c>
      <c r="H3" s="5">
        <v>45694</v>
      </c>
      <c r="I3" s="4">
        <v>1200</v>
      </c>
      <c r="J3" s="4">
        <v>14</v>
      </c>
      <c r="K3" s="4" t="s">
        <v>16</v>
      </c>
      <c r="L3" s="4" t="s">
        <v>17</v>
      </c>
      <c r="N3">
        <f t="shared" ref="N3:N61" si="0">YEAR(G3)</f>
        <v>2024</v>
      </c>
    </row>
    <row r="4" spans="1:14" x14ac:dyDescent="0.3">
      <c r="A4" s="4">
        <v>3</v>
      </c>
      <c r="B4" s="4" t="s">
        <v>21</v>
      </c>
      <c r="C4" s="4" t="s">
        <v>13</v>
      </c>
      <c r="D4" s="4">
        <v>39</v>
      </c>
      <c r="E4" s="4" t="s">
        <v>22</v>
      </c>
      <c r="F4" s="4" t="s">
        <v>15</v>
      </c>
      <c r="G4" s="5">
        <v>45616</v>
      </c>
      <c r="H4" s="5">
        <v>45646</v>
      </c>
      <c r="I4" s="4">
        <v>1200</v>
      </c>
      <c r="J4" s="4">
        <v>5</v>
      </c>
      <c r="K4" s="4" t="s">
        <v>16</v>
      </c>
      <c r="L4" s="4" t="s">
        <v>17</v>
      </c>
      <c r="N4">
        <f t="shared" si="0"/>
        <v>2024</v>
      </c>
    </row>
    <row r="5" spans="1:14" x14ac:dyDescent="0.3">
      <c r="A5" s="4">
        <v>4</v>
      </c>
      <c r="B5" s="4" t="s">
        <v>23</v>
      </c>
      <c r="C5" s="4" t="s">
        <v>13</v>
      </c>
      <c r="D5" s="4">
        <v>20</v>
      </c>
      <c r="E5" s="4" t="s">
        <v>24</v>
      </c>
      <c r="F5" s="4" t="s">
        <v>25</v>
      </c>
      <c r="G5" s="5">
        <v>45702</v>
      </c>
      <c r="H5" s="5">
        <v>45732</v>
      </c>
      <c r="I5" s="4">
        <v>2000</v>
      </c>
      <c r="J5" s="4">
        <v>35</v>
      </c>
      <c r="K5" s="4" t="s">
        <v>26</v>
      </c>
      <c r="L5" s="4" t="s">
        <v>27</v>
      </c>
      <c r="N5">
        <f t="shared" si="0"/>
        <v>2025</v>
      </c>
    </row>
    <row r="6" spans="1:14" x14ac:dyDescent="0.3">
      <c r="A6" s="4">
        <v>5</v>
      </c>
      <c r="B6" s="4" t="s">
        <v>28</v>
      </c>
      <c r="C6" s="4" t="s">
        <v>19</v>
      </c>
      <c r="D6" s="4">
        <v>22</v>
      </c>
      <c r="E6" s="4" t="s">
        <v>29</v>
      </c>
      <c r="F6" s="4" t="s">
        <v>30</v>
      </c>
      <c r="G6" s="5">
        <v>45519</v>
      </c>
      <c r="H6" s="5">
        <v>45549</v>
      </c>
      <c r="I6" s="4">
        <v>3200</v>
      </c>
      <c r="J6" s="4">
        <v>54</v>
      </c>
      <c r="K6" s="4" t="s">
        <v>31</v>
      </c>
      <c r="L6" s="4" t="s">
        <v>32</v>
      </c>
      <c r="N6">
        <f t="shared" si="0"/>
        <v>2024</v>
      </c>
    </row>
    <row r="7" spans="1:14" x14ac:dyDescent="0.3">
      <c r="A7" s="4">
        <v>6</v>
      </c>
      <c r="B7" s="4" t="s">
        <v>33</v>
      </c>
      <c r="C7" s="4" t="s">
        <v>13</v>
      </c>
      <c r="D7" s="4">
        <v>41</v>
      </c>
      <c r="E7" s="4" t="s">
        <v>34</v>
      </c>
      <c r="F7" s="4" t="s">
        <v>25</v>
      </c>
      <c r="G7" s="5">
        <v>45356</v>
      </c>
      <c r="H7" s="5">
        <v>45536</v>
      </c>
      <c r="I7" s="4">
        <v>2000</v>
      </c>
      <c r="J7" s="4">
        <v>44</v>
      </c>
      <c r="K7" s="4" t="s">
        <v>35</v>
      </c>
      <c r="L7" s="4" t="s">
        <v>17</v>
      </c>
      <c r="N7">
        <f t="shared" si="0"/>
        <v>2024</v>
      </c>
    </row>
    <row r="8" spans="1:14" x14ac:dyDescent="0.3">
      <c r="A8" s="4">
        <v>7</v>
      </c>
      <c r="B8" s="4" t="s">
        <v>36</v>
      </c>
      <c r="C8" s="4" t="s">
        <v>19</v>
      </c>
      <c r="D8" s="4">
        <v>28</v>
      </c>
      <c r="E8" s="4" t="s">
        <v>24</v>
      </c>
      <c r="F8" s="4" t="s">
        <v>25</v>
      </c>
      <c r="G8" s="5">
        <v>46067</v>
      </c>
      <c r="H8" s="5">
        <v>46157</v>
      </c>
      <c r="I8" s="4">
        <v>2000</v>
      </c>
      <c r="J8" s="4">
        <v>43</v>
      </c>
      <c r="K8" s="4" t="s">
        <v>26</v>
      </c>
      <c r="L8" s="4" t="s">
        <v>27</v>
      </c>
      <c r="N8">
        <f t="shared" si="0"/>
        <v>2026</v>
      </c>
    </row>
    <row r="9" spans="1:14" x14ac:dyDescent="0.3">
      <c r="A9" s="4">
        <v>8</v>
      </c>
      <c r="B9" s="4" t="s">
        <v>37</v>
      </c>
      <c r="C9" s="4" t="s">
        <v>19</v>
      </c>
      <c r="D9" s="4">
        <v>38</v>
      </c>
      <c r="E9" s="4" t="s">
        <v>38</v>
      </c>
      <c r="F9" s="4" t="s">
        <v>15</v>
      </c>
      <c r="G9" s="5">
        <v>45359</v>
      </c>
      <c r="H9" s="5">
        <v>45539</v>
      </c>
      <c r="I9" s="4">
        <v>1200</v>
      </c>
      <c r="J9" s="4">
        <v>13</v>
      </c>
      <c r="K9" s="4" t="s">
        <v>35</v>
      </c>
      <c r="L9" s="4" t="s">
        <v>17</v>
      </c>
      <c r="N9">
        <f t="shared" si="0"/>
        <v>2024</v>
      </c>
    </row>
    <row r="10" spans="1:14" x14ac:dyDescent="0.3">
      <c r="A10" s="4">
        <v>9</v>
      </c>
      <c r="B10" s="4" t="s">
        <v>39</v>
      </c>
      <c r="C10" s="4" t="s">
        <v>13</v>
      </c>
      <c r="D10" s="4">
        <v>26</v>
      </c>
      <c r="E10" s="4" t="s">
        <v>14</v>
      </c>
      <c r="F10" s="4" t="s">
        <v>30</v>
      </c>
      <c r="G10" s="5">
        <v>46030</v>
      </c>
      <c r="H10" s="5">
        <v>46210</v>
      </c>
      <c r="I10" s="4">
        <v>3200</v>
      </c>
      <c r="J10" s="4">
        <v>47</v>
      </c>
      <c r="K10" s="4" t="s">
        <v>40</v>
      </c>
      <c r="L10" s="4" t="s">
        <v>17</v>
      </c>
      <c r="N10">
        <f t="shared" si="0"/>
        <v>2026</v>
      </c>
    </row>
    <row r="11" spans="1:14" x14ac:dyDescent="0.3">
      <c r="A11" s="4">
        <v>10</v>
      </c>
      <c r="B11" s="4" t="s">
        <v>41</v>
      </c>
      <c r="C11" s="4" t="s">
        <v>13</v>
      </c>
      <c r="D11" s="4">
        <v>32</v>
      </c>
      <c r="E11" s="4" t="s">
        <v>34</v>
      </c>
      <c r="F11" s="4" t="s">
        <v>25</v>
      </c>
      <c r="G11" s="5">
        <v>45113</v>
      </c>
      <c r="H11" s="5">
        <v>45143</v>
      </c>
      <c r="I11" s="4">
        <v>2000</v>
      </c>
      <c r="J11" s="4">
        <v>55</v>
      </c>
      <c r="K11" s="4" t="s">
        <v>42</v>
      </c>
      <c r="L11" s="4" t="s">
        <v>17</v>
      </c>
      <c r="N11">
        <f t="shared" si="0"/>
        <v>2023</v>
      </c>
    </row>
    <row r="12" spans="1:14" x14ac:dyDescent="0.3">
      <c r="A12" s="4">
        <v>11</v>
      </c>
      <c r="B12" s="4" t="s">
        <v>43</v>
      </c>
      <c r="C12" s="4" t="s">
        <v>19</v>
      </c>
      <c r="D12" s="4">
        <v>42</v>
      </c>
      <c r="E12" s="4" t="s">
        <v>38</v>
      </c>
      <c r="F12" s="4" t="s">
        <v>25</v>
      </c>
      <c r="G12" s="5">
        <v>45885</v>
      </c>
      <c r="H12" s="5">
        <v>46065</v>
      </c>
      <c r="I12" s="4">
        <v>2000</v>
      </c>
      <c r="J12" s="4">
        <v>35</v>
      </c>
      <c r="K12" s="4" t="s">
        <v>42</v>
      </c>
      <c r="L12" s="4" t="s">
        <v>27</v>
      </c>
      <c r="N12">
        <f t="shared" si="0"/>
        <v>2025</v>
      </c>
    </row>
    <row r="13" spans="1:14" x14ac:dyDescent="0.3">
      <c r="A13" s="4">
        <v>12</v>
      </c>
      <c r="B13" s="4" t="s">
        <v>44</v>
      </c>
      <c r="C13" s="4" t="s">
        <v>13</v>
      </c>
      <c r="D13" s="4">
        <v>39</v>
      </c>
      <c r="E13" s="4" t="s">
        <v>45</v>
      </c>
      <c r="F13" s="4" t="s">
        <v>15</v>
      </c>
      <c r="G13" s="5">
        <v>45250</v>
      </c>
      <c r="H13" s="5">
        <v>45610</v>
      </c>
      <c r="I13" s="4">
        <v>1200</v>
      </c>
      <c r="J13" s="4">
        <v>0</v>
      </c>
      <c r="K13" s="4" t="s">
        <v>35</v>
      </c>
      <c r="L13" s="4" t="s">
        <v>32</v>
      </c>
      <c r="N13">
        <f t="shared" si="0"/>
        <v>2023</v>
      </c>
    </row>
    <row r="14" spans="1:14" x14ac:dyDescent="0.3">
      <c r="A14" s="4">
        <v>13</v>
      </c>
      <c r="B14" s="4" t="s">
        <v>46</v>
      </c>
      <c r="C14" s="4" t="s">
        <v>19</v>
      </c>
      <c r="D14" s="4">
        <v>50</v>
      </c>
      <c r="E14" s="4" t="s">
        <v>45</v>
      </c>
      <c r="F14" s="4" t="s">
        <v>47</v>
      </c>
      <c r="G14" s="5">
        <v>45538</v>
      </c>
      <c r="H14" s="5">
        <v>45628</v>
      </c>
      <c r="I14" s="4">
        <v>4500</v>
      </c>
      <c r="J14" s="4">
        <v>9</v>
      </c>
      <c r="K14" s="4" t="s">
        <v>26</v>
      </c>
      <c r="L14" s="4" t="s">
        <v>27</v>
      </c>
      <c r="N14">
        <f t="shared" si="0"/>
        <v>2024</v>
      </c>
    </row>
    <row r="15" spans="1:14" x14ac:dyDescent="0.3">
      <c r="A15" s="4">
        <v>14</v>
      </c>
      <c r="B15" s="4" t="s">
        <v>48</v>
      </c>
      <c r="C15" s="4" t="s">
        <v>19</v>
      </c>
      <c r="D15" s="4">
        <v>38</v>
      </c>
      <c r="E15" s="4" t="s">
        <v>24</v>
      </c>
      <c r="F15" s="4" t="s">
        <v>15</v>
      </c>
      <c r="G15" s="5">
        <v>45670</v>
      </c>
      <c r="H15" s="5">
        <v>45850</v>
      </c>
      <c r="I15" s="4">
        <v>1200</v>
      </c>
      <c r="J15" s="4">
        <v>15</v>
      </c>
      <c r="K15" s="4" t="s">
        <v>42</v>
      </c>
      <c r="L15" s="4" t="s">
        <v>17</v>
      </c>
      <c r="N15">
        <f t="shared" si="0"/>
        <v>2025</v>
      </c>
    </row>
    <row r="16" spans="1:14" x14ac:dyDescent="0.3">
      <c r="A16" s="4">
        <v>15</v>
      </c>
      <c r="B16" s="4" t="s">
        <v>49</v>
      </c>
      <c r="C16" s="4" t="s">
        <v>19</v>
      </c>
      <c r="D16" s="4">
        <v>49</v>
      </c>
      <c r="E16" s="4" t="s">
        <v>45</v>
      </c>
      <c r="F16" s="4" t="s">
        <v>47</v>
      </c>
      <c r="G16" s="5">
        <v>46017</v>
      </c>
      <c r="H16" s="5">
        <v>46107</v>
      </c>
      <c r="I16" s="4">
        <v>4500</v>
      </c>
      <c r="J16" s="4">
        <v>8</v>
      </c>
      <c r="K16" s="4" t="s">
        <v>35</v>
      </c>
      <c r="L16" s="4" t="s">
        <v>17</v>
      </c>
      <c r="N16">
        <f t="shared" si="0"/>
        <v>2025</v>
      </c>
    </row>
    <row r="17" spans="1:14" x14ac:dyDescent="0.3">
      <c r="A17" s="4">
        <v>16</v>
      </c>
      <c r="B17" s="4" t="s">
        <v>50</v>
      </c>
      <c r="C17" s="4" t="s">
        <v>13</v>
      </c>
      <c r="D17" s="4">
        <v>51</v>
      </c>
      <c r="E17" s="4" t="s">
        <v>20</v>
      </c>
      <c r="F17" s="4" t="s">
        <v>25</v>
      </c>
      <c r="G17" s="5">
        <v>45360</v>
      </c>
      <c r="H17" s="5">
        <v>45450</v>
      </c>
      <c r="I17" s="4">
        <v>2000</v>
      </c>
      <c r="J17" s="4">
        <v>45</v>
      </c>
      <c r="K17" s="4" t="s">
        <v>26</v>
      </c>
      <c r="L17" s="4" t="s">
        <v>17</v>
      </c>
      <c r="N17">
        <f t="shared" si="0"/>
        <v>2024</v>
      </c>
    </row>
    <row r="18" spans="1:14" x14ac:dyDescent="0.3">
      <c r="A18" s="4">
        <v>17</v>
      </c>
      <c r="B18" s="4" t="s">
        <v>51</v>
      </c>
      <c r="C18" s="4" t="s">
        <v>13</v>
      </c>
      <c r="D18" s="4">
        <v>25</v>
      </c>
      <c r="E18" s="4" t="s">
        <v>14</v>
      </c>
      <c r="F18" s="4" t="s">
        <v>15</v>
      </c>
      <c r="G18" s="5">
        <v>45619</v>
      </c>
      <c r="H18" s="5">
        <v>45649</v>
      </c>
      <c r="I18" s="4">
        <v>1200</v>
      </c>
      <c r="J18" s="4">
        <v>37</v>
      </c>
      <c r="K18" s="4" t="s">
        <v>40</v>
      </c>
      <c r="L18" s="4" t="s">
        <v>17</v>
      </c>
      <c r="N18">
        <f t="shared" si="0"/>
        <v>2024</v>
      </c>
    </row>
    <row r="19" spans="1:14" x14ac:dyDescent="0.3">
      <c r="A19" s="4">
        <v>18</v>
      </c>
      <c r="B19" s="4" t="s">
        <v>52</v>
      </c>
      <c r="C19" s="4" t="s">
        <v>19</v>
      </c>
      <c r="D19" s="4">
        <v>21</v>
      </c>
      <c r="E19" s="4" t="s">
        <v>14</v>
      </c>
      <c r="F19" s="4" t="s">
        <v>15</v>
      </c>
      <c r="G19" s="5">
        <v>44991</v>
      </c>
      <c r="H19" s="5">
        <v>45171</v>
      </c>
      <c r="I19" s="4">
        <v>1200</v>
      </c>
      <c r="J19" s="4">
        <v>4</v>
      </c>
      <c r="K19" s="4" t="s">
        <v>40</v>
      </c>
      <c r="L19" s="4" t="s">
        <v>17</v>
      </c>
      <c r="N19">
        <f t="shared" si="0"/>
        <v>2023</v>
      </c>
    </row>
    <row r="20" spans="1:14" x14ac:dyDescent="0.3">
      <c r="A20" s="4">
        <v>19</v>
      </c>
      <c r="B20" s="4" t="s">
        <v>53</v>
      </c>
      <c r="C20" s="4" t="s">
        <v>19</v>
      </c>
      <c r="D20" s="4">
        <v>54</v>
      </c>
      <c r="E20" s="4" t="s">
        <v>20</v>
      </c>
      <c r="F20" s="4" t="s">
        <v>25</v>
      </c>
      <c r="G20" s="5">
        <v>45895</v>
      </c>
      <c r="H20" s="5">
        <v>46255</v>
      </c>
      <c r="I20" s="4">
        <v>2000</v>
      </c>
      <c r="J20" s="4">
        <v>12</v>
      </c>
      <c r="K20" s="4" t="s">
        <v>42</v>
      </c>
      <c r="L20" s="4" t="s">
        <v>17</v>
      </c>
      <c r="N20">
        <f t="shared" si="0"/>
        <v>2025</v>
      </c>
    </row>
    <row r="21" spans="1:14" x14ac:dyDescent="0.3">
      <c r="A21" s="4">
        <v>20</v>
      </c>
      <c r="B21" s="4" t="s">
        <v>54</v>
      </c>
      <c r="C21" s="4" t="s">
        <v>13</v>
      </c>
      <c r="D21" s="4">
        <v>44</v>
      </c>
      <c r="E21" s="4" t="s">
        <v>24</v>
      </c>
      <c r="F21" s="4" t="s">
        <v>47</v>
      </c>
      <c r="G21" s="5">
        <v>45037</v>
      </c>
      <c r="H21" s="5">
        <v>45067</v>
      </c>
      <c r="I21" s="4">
        <v>4500</v>
      </c>
      <c r="J21" s="4">
        <v>3</v>
      </c>
      <c r="K21" s="4" t="s">
        <v>16</v>
      </c>
      <c r="L21" s="4" t="s">
        <v>27</v>
      </c>
      <c r="N21">
        <f t="shared" si="0"/>
        <v>2023</v>
      </c>
    </row>
    <row r="22" spans="1:14" x14ac:dyDescent="0.3">
      <c r="A22" s="4">
        <v>21</v>
      </c>
      <c r="B22" s="4" t="s">
        <v>55</v>
      </c>
      <c r="C22" s="4" t="s">
        <v>19</v>
      </c>
      <c r="D22" s="4">
        <v>30</v>
      </c>
      <c r="E22" s="4" t="s">
        <v>56</v>
      </c>
      <c r="F22" s="4" t="s">
        <v>25</v>
      </c>
      <c r="G22" s="5">
        <v>45791</v>
      </c>
      <c r="H22" s="5">
        <v>45881</v>
      </c>
      <c r="I22" s="4">
        <v>2000</v>
      </c>
      <c r="J22" s="4">
        <v>17</v>
      </c>
      <c r="K22" s="4" t="s">
        <v>16</v>
      </c>
      <c r="L22" s="4" t="s">
        <v>17</v>
      </c>
      <c r="N22">
        <f t="shared" si="0"/>
        <v>2025</v>
      </c>
    </row>
    <row r="23" spans="1:14" x14ac:dyDescent="0.3">
      <c r="A23" s="4">
        <v>22</v>
      </c>
      <c r="B23" s="4" t="s">
        <v>57</v>
      </c>
      <c r="C23" s="4" t="s">
        <v>19</v>
      </c>
      <c r="D23" s="4">
        <v>21</v>
      </c>
      <c r="E23" s="4" t="s">
        <v>56</v>
      </c>
      <c r="F23" s="4" t="s">
        <v>30</v>
      </c>
      <c r="G23" s="5">
        <v>45118</v>
      </c>
      <c r="H23" s="5">
        <v>45208</v>
      </c>
      <c r="I23" s="4">
        <v>3200</v>
      </c>
      <c r="J23" s="4">
        <v>10</v>
      </c>
      <c r="K23" s="4" t="s">
        <v>16</v>
      </c>
      <c r="L23" s="4" t="s">
        <v>17</v>
      </c>
      <c r="N23">
        <f t="shared" si="0"/>
        <v>2023</v>
      </c>
    </row>
    <row r="24" spans="1:14" x14ac:dyDescent="0.3">
      <c r="A24" s="4">
        <v>23</v>
      </c>
      <c r="B24" s="4" t="s">
        <v>58</v>
      </c>
      <c r="C24" s="4" t="s">
        <v>19</v>
      </c>
      <c r="D24" s="4">
        <v>28</v>
      </c>
      <c r="E24" s="4" t="s">
        <v>38</v>
      </c>
      <c r="F24" s="4" t="s">
        <v>15</v>
      </c>
      <c r="G24" s="5">
        <v>45726</v>
      </c>
      <c r="H24" s="5">
        <v>45906</v>
      </c>
      <c r="I24" s="4">
        <v>1200</v>
      </c>
      <c r="J24" s="4">
        <v>59</v>
      </c>
      <c r="K24" s="4" t="s">
        <v>16</v>
      </c>
      <c r="L24" s="4" t="s">
        <v>17</v>
      </c>
      <c r="N24">
        <f t="shared" si="0"/>
        <v>2025</v>
      </c>
    </row>
    <row r="25" spans="1:14" x14ac:dyDescent="0.3">
      <c r="A25" s="4">
        <v>24</v>
      </c>
      <c r="B25" s="4" t="s">
        <v>59</v>
      </c>
      <c r="C25" s="4" t="s">
        <v>19</v>
      </c>
      <c r="D25" s="4">
        <v>30</v>
      </c>
      <c r="E25" s="4" t="s">
        <v>22</v>
      </c>
      <c r="F25" s="4" t="s">
        <v>15</v>
      </c>
      <c r="G25" s="5">
        <v>45046</v>
      </c>
      <c r="H25" s="5">
        <v>45076</v>
      </c>
      <c r="I25" s="4">
        <v>1200</v>
      </c>
      <c r="J25" s="4">
        <v>47</v>
      </c>
      <c r="K25" s="4" t="s">
        <v>26</v>
      </c>
      <c r="L25" s="4" t="s">
        <v>17</v>
      </c>
      <c r="N25">
        <f t="shared" si="0"/>
        <v>2023</v>
      </c>
    </row>
    <row r="26" spans="1:14" x14ac:dyDescent="0.3">
      <c r="A26" s="4">
        <v>25</v>
      </c>
      <c r="B26" s="4" t="s">
        <v>60</v>
      </c>
      <c r="C26" s="4" t="s">
        <v>19</v>
      </c>
      <c r="D26" s="4">
        <v>21</v>
      </c>
      <c r="E26" s="4" t="s">
        <v>56</v>
      </c>
      <c r="F26" s="4" t="s">
        <v>15</v>
      </c>
      <c r="G26" s="5">
        <v>45307</v>
      </c>
      <c r="H26" s="5">
        <v>45337</v>
      </c>
      <c r="I26" s="4">
        <v>1200</v>
      </c>
      <c r="J26" s="4">
        <v>38</v>
      </c>
      <c r="K26" s="4" t="s">
        <v>42</v>
      </c>
      <c r="L26" s="4" t="s">
        <v>27</v>
      </c>
      <c r="N26">
        <f t="shared" si="0"/>
        <v>2024</v>
      </c>
    </row>
    <row r="27" spans="1:14" x14ac:dyDescent="0.3">
      <c r="A27" s="4">
        <v>26</v>
      </c>
      <c r="B27" s="4" t="s">
        <v>61</v>
      </c>
      <c r="C27" s="4" t="s">
        <v>19</v>
      </c>
      <c r="D27" s="4">
        <v>54</v>
      </c>
      <c r="E27" s="4" t="s">
        <v>14</v>
      </c>
      <c r="F27" s="4" t="s">
        <v>25</v>
      </c>
      <c r="G27" s="5">
        <v>45008</v>
      </c>
      <c r="H27" s="5">
        <v>45038</v>
      </c>
      <c r="I27" s="4">
        <v>2000</v>
      </c>
      <c r="J27" s="4">
        <v>26</v>
      </c>
      <c r="K27" s="4" t="s">
        <v>35</v>
      </c>
      <c r="L27" s="4" t="s">
        <v>17</v>
      </c>
      <c r="N27">
        <f t="shared" si="0"/>
        <v>2023</v>
      </c>
    </row>
    <row r="28" spans="1:14" x14ac:dyDescent="0.3">
      <c r="A28" s="4">
        <v>27</v>
      </c>
      <c r="B28" s="4" t="s">
        <v>62</v>
      </c>
      <c r="C28" s="4" t="s">
        <v>13</v>
      </c>
      <c r="D28" s="4">
        <v>31</v>
      </c>
      <c r="E28" s="4" t="s">
        <v>63</v>
      </c>
      <c r="F28" s="4" t="s">
        <v>15</v>
      </c>
      <c r="G28" s="5">
        <v>45737</v>
      </c>
      <c r="H28" s="5">
        <v>45827</v>
      </c>
      <c r="I28" s="4">
        <v>1200</v>
      </c>
      <c r="J28" s="4">
        <v>42</v>
      </c>
      <c r="K28" s="4" t="s">
        <v>35</v>
      </c>
      <c r="L28" s="4" t="s">
        <v>17</v>
      </c>
      <c r="N28">
        <f t="shared" si="0"/>
        <v>2025</v>
      </c>
    </row>
    <row r="29" spans="1:14" x14ac:dyDescent="0.3">
      <c r="A29" s="4">
        <v>28</v>
      </c>
      <c r="B29" s="4" t="s">
        <v>64</v>
      </c>
      <c r="C29" s="4" t="s">
        <v>19</v>
      </c>
      <c r="D29" s="4">
        <v>47</v>
      </c>
      <c r="E29" s="4" t="s">
        <v>20</v>
      </c>
      <c r="F29" s="4" t="s">
        <v>47</v>
      </c>
      <c r="G29" s="5">
        <v>45131</v>
      </c>
      <c r="H29" s="5">
        <v>45161</v>
      </c>
      <c r="I29" s="4">
        <v>4500</v>
      </c>
      <c r="J29" s="4">
        <v>34</v>
      </c>
      <c r="K29" s="4" t="s">
        <v>31</v>
      </c>
      <c r="L29" s="4" t="s">
        <v>17</v>
      </c>
      <c r="N29">
        <f t="shared" si="0"/>
        <v>2023</v>
      </c>
    </row>
    <row r="30" spans="1:14" x14ac:dyDescent="0.3">
      <c r="A30" s="4">
        <v>29</v>
      </c>
      <c r="B30" s="4" t="s">
        <v>65</v>
      </c>
      <c r="C30" s="4" t="s">
        <v>19</v>
      </c>
      <c r="D30" s="4">
        <v>33</v>
      </c>
      <c r="E30" s="4" t="s">
        <v>63</v>
      </c>
      <c r="F30" s="4" t="s">
        <v>15</v>
      </c>
      <c r="G30" s="5">
        <v>45824</v>
      </c>
      <c r="H30" s="5">
        <v>46004</v>
      </c>
      <c r="I30" s="4">
        <v>1200</v>
      </c>
      <c r="J30" s="4">
        <v>39</v>
      </c>
      <c r="K30" s="4" t="s">
        <v>35</v>
      </c>
      <c r="L30" s="4" t="s">
        <v>17</v>
      </c>
      <c r="N30">
        <f t="shared" si="0"/>
        <v>2025</v>
      </c>
    </row>
    <row r="31" spans="1:14" x14ac:dyDescent="0.3">
      <c r="A31" s="4">
        <v>30</v>
      </c>
      <c r="B31" s="4" t="s">
        <v>66</v>
      </c>
      <c r="C31" s="4" t="s">
        <v>19</v>
      </c>
      <c r="D31" s="4">
        <v>26</v>
      </c>
      <c r="E31" s="4" t="s">
        <v>22</v>
      </c>
      <c r="F31" s="4" t="s">
        <v>15</v>
      </c>
      <c r="G31" s="5">
        <v>45146</v>
      </c>
      <c r="H31" s="5">
        <v>45236</v>
      </c>
      <c r="I31" s="4">
        <v>1200</v>
      </c>
      <c r="J31" s="4">
        <v>17</v>
      </c>
      <c r="K31" s="4" t="s">
        <v>26</v>
      </c>
      <c r="L31" s="4" t="s">
        <v>17</v>
      </c>
      <c r="N31">
        <f t="shared" si="0"/>
        <v>2023</v>
      </c>
    </row>
    <row r="32" spans="1:14" x14ac:dyDescent="0.3">
      <c r="A32" s="4">
        <v>31</v>
      </c>
      <c r="B32" s="4" t="s">
        <v>67</v>
      </c>
      <c r="C32" s="4" t="s">
        <v>13</v>
      </c>
      <c r="D32" s="4">
        <v>50</v>
      </c>
      <c r="E32" s="4" t="s">
        <v>24</v>
      </c>
      <c r="F32" s="4" t="s">
        <v>15</v>
      </c>
      <c r="G32" s="5">
        <v>45031</v>
      </c>
      <c r="H32" s="5">
        <v>45061</v>
      </c>
      <c r="I32" s="4">
        <v>1200</v>
      </c>
      <c r="J32" s="4">
        <v>40</v>
      </c>
      <c r="K32" s="4" t="s">
        <v>16</v>
      </c>
      <c r="L32" s="4" t="s">
        <v>27</v>
      </c>
      <c r="N32">
        <f t="shared" si="0"/>
        <v>2023</v>
      </c>
    </row>
    <row r="33" spans="1:14" x14ac:dyDescent="0.3">
      <c r="A33" s="4">
        <v>32</v>
      </c>
      <c r="B33" s="4" t="s">
        <v>68</v>
      </c>
      <c r="C33" s="4" t="s">
        <v>13</v>
      </c>
      <c r="D33" s="4">
        <v>26</v>
      </c>
      <c r="E33" s="4" t="s">
        <v>22</v>
      </c>
      <c r="F33" s="4" t="s">
        <v>15</v>
      </c>
      <c r="G33" s="5">
        <v>45831</v>
      </c>
      <c r="H33" s="5">
        <v>46191</v>
      </c>
      <c r="I33" s="4">
        <v>1200</v>
      </c>
      <c r="J33" s="4">
        <v>35</v>
      </c>
      <c r="K33" s="4" t="s">
        <v>42</v>
      </c>
      <c r="L33" s="4" t="s">
        <v>17</v>
      </c>
      <c r="N33">
        <f t="shared" si="0"/>
        <v>2025</v>
      </c>
    </row>
    <row r="34" spans="1:14" x14ac:dyDescent="0.3">
      <c r="A34" s="4">
        <v>33</v>
      </c>
      <c r="B34" s="4" t="s">
        <v>69</v>
      </c>
      <c r="C34" s="4" t="s">
        <v>19</v>
      </c>
      <c r="D34" s="4">
        <v>41</v>
      </c>
      <c r="E34" s="4" t="s">
        <v>20</v>
      </c>
      <c r="F34" s="4" t="s">
        <v>25</v>
      </c>
      <c r="G34" s="5">
        <v>45807</v>
      </c>
      <c r="H34" s="5">
        <v>45897</v>
      </c>
      <c r="I34" s="4">
        <v>2000</v>
      </c>
      <c r="J34" s="4">
        <v>2</v>
      </c>
      <c r="K34" s="4" t="s">
        <v>26</v>
      </c>
      <c r="L34" s="4" t="s">
        <v>17</v>
      </c>
      <c r="N34">
        <f t="shared" si="0"/>
        <v>2025</v>
      </c>
    </row>
    <row r="35" spans="1:14" x14ac:dyDescent="0.3">
      <c r="A35" s="4">
        <v>34</v>
      </c>
      <c r="B35" s="4" t="s">
        <v>70</v>
      </c>
      <c r="C35" s="4" t="s">
        <v>19</v>
      </c>
      <c r="D35" s="4">
        <v>33</v>
      </c>
      <c r="E35" s="4" t="s">
        <v>45</v>
      </c>
      <c r="F35" s="4" t="s">
        <v>25</v>
      </c>
      <c r="G35" s="5">
        <v>46073</v>
      </c>
      <c r="H35" s="5">
        <v>46433</v>
      </c>
      <c r="I35" s="4">
        <v>2000</v>
      </c>
      <c r="J35" s="4">
        <v>39</v>
      </c>
      <c r="K35" s="4" t="s">
        <v>35</v>
      </c>
      <c r="L35" s="4" t="s">
        <v>17</v>
      </c>
      <c r="N35">
        <f t="shared" si="0"/>
        <v>2026</v>
      </c>
    </row>
    <row r="36" spans="1:14" x14ac:dyDescent="0.3">
      <c r="A36" s="4">
        <v>35</v>
      </c>
      <c r="B36" s="4" t="s">
        <v>71</v>
      </c>
      <c r="C36" s="4" t="s">
        <v>19</v>
      </c>
      <c r="D36" s="4">
        <v>44</v>
      </c>
      <c r="E36" s="4" t="s">
        <v>29</v>
      </c>
      <c r="F36" s="4" t="s">
        <v>15</v>
      </c>
      <c r="G36" s="5">
        <v>45607</v>
      </c>
      <c r="H36" s="5">
        <v>45967</v>
      </c>
      <c r="I36" s="4">
        <v>1200</v>
      </c>
      <c r="J36" s="4">
        <v>51</v>
      </c>
      <c r="K36" s="4" t="s">
        <v>35</v>
      </c>
      <c r="L36" s="4" t="s">
        <v>32</v>
      </c>
      <c r="N36">
        <f t="shared" si="0"/>
        <v>2024</v>
      </c>
    </row>
    <row r="37" spans="1:14" x14ac:dyDescent="0.3">
      <c r="A37" s="4">
        <v>36</v>
      </c>
      <c r="B37" s="4" t="s">
        <v>72</v>
      </c>
      <c r="C37" s="4" t="s">
        <v>19</v>
      </c>
      <c r="D37" s="4">
        <v>24</v>
      </c>
      <c r="E37" s="4" t="s">
        <v>38</v>
      </c>
      <c r="F37" s="4" t="s">
        <v>47</v>
      </c>
      <c r="G37" s="5">
        <v>45890</v>
      </c>
      <c r="H37" s="5">
        <v>45980</v>
      </c>
      <c r="I37" s="4">
        <v>4500</v>
      </c>
      <c r="J37" s="4">
        <v>12</v>
      </c>
      <c r="K37" s="4" t="s">
        <v>16</v>
      </c>
      <c r="L37" s="4" t="s">
        <v>17</v>
      </c>
      <c r="N37">
        <f t="shared" si="0"/>
        <v>2025</v>
      </c>
    </row>
    <row r="38" spans="1:14" x14ac:dyDescent="0.3">
      <c r="A38" s="4">
        <v>37</v>
      </c>
      <c r="B38" s="4" t="s">
        <v>73</v>
      </c>
      <c r="C38" s="4" t="s">
        <v>19</v>
      </c>
      <c r="D38" s="4">
        <v>30</v>
      </c>
      <c r="E38" s="4" t="s">
        <v>38</v>
      </c>
      <c r="F38" s="4" t="s">
        <v>15</v>
      </c>
      <c r="G38" s="5">
        <v>45069</v>
      </c>
      <c r="H38" s="5">
        <v>45249</v>
      </c>
      <c r="I38" s="4">
        <v>1200</v>
      </c>
      <c r="J38" s="4">
        <v>22</v>
      </c>
      <c r="K38" s="4" t="s">
        <v>35</v>
      </c>
      <c r="L38" s="4" t="s">
        <v>17</v>
      </c>
      <c r="N38">
        <f t="shared" si="0"/>
        <v>2023</v>
      </c>
    </row>
    <row r="39" spans="1:14" x14ac:dyDescent="0.3">
      <c r="A39" s="4">
        <v>38</v>
      </c>
      <c r="B39" s="4" t="s">
        <v>74</v>
      </c>
      <c r="C39" s="4" t="s">
        <v>19</v>
      </c>
      <c r="D39" s="4">
        <v>25</v>
      </c>
      <c r="E39" s="4" t="s">
        <v>22</v>
      </c>
      <c r="F39" s="4" t="s">
        <v>15</v>
      </c>
      <c r="G39" s="5">
        <v>45470</v>
      </c>
      <c r="H39" s="5">
        <v>45500</v>
      </c>
      <c r="I39" s="4">
        <v>1200</v>
      </c>
      <c r="J39" s="4">
        <v>6</v>
      </c>
      <c r="K39" s="4" t="s">
        <v>40</v>
      </c>
      <c r="L39" s="4" t="s">
        <v>17</v>
      </c>
      <c r="N39">
        <f t="shared" si="0"/>
        <v>2024</v>
      </c>
    </row>
    <row r="40" spans="1:14" x14ac:dyDescent="0.3">
      <c r="A40" s="4">
        <v>39</v>
      </c>
      <c r="B40" s="4" t="s">
        <v>75</v>
      </c>
      <c r="C40" s="4" t="s">
        <v>19</v>
      </c>
      <c r="D40" s="4">
        <v>42</v>
      </c>
      <c r="E40" s="4" t="s">
        <v>20</v>
      </c>
      <c r="F40" s="4" t="s">
        <v>15</v>
      </c>
      <c r="G40" s="5">
        <v>45017</v>
      </c>
      <c r="H40" s="5">
        <v>45377</v>
      </c>
      <c r="I40" s="4">
        <v>1200</v>
      </c>
      <c r="J40" s="4">
        <v>0</v>
      </c>
      <c r="K40" s="4" t="s">
        <v>40</v>
      </c>
      <c r="L40" s="4" t="s">
        <v>32</v>
      </c>
      <c r="N40">
        <f t="shared" si="0"/>
        <v>2023</v>
      </c>
    </row>
    <row r="41" spans="1:14" x14ac:dyDescent="0.3">
      <c r="A41" s="4">
        <v>40</v>
      </c>
      <c r="B41" s="4" t="s">
        <v>76</v>
      </c>
      <c r="C41" s="4" t="s">
        <v>13</v>
      </c>
      <c r="D41" s="4">
        <v>45</v>
      </c>
      <c r="E41" s="4" t="s">
        <v>45</v>
      </c>
      <c r="F41" s="4" t="s">
        <v>47</v>
      </c>
      <c r="G41" s="5">
        <v>45603</v>
      </c>
      <c r="H41" s="5">
        <v>45783</v>
      </c>
      <c r="I41" s="4">
        <v>4500</v>
      </c>
      <c r="J41" s="4">
        <v>42</v>
      </c>
      <c r="K41" s="4" t="s">
        <v>42</v>
      </c>
      <c r="L41" s="4" t="s">
        <v>27</v>
      </c>
      <c r="N41">
        <f t="shared" si="0"/>
        <v>2024</v>
      </c>
    </row>
    <row r="42" spans="1:14" x14ac:dyDescent="0.3">
      <c r="A42" s="4">
        <v>41</v>
      </c>
      <c r="B42" s="4" t="s">
        <v>77</v>
      </c>
      <c r="C42" s="4" t="s">
        <v>13</v>
      </c>
      <c r="D42" s="4">
        <v>44</v>
      </c>
      <c r="E42" s="4" t="s">
        <v>63</v>
      </c>
      <c r="F42" s="4" t="s">
        <v>25</v>
      </c>
      <c r="G42" s="5">
        <v>45532</v>
      </c>
      <c r="H42" s="5">
        <v>45622</v>
      </c>
      <c r="I42" s="4">
        <v>2000</v>
      </c>
      <c r="J42" s="4">
        <v>12</v>
      </c>
      <c r="K42" s="4" t="s">
        <v>16</v>
      </c>
      <c r="L42" s="4" t="s">
        <v>27</v>
      </c>
      <c r="N42">
        <f t="shared" si="0"/>
        <v>2024</v>
      </c>
    </row>
    <row r="43" spans="1:14" x14ac:dyDescent="0.3">
      <c r="A43" s="4">
        <v>42</v>
      </c>
      <c r="B43" s="4" t="s">
        <v>78</v>
      </c>
      <c r="C43" s="4" t="s">
        <v>13</v>
      </c>
      <c r="D43" s="4">
        <v>43</v>
      </c>
      <c r="E43" s="4" t="s">
        <v>56</v>
      </c>
      <c r="F43" s="4" t="s">
        <v>30</v>
      </c>
      <c r="G43" s="5">
        <v>45549</v>
      </c>
      <c r="H43" s="5">
        <v>45729</v>
      </c>
      <c r="I43" s="4">
        <v>3200</v>
      </c>
      <c r="J43" s="4">
        <v>13</v>
      </c>
      <c r="K43" s="4" t="s">
        <v>16</v>
      </c>
      <c r="L43" s="4" t="s">
        <v>27</v>
      </c>
      <c r="N43">
        <f t="shared" si="0"/>
        <v>2024</v>
      </c>
    </row>
    <row r="44" spans="1:14" x14ac:dyDescent="0.3">
      <c r="A44" s="4">
        <v>43</v>
      </c>
      <c r="B44" s="4" t="s">
        <v>79</v>
      </c>
      <c r="C44" s="4" t="s">
        <v>13</v>
      </c>
      <c r="D44" s="4">
        <v>46</v>
      </c>
      <c r="E44" s="4" t="s">
        <v>24</v>
      </c>
      <c r="F44" s="4" t="s">
        <v>30</v>
      </c>
      <c r="G44" s="5">
        <v>45973</v>
      </c>
      <c r="H44" s="5">
        <v>46333</v>
      </c>
      <c r="I44" s="4">
        <v>3200</v>
      </c>
      <c r="J44" s="4">
        <v>50</v>
      </c>
      <c r="K44" s="4" t="s">
        <v>35</v>
      </c>
      <c r="L44" s="4" t="s">
        <v>17</v>
      </c>
      <c r="N44">
        <f t="shared" si="0"/>
        <v>2025</v>
      </c>
    </row>
    <row r="45" spans="1:14" x14ac:dyDescent="0.3">
      <c r="A45" s="4">
        <v>44</v>
      </c>
      <c r="B45" s="4" t="s">
        <v>80</v>
      </c>
      <c r="C45" s="4" t="s">
        <v>13</v>
      </c>
      <c r="D45" s="4">
        <v>23</v>
      </c>
      <c r="E45" s="4" t="s">
        <v>14</v>
      </c>
      <c r="F45" s="4" t="s">
        <v>30</v>
      </c>
      <c r="G45" s="5">
        <v>45387</v>
      </c>
      <c r="H45" s="5">
        <v>45477</v>
      </c>
      <c r="I45" s="4">
        <v>3200</v>
      </c>
      <c r="J45" s="4">
        <v>9</v>
      </c>
      <c r="K45" s="4" t="s">
        <v>42</v>
      </c>
      <c r="L45" s="4" t="s">
        <v>17</v>
      </c>
      <c r="N45">
        <f t="shared" si="0"/>
        <v>2024</v>
      </c>
    </row>
    <row r="46" spans="1:14" x14ac:dyDescent="0.3">
      <c r="A46" s="4">
        <v>45</v>
      </c>
      <c r="B46" s="4" t="s">
        <v>81</v>
      </c>
      <c r="C46" s="4" t="s">
        <v>19</v>
      </c>
      <c r="D46" s="4">
        <v>47</v>
      </c>
      <c r="E46" s="4" t="s">
        <v>38</v>
      </c>
      <c r="F46" s="4" t="s">
        <v>47</v>
      </c>
      <c r="G46" s="5">
        <v>46105</v>
      </c>
      <c r="H46" s="5">
        <v>46195</v>
      </c>
      <c r="I46" s="4">
        <v>4500</v>
      </c>
      <c r="J46" s="4">
        <v>45</v>
      </c>
      <c r="K46" s="4" t="s">
        <v>35</v>
      </c>
      <c r="L46" s="4" t="s">
        <v>17</v>
      </c>
      <c r="N46">
        <f t="shared" si="0"/>
        <v>2026</v>
      </c>
    </row>
    <row r="47" spans="1:14" x14ac:dyDescent="0.3">
      <c r="A47" s="4">
        <v>46</v>
      </c>
      <c r="B47" s="4" t="s">
        <v>82</v>
      </c>
      <c r="C47" s="4" t="s">
        <v>19</v>
      </c>
      <c r="D47" s="4">
        <v>18</v>
      </c>
      <c r="E47" s="4" t="s">
        <v>45</v>
      </c>
      <c r="F47" s="4" t="s">
        <v>30</v>
      </c>
      <c r="G47" s="5">
        <v>45375</v>
      </c>
      <c r="H47" s="5">
        <v>45465</v>
      </c>
      <c r="I47" s="4">
        <v>3200</v>
      </c>
      <c r="J47" s="4">
        <v>51</v>
      </c>
      <c r="K47" s="4" t="s">
        <v>35</v>
      </c>
      <c r="L47" s="4" t="s">
        <v>17</v>
      </c>
      <c r="N47">
        <f t="shared" si="0"/>
        <v>2024</v>
      </c>
    </row>
    <row r="48" spans="1:14" x14ac:dyDescent="0.3">
      <c r="A48" s="4">
        <v>47</v>
      </c>
      <c r="B48" s="4" t="s">
        <v>83</v>
      </c>
      <c r="C48" s="4" t="s">
        <v>19</v>
      </c>
      <c r="D48" s="4">
        <v>25</v>
      </c>
      <c r="E48" s="4" t="s">
        <v>24</v>
      </c>
      <c r="F48" s="4" t="s">
        <v>15</v>
      </c>
      <c r="G48" s="5">
        <v>45878</v>
      </c>
      <c r="H48" s="5">
        <v>46058</v>
      </c>
      <c r="I48" s="4">
        <v>1200</v>
      </c>
      <c r="J48" s="4">
        <v>60</v>
      </c>
      <c r="K48" s="4" t="s">
        <v>16</v>
      </c>
      <c r="L48" s="4" t="s">
        <v>17</v>
      </c>
      <c r="N48">
        <f t="shared" si="0"/>
        <v>2025</v>
      </c>
    </row>
    <row r="49" spans="1:14" x14ac:dyDescent="0.3">
      <c r="A49" s="4">
        <v>48</v>
      </c>
      <c r="B49" s="4" t="s">
        <v>84</v>
      </c>
      <c r="C49" s="4" t="s">
        <v>13</v>
      </c>
      <c r="D49" s="4">
        <v>28</v>
      </c>
      <c r="E49" s="4" t="s">
        <v>24</v>
      </c>
      <c r="F49" s="4" t="s">
        <v>25</v>
      </c>
      <c r="G49" s="5">
        <v>45433</v>
      </c>
      <c r="H49" s="5">
        <v>45613</v>
      </c>
      <c r="I49" s="4">
        <v>2000</v>
      </c>
      <c r="J49" s="4">
        <v>49</v>
      </c>
      <c r="K49" s="4" t="s">
        <v>40</v>
      </c>
      <c r="L49" s="4" t="s">
        <v>17</v>
      </c>
      <c r="N49">
        <f t="shared" si="0"/>
        <v>2024</v>
      </c>
    </row>
    <row r="50" spans="1:14" x14ac:dyDescent="0.3">
      <c r="A50" s="4">
        <v>49</v>
      </c>
      <c r="B50" s="4" t="s">
        <v>72</v>
      </c>
      <c r="C50" s="4" t="s">
        <v>13</v>
      </c>
      <c r="D50" s="4">
        <v>22</v>
      </c>
      <c r="E50" s="4" t="s">
        <v>22</v>
      </c>
      <c r="F50" s="4" t="s">
        <v>15</v>
      </c>
      <c r="G50" s="5">
        <v>45614</v>
      </c>
      <c r="H50" s="5">
        <v>45794</v>
      </c>
      <c r="I50" s="4">
        <v>1200</v>
      </c>
      <c r="J50" s="4">
        <v>57</v>
      </c>
      <c r="K50" s="4" t="s">
        <v>40</v>
      </c>
      <c r="L50" s="4" t="s">
        <v>17</v>
      </c>
      <c r="N50">
        <f t="shared" si="0"/>
        <v>2024</v>
      </c>
    </row>
    <row r="51" spans="1:14" x14ac:dyDescent="0.3">
      <c r="A51" s="4">
        <v>50</v>
      </c>
      <c r="B51" s="4" t="s">
        <v>85</v>
      </c>
      <c r="C51" s="4" t="s">
        <v>13</v>
      </c>
      <c r="D51" s="4">
        <v>27</v>
      </c>
      <c r="E51" s="4" t="s">
        <v>14</v>
      </c>
      <c r="F51" s="4" t="s">
        <v>15</v>
      </c>
      <c r="G51" s="5">
        <v>45761</v>
      </c>
      <c r="H51" s="5">
        <v>45941</v>
      </c>
      <c r="I51" s="4">
        <v>1200</v>
      </c>
      <c r="J51" s="4">
        <v>34</v>
      </c>
      <c r="K51" s="4" t="s">
        <v>16</v>
      </c>
      <c r="L51" s="4" t="s">
        <v>17</v>
      </c>
      <c r="N51">
        <f t="shared" si="0"/>
        <v>2025</v>
      </c>
    </row>
    <row r="52" spans="1:14" x14ac:dyDescent="0.3">
      <c r="A52" s="4">
        <v>51</v>
      </c>
      <c r="B52" s="4" t="s">
        <v>86</v>
      </c>
      <c r="C52" s="4" t="s">
        <v>13</v>
      </c>
      <c r="D52" s="4">
        <v>55</v>
      </c>
      <c r="E52" s="4" t="s">
        <v>29</v>
      </c>
      <c r="F52" s="4" t="s">
        <v>47</v>
      </c>
      <c r="G52" s="5">
        <v>46106</v>
      </c>
      <c r="H52" s="5">
        <v>46466</v>
      </c>
      <c r="I52" s="4">
        <v>4500</v>
      </c>
      <c r="J52" s="4">
        <v>30</v>
      </c>
      <c r="K52" s="4" t="s">
        <v>42</v>
      </c>
      <c r="L52" s="4" t="s">
        <v>32</v>
      </c>
      <c r="N52">
        <f t="shared" si="0"/>
        <v>2026</v>
      </c>
    </row>
    <row r="53" spans="1:14" x14ac:dyDescent="0.3">
      <c r="A53" s="4">
        <v>52</v>
      </c>
      <c r="B53" s="4" t="s">
        <v>87</v>
      </c>
      <c r="C53" s="4" t="s">
        <v>13</v>
      </c>
      <c r="D53" s="4">
        <v>52</v>
      </c>
      <c r="E53" s="4" t="s">
        <v>56</v>
      </c>
      <c r="F53" s="4" t="s">
        <v>30</v>
      </c>
      <c r="G53" s="5">
        <v>45378</v>
      </c>
      <c r="H53" s="5">
        <v>45738</v>
      </c>
      <c r="I53" s="4">
        <v>3200</v>
      </c>
      <c r="J53" s="4">
        <v>14</v>
      </c>
      <c r="K53" s="4" t="s">
        <v>26</v>
      </c>
      <c r="L53" s="4" t="s">
        <v>17</v>
      </c>
      <c r="N53">
        <f t="shared" si="0"/>
        <v>2024</v>
      </c>
    </row>
    <row r="54" spans="1:14" x14ac:dyDescent="0.3">
      <c r="A54" s="4">
        <v>53</v>
      </c>
      <c r="B54" s="4" t="s">
        <v>88</v>
      </c>
      <c r="C54" s="4" t="s">
        <v>13</v>
      </c>
      <c r="D54" s="4">
        <v>43</v>
      </c>
      <c r="E54" s="4" t="s">
        <v>34</v>
      </c>
      <c r="F54" s="4" t="s">
        <v>30</v>
      </c>
      <c r="G54" s="5">
        <v>45188</v>
      </c>
      <c r="H54" s="5">
        <v>45218</v>
      </c>
      <c r="I54" s="4">
        <v>3200</v>
      </c>
      <c r="J54" s="4">
        <v>58</v>
      </c>
      <c r="K54" s="4" t="s">
        <v>16</v>
      </c>
      <c r="L54" s="4" t="s">
        <v>17</v>
      </c>
      <c r="N54">
        <f t="shared" si="0"/>
        <v>2023</v>
      </c>
    </row>
    <row r="55" spans="1:14" x14ac:dyDescent="0.3">
      <c r="A55" s="4">
        <v>54</v>
      </c>
      <c r="B55" s="4" t="s">
        <v>89</v>
      </c>
      <c r="C55" s="4" t="s">
        <v>13</v>
      </c>
      <c r="D55" s="4">
        <v>26</v>
      </c>
      <c r="E55" s="4" t="s">
        <v>24</v>
      </c>
      <c r="F55" s="4" t="s">
        <v>15</v>
      </c>
      <c r="G55" s="5">
        <v>45459</v>
      </c>
      <c r="H55" s="5">
        <v>45819</v>
      </c>
      <c r="I55" s="4">
        <v>1200</v>
      </c>
      <c r="J55" s="4">
        <v>20</v>
      </c>
      <c r="K55" s="4" t="s">
        <v>31</v>
      </c>
      <c r="L55" s="4" t="s">
        <v>17</v>
      </c>
      <c r="N55">
        <f t="shared" si="0"/>
        <v>2024</v>
      </c>
    </row>
    <row r="56" spans="1:14" x14ac:dyDescent="0.3">
      <c r="A56" s="4">
        <v>55</v>
      </c>
      <c r="B56" s="4" t="s">
        <v>90</v>
      </c>
      <c r="C56" s="4" t="s">
        <v>13</v>
      </c>
      <c r="D56" s="4">
        <v>44</v>
      </c>
      <c r="E56" s="4" t="s">
        <v>22</v>
      </c>
      <c r="F56" s="4" t="s">
        <v>30</v>
      </c>
      <c r="G56" s="5">
        <v>45890</v>
      </c>
      <c r="H56" s="5">
        <v>45920</v>
      </c>
      <c r="I56" s="4">
        <v>3200</v>
      </c>
      <c r="J56" s="4">
        <v>47</v>
      </c>
      <c r="K56" s="4" t="s">
        <v>40</v>
      </c>
      <c r="L56" s="4" t="s">
        <v>17</v>
      </c>
      <c r="N56">
        <f t="shared" si="0"/>
        <v>2025</v>
      </c>
    </row>
    <row r="57" spans="1:14" x14ac:dyDescent="0.3">
      <c r="A57" s="4">
        <v>56</v>
      </c>
      <c r="B57" s="4" t="s">
        <v>91</v>
      </c>
      <c r="C57" s="4" t="s">
        <v>19</v>
      </c>
      <c r="D57" s="4">
        <v>20</v>
      </c>
      <c r="E57" s="4" t="s">
        <v>29</v>
      </c>
      <c r="F57" s="4" t="s">
        <v>47</v>
      </c>
      <c r="G57" s="5">
        <v>45335</v>
      </c>
      <c r="H57" s="5">
        <v>45365</v>
      </c>
      <c r="I57" s="4">
        <v>4500</v>
      </c>
      <c r="J57" s="4">
        <v>39</v>
      </c>
      <c r="K57" s="4" t="s">
        <v>31</v>
      </c>
      <c r="L57" s="4" t="s">
        <v>17</v>
      </c>
      <c r="N57">
        <f t="shared" si="0"/>
        <v>2024</v>
      </c>
    </row>
    <row r="58" spans="1:14" x14ac:dyDescent="0.3">
      <c r="A58" s="4">
        <v>57</v>
      </c>
      <c r="B58" s="4" t="s">
        <v>92</v>
      </c>
      <c r="C58" s="4" t="s">
        <v>19</v>
      </c>
      <c r="D58" s="4">
        <v>47</v>
      </c>
      <c r="E58" s="4" t="s">
        <v>22</v>
      </c>
      <c r="F58" s="4" t="s">
        <v>30</v>
      </c>
      <c r="G58" s="5">
        <v>45270</v>
      </c>
      <c r="H58" s="5">
        <v>45300</v>
      </c>
      <c r="I58" s="4">
        <v>3200</v>
      </c>
      <c r="J58" s="4">
        <v>49</v>
      </c>
      <c r="K58" s="4" t="s">
        <v>31</v>
      </c>
      <c r="L58" s="4" t="s">
        <v>32</v>
      </c>
      <c r="N58">
        <f t="shared" si="0"/>
        <v>2023</v>
      </c>
    </row>
    <row r="59" spans="1:14" x14ac:dyDescent="0.3">
      <c r="A59" s="4">
        <v>58</v>
      </c>
      <c r="B59" s="4" t="s">
        <v>93</v>
      </c>
      <c r="C59" s="4" t="s">
        <v>19</v>
      </c>
      <c r="D59" s="4">
        <v>37</v>
      </c>
      <c r="E59" s="4" t="s">
        <v>20</v>
      </c>
      <c r="F59" s="4" t="s">
        <v>30</v>
      </c>
      <c r="G59" s="5">
        <v>45695</v>
      </c>
      <c r="H59" s="5">
        <v>46055</v>
      </c>
      <c r="I59" s="4">
        <v>3200</v>
      </c>
      <c r="J59" s="4">
        <v>60</v>
      </c>
      <c r="K59" s="4" t="s">
        <v>35</v>
      </c>
      <c r="L59" s="4" t="s">
        <v>17</v>
      </c>
      <c r="N59">
        <f t="shared" si="0"/>
        <v>2025</v>
      </c>
    </row>
    <row r="60" spans="1:14" x14ac:dyDescent="0.3">
      <c r="A60" s="4">
        <v>59</v>
      </c>
      <c r="B60" s="4" t="s">
        <v>94</v>
      </c>
      <c r="C60" s="4" t="s">
        <v>19</v>
      </c>
      <c r="D60" s="4">
        <v>37</v>
      </c>
      <c r="E60" s="4" t="s">
        <v>20</v>
      </c>
      <c r="F60" s="4" t="s">
        <v>30</v>
      </c>
      <c r="G60" s="5">
        <v>46086</v>
      </c>
      <c r="H60" s="5">
        <v>46116</v>
      </c>
      <c r="I60" s="4">
        <v>3200</v>
      </c>
      <c r="J60" s="4">
        <v>22</v>
      </c>
      <c r="K60" s="4" t="s">
        <v>40</v>
      </c>
      <c r="L60" s="4" t="s">
        <v>17</v>
      </c>
      <c r="N60">
        <f t="shared" si="0"/>
        <v>2026</v>
      </c>
    </row>
    <row r="61" spans="1:14" x14ac:dyDescent="0.3">
      <c r="A61" s="4">
        <v>60</v>
      </c>
      <c r="B61" s="4" t="s">
        <v>95</v>
      </c>
      <c r="C61" s="4" t="s">
        <v>13</v>
      </c>
      <c r="D61" s="4">
        <v>18</v>
      </c>
      <c r="E61" s="4" t="s">
        <v>38</v>
      </c>
      <c r="F61" s="4" t="s">
        <v>30</v>
      </c>
      <c r="G61" s="5">
        <v>45143</v>
      </c>
      <c r="H61" s="5">
        <v>45503</v>
      </c>
      <c r="I61" s="4">
        <v>3200</v>
      </c>
      <c r="J61" s="4">
        <v>23</v>
      </c>
      <c r="K61" s="4" t="s">
        <v>35</v>
      </c>
      <c r="L61" s="4" t="s">
        <v>32</v>
      </c>
      <c r="N61">
        <f t="shared" si="0"/>
        <v>2023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tabSelected="1" zoomScale="115" zoomScaleNormal="115" workbookViewId="0">
      <pane ySplit="4" topLeftCell="A14" activePane="bottomLeft" state="frozen"/>
      <selection pane="bottomLeft" activeCell="C16" sqref="C16"/>
    </sheetView>
  </sheetViews>
  <sheetFormatPr defaultColWidth="8.6640625" defaultRowHeight="14.4" x14ac:dyDescent="0.3"/>
  <cols>
    <col min="1" max="1" width="3" bestFit="1" customWidth="1"/>
    <col min="2" max="2" width="93.77734375" bestFit="1" customWidth="1"/>
    <col min="3" max="3" width="62" customWidth="1"/>
  </cols>
  <sheetData>
    <row r="1" spans="1:3" ht="17.399999999999999" x14ac:dyDescent="0.3">
      <c r="A1" s="2" t="s">
        <v>96</v>
      </c>
      <c r="B1" s="2"/>
      <c r="C1" s="2"/>
    </row>
    <row r="2" spans="1:3" x14ac:dyDescent="0.3">
      <c r="A2" s="1" t="s">
        <v>97</v>
      </c>
      <c r="B2" s="1"/>
      <c r="C2" s="1"/>
    </row>
    <row r="4" spans="1:3" x14ac:dyDescent="0.3">
      <c r="A4" s="3" t="s">
        <v>98</v>
      </c>
      <c r="B4" s="3" t="s">
        <v>99</v>
      </c>
      <c r="C4" s="3" t="s">
        <v>100</v>
      </c>
    </row>
    <row r="5" spans="1:3" ht="33.75" customHeight="1" x14ac:dyDescent="0.3">
      <c r="A5" s="6">
        <v>1</v>
      </c>
      <c r="B5" s="7" t="s">
        <v>101</v>
      </c>
      <c r="C5" s="8">
        <f>SUMIFS(Gym_Data!I2:I61,Gym_Data!F2:F61,"Premium",Gym_Data!L2:L61,"Paid")</f>
        <v>32000</v>
      </c>
    </row>
    <row r="6" spans="1:3" ht="33.75" customHeight="1" x14ac:dyDescent="0.3">
      <c r="A6" s="6">
        <v>2</v>
      </c>
      <c r="B6" s="7" t="s">
        <v>102</v>
      </c>
      <c r="C6" s="8">
        <f>AVERAGEIFS(Gym_Data!J2:J61,Gym_Data!C2:C61,"Female",Gym_Data!E2:E61,"Bengaluru")</f>
        <v>52.333333333333336</v>
      </c>
    </row>
    <row r="7" spans="1:3" ht="33.75" customHeight="1" x14ac:dyDescent="0.3">
      <c r="A7" s="6">
        <v>3</v>
      </c>
      <c r="B7" s="7" t="s">
        <v>103</v>
      </c>
      <c r="C7" s="8">
        <f>COUNTIFS(Gym_Data!N2:N61,2025,Gym_Data!L2:L61,"Overdue")</f>
        <v>0</v>
      </c>
    </row>
    <row r="8" spans="1:3" ht="33.75" customHeight="1" x14ac:dyDescent="0.3">
      <c r="A8" s="6">
        <v>4</v>
      </c>
      <c r="B8" s="7" t="s">
        <v>104</v>
      </c>
      <c r="C8" s="8" t="str">
        <f>INDEX(Gym_Data!K2:K61,MATCH(25,Gym_Data!A2:A61,0))</f>
        <v>Coach Raj</v>
      </c>
    </row>
    <row r="9" spans="1:3" ht="33.75" customHeight="1" x14ac:dyDescent="0.3">
      <c r="A9" s="6">
        <v>5</v>
      </c>
      <c r="B9" s="7" t="s">
        <v>105</v>
      </c>
      <c r="C9" cm="1">
        <f t="array" ref="C9">SUMPRODUCT((Gym_Data!B2:B61=C25)*(Gym_Data!E2:E61=C26)*Gym_Data!I2:I61)</f>
        <v>1200</v>
      </c>
    </row>
    <row r="10" spans="1:3" ht="33.75" customHeight="1" x14ac:dyDescent="0.3">
      <c r="A10" s="6">
        <v>6</v>
      </c>
      <c r="B10" s="7" t="s">
        <v>106</v>
      </c>
      <c r="C10" s="8" cm="1">
        <f t="array" ref="C10">SUMPRODUCT((Gym_Data!J2:J61),(Gym_Data!F2:F61="Elite"))</f>
        <v>0</v>
      </c>
    </row>
    <row r="11" spans="1:3" ht="33.75" customHeight="1" x14ac:dyDescent="0.3">
      <c r="A11" s="6">
        <v>7</v>
      </c>
      <c r="B11" s="7" t="s">
        <v>107</v>
      </c>
      <c r="C11" s="11">
        <f>EDATE(Gym_Data!G11,6)</f>
        <v>45297</v>
      </c>
    </row>
    <row r="12" spans="1:3" ht="33.75" customHeight="1" x14ac:dyDescent="0.3">
      <c r="A12" s="6">
        <v>8</v>
      </c>
      <c r="B12" s="7" t="s">
        <v>108</v>
      </c>
      <c r="C12" s="11">
        <f>EOMONTH(Gym_Data!G16,0)</f>
        <v>46022</v>
      </c>
    </row>
    <row r="13" spans="1:3" ht="33.75" customHeight="1" x14ac:dyDescent="0.3">
      <c r="A13" s="6">
        <v>9</v>
      </c>
      <c r="B13" s="7" t="s">
        <v>109</v>
      </c>
      <c r="C13" s="11">
        <f>WORKDAY(Gym_Data!G4,10)</f>
        <v>45630</v>
      </c>
    </row>
    <row r="14" spans="1:3" ht="33.75" customHeight="1" x14ac:dyDescent="0.3">
      <c r="A14" s="6">
        <v>10</v>
      </c>
      <c r="B14" s="7" t="s">
        <v>110</v>
      </c>
      <c r="C14" s="8">
        <f>DATEDIF(Gym_Data!G9,Gym_Data!H9,"M")</f>
        <v>5</v>
      </c>
    </row>
    <row r="15" spans="1:3" ht="33.75" customHeight="1" x14ac:dyDescent="0.3">
      <c r="A15" s="6">
        <v>11</v>
      </c>
      <c r="B15" s="7" t="s">
        <v>111</v>
      </c>
      <c r="C15" s="8">
        <f>YEARFRAC(Gym_Data!G21,Gym_Data!H21,)</f>
        <v>8.3333333333333329E-2</v>
      </c>
    </row>
    <row r="16" spans="1:3" ht="33.75" customHeight="1" x14ac:dyDescent="0.3">
      <c r="A16" s="6">
        <v>12</v>
      </c>
      <c r="B16" s="7" t="s">
        <v>112</v>
      </c>
      <c r="C16" s="8">
        <f>SUMIFS(Gym_Data!I2:I61, Gym_Data!G2:G61, "&gt;="&amp;DATE(2025,1,1), Gym_Data!G2:G61, "&lt;="&amp;DATE(2025,6,30))</f>
        <v>16400</v>
      </c>
    </row>
    <row r="17" spans="1:3" ht="33.75" customHeight="1" x14ac:dyDescent="0.3">
      <c r="A17" s="6">
        <v>13</v>
      </c>
      <c r="B17" s="7" t="s">
        <v>113</v>
      </c>
      <c r="C17" s="8">
        <f>_xlfn.MAXIFS(Gym_Data!J2:J61,Gym_Data!F2:F61,"Standard")</f>
        <v>55</v>
      </c>
    </row>
    <row r="18" spans="1:3" ht="33.75" customHeight="1" x14ac:dyDescent="0.3">
      <c r="A18" s="6">
        <v>14</v>
      </c>
      <c r="B18" s="7" t="s">
        <v>114</v>
      </c>
      <c r="C18" s="8">
        <f>_xlfn.MINIFS(Gym_Data!D2:D61,Gym_Data!L2:L61,"Pending")</f>
        <v>20</v>
      </c>
    </row>
    <row r="19" spans="1:3" ht="33.75" customHeight="1" x14ac:dyDescent="0.3">
      <c r="A19" s="6">
        <v>15</v>
      </c>
      <c r="B19" s="7" t="s">
        <v>115</v>
      </c>
      <c r="C19" s="8" t="str">
        <f>IF(Gym_Data!J2&gt;40,"High Engagement",IF(Gym_Data!J2&gt;=15,"Medium Engagement","Low Engagement"))</f>
        <v>Medium Engagement</v>
      </c>
    </row>
    <row r="20" spans="1:3" ht="33.75" customHeight="1" x14ac:dyDescent="0.3">
      <c r="A20" s="6">
        <v>16</v>
      </c>
      <c r="B20" s="7" t="s">
        <v>116</v>
      </c>
      <c r="C20" s="8">
        <f>COUNTIFS(Gym_Data!E2:E61,"Delhi")+COUNTIFS(Gym_Data!E2:E61,"""Mumbai")</f>
        <v>4</v>
      </c>
    </row>
    <row r="21" spans="1:3" ht="33.75" customHeight="1" x14ac:dyDescent="0.3">
      <c r="A21" s="6">
        <v>17</v>
      </c>
      <c r="B21" s="7" t="s">
        <v>117</v>
      </c>
      <c r="C21" s="8" t="str">
        <f>_xlfn.TEXTJOIN(" - ",TRUE,Gym_Data!B13,Gym_Data!E13)</f>
        <v>Sai Chauhan - Mumbai</v>
      </c>
    </row>
    <row r="22" spans="1:3" ht="33.75" customHeight="1" x14ac:dyDescent="0.3">
      <c r="A22" s="6">
        <v>18</v>
      </c>
      <c r="B22" s="7" t="s">
        <v>118</v>
      </c>
      <c r="C22" s="12" cm="1">
        <f t="array" ref="C22">SUMPRODUCT(Gym_Data!I2:I61,Gym_Data!F2:F61="Elite")/SUM(Gym_Data!I2:I61)</f>
        <v>0</v>
      </c>
    </row>
    <row r="24" spans="1:3" x14ac:dyDescent="0.3">
      <c r="A24" s="9" t="s">
        <v>119</v>
      </c>
    </row>
    <row r="25" spans="1:3" x14ac:dyDescent="0.3">
      <c r="B25" t="s">
        <v>120</v>
      </c>
      <c r="C25" s="8" t="s">
        <v>12</v>
      </c>
    </row>
    <row r="26" spans="1:3" x14ac:dyDescent="0.3">
      <c r="B26" t="s">
        <v>121</v>
      </c>
      <c r="C26" s="8" t="s">
        <v>14</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zoomScaleNormal="100" workbookViewId="0"/>
  </sheetViews>
  <sheetFormatPr defaultColWidth="8.6640625" defaultRowHeight="14.4" x14ac:dyDescent="0.3"/>
  <sheetData>
    <row r="1" spans="1:2" x14ac:dyDescent="0.3">
      <c r="A1" s="9" t="s">
        <v>122</v>
      </c>
    </row>
    <row r="2" spans="1:2" x14ac:dyDescent="0.3">
      <c r="A2" t="s">
        <v>123</v>
      </c>
      <c r="B2">
        <f>SUMIFS(Gym_Data!I:I,Gym_Data!F:F,"Premium",Gym_Data!L:L,"Paid")</f>
        <v>32000</v>
      </c>
    </row>
    <row r="3" spans="1:2" x14ac:dyDescent="0.3">
      <c r="A3" t="s">
        <v>124</v>
      </c>
      <c r="B3">
        <f>AVERAGEIFS(Gym_Data!J:J,Gym_Data!C:C,"Female",Gym_Data!E:E,"Bengaluru")</f>
        <v>52.333333333333336</v>
      </c>
    </row>
    <row r="4" spans="1:2" x14ac:dyDescent="0.3">
      <c r="A4" t="s">
        <v>125</v>
      </c>
      <c r="B4">
        <f>COUNTIFS(Gym_Data!G:G,"&gt;="&amp;DATE(2025,1,1),Gym_Data!G:G,"&lt;="&amp;DATE(2025,12,31),Gym_Data!L:L,"Overdue")</f>
        <v>0</v>
      </c>
    </row>
    <row r="5" spans="1:2" x14ac:dyDescent="0.3">
      <c r="A5" t="s">
        <v>126</v>
      </c>
      <c r="B5" t="str">
        <f>INDEX(Gym_Data!K:K,MATCH(25,Gym_Data!A:A,0))</f>
        <v>Coach Raj</v>
      </c>
    </row>
    <row r="6" spans="1:2" x14ac:dyDescent="0.3">
      <c r="A6" t="s">
        <v>127</v>
      </c>
      <c r="B6">
        <f>SUMPRODUCT((Gym_Data!B2:B61=Questions!C25)*(Gym_Data!E2:E61=Questions!C26)*Gym_Data!I2:I61)</f>
        <v>1200</v>
      </c>
    </row>
    <row r="7" spans="1:2" x14ac:dyDescent="0.3">
      <c r="A7" t="s">
        <v>128</v>
      </c>
      <c r="B7">
        <f>SUMPRODUCT((Gym_Data!F2:F61="Elite")*Gym_Data!J2:J61)</f>
        <v>222</v>
      </c>
    </row>
    <row r="8" spans="1:2" x14ac:dyDescent="0.3">
      <c r="A8" t="s">
        <v>129</v>
      </c>
      <c r="B8">
        <f>EDATE(INDEX(Gym_Data!G:G,MATCH(10,Gym_Data!A:A,0)),6)</f>
        <v>45297</v>
      </c>
    </row>
    <row r="9" spans="1:2" x14ac:dyDescent="0.3">
      <c r="A9" t="s">
        <v>130</v>
      </c>
      <c r="B9">
        <f>EOMONTH(INDEX(Gym_Data!G:G,MATCH(15,Gym_Data!A:A,0)),0)</f>
        <v>46022</v>
      </c>
    </row>
    <row r="10" spans="1:2" x14ac:dyDescent="0.3">
      <c r="A10" t="s">
        <v>131</v>
      </c>
      <c r="B10">
        <f>WORKDAY(INDEX(Gym_Data!G:G,MATCH(3,Gym_Data!A:A,0)),10)</f>
        <v>45630</v>
      </c>
    </row>
    <row r="11" spans="1:2" x14ac:dyDescent="0.3">
      <c r="A11" t="s">
        <v>132</v>
      </c>
      <c r="B11">
        <f>DATEDIF(INDEX(Gym_Data!G:G,MATCH(8,Gym_Data!A:A,0)),INDEX(Gym_Data!H:H,MATCH(8,Gym_Data!A:A,0)),"m")</f>
        <v>5</v>
      </c>
    </row>
    <row r="12" spans="1:2" x14ac:dyDescent="0.3">
      <c r="A12" t="s">
        <v>133</v>
      </c>
      <c r="B12">
        <f>YEARFRAC(INDEX(Gym_Data!G:G,MATCH(20,Gym_Data!A:A,0)),INDEX(Gym_Data!H:H,MATCH(20,Gym_Data!A:A,0)))</f>
        <v>8.3333333333333329E-2</v>
      </c>
    </row>
    <row r="13" spans="1:2" x14ac:dyDescent="0.3">
      <c r="A13" t="s">
        <v>134</v>
      </c>
      <c r="B13">
        <f>SUMIFS(Gym_Data!I:I,Gym_Data!G:G,"&gt;="&amp;DATE(2025,1,1),Gym_Data!G:G,"&lt;="&amp;DATE(2025,6,30))</f>
        <v>16400</v>
      </c>
    </row>
    <row r="14" spans="1:2" x14ac:dyDescent="0.3">
      <c r="A14" t="s">
        <v>135</v>
      </c>
      <c r="B14">
        <f>_xlfn.MAXIFS(Gym_Data!J:J,Gym_Data!F:F,"Standard")</f>
        <v>55</v>
      </c>
    </row>
    <row r="15" spans="1:2" x14ac:dyDescent="0.3">
      <c r="A15" t="s">
        <v>136</v>
      </c>
      <c r="B15">
        <f>_xlfn.MINIFS(Gym_Data!D:D,Gym_Data!L:L,"Pending")</f>
        <v>20</v>
      </c>
    </row>
    <row r="16" spans="1:2" x14ac:dyDescent="0.3">
      <c r="A16" t="s">
        <v>137</v>
      </c>
      <c r="B16" t="str">
        <f>IF(INDEX(Gym_Data!J:J,MATCH(1,Gym_Data!A:A,0))&gt;40,"High Engagement",IF(INDEX(Gym_Data!J:J,MATCH(1,Gym_Data!A:A,0))&gt;=15,"Medium Engagement","Low Engagement"))</f>
        <v>Medium Engagement</v>
      </c>
    </row>
    <row r="17" spans="1:2" x14ac:dyDescent="0.3">
      <c r="A17" t="s">
        <v>138</v>
      </c>
      <c r="B17">
        <f>COUNTIFS(Gym_Data!E:E,"Delhi")+COUNTIFS(Gym_Data!E:E,"Mumbai")</f>
        <v>10</v>
      </c>
    </row>
    <row r="18" spans="1:2" x14ac:dyDescent="0.3">
      <c r="A18" t="s">
        <v>139</v>
      </c>
      <c r="B18" t="str">
        <f>_xlfn.TEXTJOIN(" - ",TRUE(),INDEX(Gym_Data!B:B,MATCH(12,Gym_Data!A:A,0)),INDEX(Gym_Data!E:E,MATCH(12,Gym_Data!A:A,0)))</f>
        <v>Sai Chauhan - Mumbai</v>
      </c>
    </row>
    <row r="19" spans="1:2" x14ac:dyDescent="0.3">
      <c r="A19" t="s">
        <v>140</v>
      </c>
      <c r="B19">
        <f>SUMPRODUCT((Gym_Data!F2:F61="Elite")*Gym_Data!I2:I61)/SUM(Gym_Data!I2:I61)</f>
        <v>0.28907922912205569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Gym_Data</vt:lpstr>
      <vt:lpstr>Questions</vt:lpstr>
      <vt:lpstr>Answer_Key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0</cp:revision>
  <dcterms:created xsi:type="dcterms:W3CDTF">2026-07-12T14:36:03Z</dcterms:created>
  <dcterms:modified xsi:type="dcterms:W3CDTF">2026-07-21T05:09:26Z</dcterms:modified>
  <dc:language>en-US</dc:language>
</cp:coreProperties>
</file>