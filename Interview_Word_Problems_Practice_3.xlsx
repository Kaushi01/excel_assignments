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58B5D33A-5F0D-4A73-A98F-DBE1A48BFEB3}" xr6:coauthVersionLast="47" xr6:coauthVersionMax="47" xr10:uidLastSave="{00000000-0000-0000-0000-000000000000}"/>
  <bookViews>
    <workbookView xWindow="-108" yWindow="-108" windowWidth="23256" windowHeight="12576" tabRatio="500" activeTab="1" xr2:uid="{00000000-000D-0000-FFFF-FFFF00000000}"/>
  </bookViews>
  <sheets>
    <sheet name="Data" sheetId="1" r:id="rId1"/>
    <sheet name="Formula_Practice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6" i="2" l="1" a="1"/>
  <c r="C6" i="2" s="1"/>
  <c r="C17" i="2" a="1"/>
  <c r="C17" i="2" s="1"/>
  <c r="C14" i="2"/>
  <c r="C7" i="2"/>
  <c r="D26" i="2"/>
  <c r="C26" i="2"/>
  <c r="C25" i="2"/>
  <c r="C29" i="2"/>
  <c r="C15" i="2"/>
  <c r="C8" i="2" a="1"/>
  <c r="C8" i="2"/>
  <c r="C10" i="2"/>
  <c r="C9" i="2"/>
  <c r="C11" i="2"/>
  <c r="C3" i="2"/>
  <c r="C28" i="2"/>
  <c r="C27" i="2"/>
  <c r="C24" i="2"/>
  <c r="C23" i="2"/>
  <c r="C22" i="2"/>
  <c r="C21" i="2"/>
  <c r="F21" i="2"/>
  <c r="F22" i="2"/>
  <c r="F23" i="2"/>
  <c r="F24" i="2"/>
  <c r="F25" i="2"/>
  <c r="F26" i="2"/>
  <c r="E20" i="2" a="1"/>
  <c r="E20" i="2" s="1"/>
  <c r="C19" i="2" a="1"/>
  <c r="C19" i="2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2" i="1"/>
  <c r="C18" i="2"/>
  <c r="C16" i="2"/>
  <c r="C13" i="2"/>
  <c r="C12" i="2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2" i="1"/>
  <c r="C5" i="2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2" i="1"/>
  <c r="C4" i="2"/>
  <c r="C2" i="2"/>
  <c r="L161" i="1"/>
  <c r="L160" i="1"/>
  <c r="L159" i="1"/>
  <c r="L158" i="1"/>
  <c r="L157" i="1"/>
  <c r="L156" i="1"/>
  <c r="L155" i="1"/>
  <c r="L154" i="1"/>
  <c r="L153" i="1"/>
  <c r="L152" i="1"/>
  <c r="L151" i="1"/>
  <c r="L150" i="1"/>
  <c r="L149" i="1"/>
  <c r="L148" i="1"/>
  <c r="L147" i="1"/>
  <c r="L146" i="1"/>
  <c r="L145" i="1"/>
  <c r="L144" i="1"/>
  <c r="L143" i="1"/>
  <c r="L142" i="1"/>
  <c r="L141" i="1"/>
  <c r="L140" i="1"/>
  <c r="L139" i="1"/>
  <c r="L138" i="1"/>
  <c r="L137" i="1"/>
  <c r="L136" i="1"/>
  <c r="L135" i="1"/>
  <c r="L134" i="1"/>
  <c r="L133" i="1"/>
  <c r="L132" i="1"/>
  <c r="L131" i="1"/>
  <c r="L130" i="1"/>
  <c r="L129" i="1"/>
  <c r="L128" i="1"/>
  <c r="L127" i="1"/>
  <c r="L126" i="1"/>
  <c r="L125" i="1"/>
  <c r="L124" i="1"/>
  <c r="L123" i="1"/>
  <c r="L122" i="1"/>
  <c r="L121" i="1"/>
  <c r="L120" i="1"/>
  <c r="L119" i="1"/>
  <c r="L118" i="1"/>
  <c r="L117" i="1"/>
  <c r="L116" i="1"/>
  <c r="L115" i="1"/>
  <c r="L114" i="1"/>
  <c r="L113" i="1"/>
  <c r="L112" i="1"/>
  <c r="L111" i="1"/>
  <c r="L110" i="1"/>
  <c r="L109" i="1"/>
  <c r="L108" i="1"/>
  <c r="L107" i="1"/>
  <c r="L106" i="1"/>
  <c r="L105" i="1"/>
  <c r="L104" i="1"/>
  <c r="L103" i="1"/>
  <c r="L102" i="1"/>
  <c r="L101" i="1"/>
  <c r="L100" i="1"/>
  <c r="L99" i="1"/>
  <c r="L98" i="1"/>
  <c r="L97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L3" i="1"/>
  <c r="L2" i="1"/>
  <c r="I161" i="1"/>
  <c r="I160" i="1"/>
  <c r="I159" i="1"/>
  <c r="I158" i="1"/>
  <c r="I157" i="1"/>
  <c r="I156" i="1"/>
  <c r="I155" i="1"/>
  <c r="I154" i="1"/>
  <c r="I153" i="1"/>
  <c r="I152" i="1"/>
  <c r="I151" i="1"/>
  <c r="I150" i="1"/>
  <c r="I149" i="1"/>
  <c r="I148" i="1"/>
  <c r="I147" i="1"/>
  <c r="I146" i="1"/>
  <c r="I145" i="1"/>
  <c r="I144" i="1"/>
  <c r="I143" i="1"/>
  <c r="I142" i="1"/>
  <c r="I141" i="1"/>
  <c r="I140" i="1"/>
  <c r="I139" i="1"/>
  <c r="I138" i="1"/>
  <c r="I137" i="1"/>
  <c r="I136" i="1"/>
  <c r="I135" i="1"/>
  <c r="I134" i="1"/>
  <c r="I133" i="1"/>
  <c r="I132" i="1"/>
  <c r="I131" i="1"/>
  <c r="I130" i="1"/>
  <c r="I129" i="1"/>
  <c r="I128" i="1"/>
  <c r="I127" i="1"/>
  <c r="I126" i="1"/>
  <c r="I125" i="1"/>
  <c r="I124" i="1"/>
  <c r="I123" i="1"/>
  <c r="I122" i="1"/>
  <c r="I121" i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<sst xmlns="http://schemas.openxmlformats.org/spreadsheetml/2006/main" count="1007" uniqueCount="292">
  <si>
    <t>OrderID</t>
  </si>
  <si>
    <t>OrderDate</t>
  </si>
  <si>
    <t>CustomerName</t>
  </si>
  <si>
    <t>Region</t>
  </si>
  <si>
    <t>Category</t>
  </si>
  <si>
    <t>Product</t>
  </si>
  <si>
    <t>Quantity</t>
  </si>
  <si>
    <t>UnitPrice</t>
  </si>
  <si>
    <t>TotalAmount</t>
  </si>
  <si>
    <t>PaymentMethod</t>
  </si>
  <si>
    <t>ORD4001</t>
  </si>
  <si>
    <t>Reyansh Verma</t>
  </si>
  <si>
    <t>South</t>
  </si>
  <si>
    <t>Grocery</t>
  </si>
  <si>
    <t>Oats Pack</t>
  </si>
  <si>
    <t>Debit Card</t>
  </si>
  <si>
    <t>ORD4002</t>
  </si>
  <si>
    <t>Krish Reddy</t>
  </si>
  <si>
    <t>Apparel</t>
  </si>
  <si>
    <t>Denim Jacket</t>
  </si>
  <si>
    <t>UPI</t>
  </si>
  <si>
    <t>ORD4003</t>
  </si>
  <si>
    <t>Krish Malhotra</t>
  </si>
  <si>
    <t>East</t>
  </si>
  <si>
    <t>Electronics</t>
  </si>
  <si>
    <t>USB-C Cable</t>
  </si>
  <si>
    <t>Cash on Delivery</t>
  </si>
  <si>
    <t>ORD4004</t>
  </si>
  <si>
    <t>Saanvi Mehta</t>
  </si>
  <si>
    <t>Central</t>
  </si>
  <si>
    <t>ORD4005</t>
  </si>
  <si>
    <t>Arjun Reddy</t>
  </si>
  <si>
    <t>West</t>
  </si>
  <si>
    <t>Home</t>
  </si>
  <si>
    <t>Photo Frame</t>
  </si>
  <si>
    <t>Credit Card</t>
  </si>
  <si>
    <t>ORD4006</t>
  </si>
  <si>
    <t>Wesley Patel</t>
  </si>
  <si>
    <t>Stationery</t>
  </si>
  <si>
    <t>Sticky Notes</t>
  </si>
  <si>
    <t>ORD4007</t>
  </si>
  <si>
    <t>Wesley Verma</t>
  </si>
  <si>
    <t>Gel Pen Set</t>
  </si>
  <si>
    <t>ORD4008</t>
  </si>
  <si>
    <t>Aryan Kapoor</t>
  </si>
  <si>
    <t>Webcam</t>
  </si>
  <si>
    <t>ORD4009</t>
  </si>
  <si>
    <t>Arjun Chopra</t>
  </si>
  <si>
    <t>Storage Box</t>
  </si>
  <si>
    <t>ORD4010</t>
  </si>
  <si>
    <t>Ishaan Sharma</t>
  </si>
  <si>
    <t>Honey Jar</t>
  </si>
  <si>
    <t>ORD4011</t>
  </si>
  <si>
    <t>Navya Kapoor</t>
  </si>
  <si>
    <t>North</t>
  </si>
  <si>
    <t>Wall Clock</t>
  </si>
  <si>
    <t>ORD4012</t>
  </si>
  <si>
    <t>Anika Malhotra</t>
  </si>
  <si>
    <t>Highlighter Pack</t>
  </si>
  <si>
    <t>ORD4013</t>
  </si>
  <si>
    <t>Aditya Joshi</t>
  </si>
  <si>
    <t>Notebook</t>
  </si>
  <si>
    <t>ORD4014</t>
  </si>
  <si>
    <t>Kiara Patel</t>
  </si>
  <si>
    <t>ORD4015</t>
  </si>
  <si>
    <t>ORD4016</t>
  </si>
  <si>
    <t>Ayaan Nair</t>
  </si>
  <si>
    <t>Running Shoes</t>
  </si>
  <si>
    <t>ORD4017</t>
  </si>
  <si>
    <t>Laptop Stand</t>
  </si>
  <si>
    <t>ORD4018</t>
  </si>
  <si>
    <t>Myra Reddy</t>
  </si>
  <si>
    <t>ORD4019</t>
  </si>
  <si>
    <t>Net Banking</t>
  </si>
  <si>
    <t>ORD4020</t>
  </si>
  <si>
    <t>Aarav Patel</t>
  </si>
  <si>
    <t>ORD4021</t>
  </si>
  <si>
    <t>ORD4022</t>
  </si>
  <si>
    <t>Diya Bhatt</t>
  </si>
  <si>
    <t>Table Lamp</t>
  </si>
  <si>
    <t>ORD4023</t>
  </si>
  <si>
    <t>Aryan Reddy</t>
  </si>
  <si>
    <t>ORD4024</t>
  </si>
  <si>
    <t>Navya Sharma</t>
  </si>
  <si>
    <t>ORD4025</t>
  </si>
  <si>
    <t>Arjun Kapoor</t>
  </si>
  <si>
    <t>ORD4026</t>
  </si>
  <si>
    <t>Almonds 500g</t>
  </si>
  <si>
    <t>ORD4027</t>
  </si>
  <si>
    <t>ORD4028</t>
  </si>
  <si>
    <t>Riya Mehta</t>
  </si>
  <si>
    <t>ORD4029</t>
  </si>
  <si>
    <t>ORD4030</t>
  </si>
  <si>
    <t>Anika Joshi</t>
  </si>
  <si>
    <t>Bluetooth Speaker</t>
  </si>
  <si>
    <t>ORD4031</t>
  </si>
  <si>
    <t>Saanvi Malhotra</t>
  </si>
  <si>
    <t>Green Tea Pack</t>
  </si>
  <si>
    <t>ORD4032</t>
  </si>
  <si>
    <t>Vivaan Rao</t>
  </si>
  <si>
    <t>ORD4033</t>
  </si>
  <si>
    <t>Ira Mehta</t>
  </si>
  <si>
    <t>ORD4034</t>
  </si>
  <si>
    <t>Navya Patel</t>
  </si>
  <si>
    <t>ORD4035</t>
  </si>
  <si>
    <t>Ira Kumar</t>
  </si>
  <si>
    <t>ORD4036</t>
  </si>
  <si>
    <t>ORD4037</t>
  </si>
  <si>
    <t>Rohan Gupta</t>
  </si>
  <si>
    <t>ORD4038</t>
  </si>
  <si>
    <t>Navya Bhatt</t>
  </si>
  <si>
    <t>ORD4039</t>
  </si>
  <si>
    <t>Myra Iyer</t>
  </si>
  <si>
    <t>ORD4040</t>
  </si>
  <si>
    <t>ORD4041</t>
  </si>
  <si>
    <t>ORD4042</t>
  </si>
  <si>
    <t>ORD4043</t>
  </si>
  <si>
    <t>ORD4044</t>
  </si>
  <si>
    <t>ORD4045</t>
  </si>
  <si>
    <t>ORD4046</t>
  </si>
  <si>
    <t>Wireless Mouse</t>
  </si>
  <si>
    <t>ORD4047</t>
  </si>
  <si>
    <t>Arjun Gupta</t>
  </si>
  <si>
    <t>ORD4048</t>
  </si>
  <si>
    <t>ORD4049</t>
  </si>
  <si>
    <t>Cotton T-Shirt</t>
  </si>
  <si>
    <t>ORD4050</t>
  </si>
  <si>
    <t>Kiara Gupta</t>
  </si>
  <si>
    <t>ORD4051</t>
  </si>
  <si>
    <t>Amara Rao</t>
  </si>
  <si>
    <t>ORD4052</t>
  </si>
  <si>
    <t>ORD4053</t>
  </si>
  <si>
    <t>Cap</t>
  </si>
  <si>
    <t>ORD4054</t>
  </si>
  <si>
    <t>ORD4055</t>
  </si>
  <si>
    <t>Saanvi Verma</t>
  </si>
  <si>
    <t>ORD4056</t>
  </si>
  <si>
    <t>Aditya Gupta</t>
  </si>
  <si>
    <t>Wool Socks</t>
  </si>
  <si>
    <t>ORD4057</t>
  </si>
  <si>
    <t>ORD4058</t>
  </si>
  <si>
    <t>Diya Gupta</t>
  </si>
  <si>
    <t>Desk Organizer</t>
  </si>
  <si>
    <t>ORD4059</t>
  </si>
  <si>
    <t>ORD4060</t>
  </si>
  <si>
    <t>ORD4061</t>
  </si>
  <si>
    <t>ORD4062</t>
  </si>
  <si>
    <t>Meera Patel</t>
  </si>
  <si>
    <t>ORD4063</t>
  </si>
  <si>
    <t>ORD4064</t>
  </si>
  <si>
    <t>ORD4065</t>
  </si>
  <si>
    <t>Reyansh Joshi</t>
  </si>
  <si>
    <t>ORD4066</t>
  </si>
  <si>
    <t>ORD4067</t>
  </si>
  <si>
    <t>ORD4068</t>
  </si>
  <si>
    <t>Olive Oil 1L</t>
  </si>
  <si>
    <t>ORD4069</t>
  </si>
  <si>
    <t>ORD4070</t>
  </si>
  <si>
    <t>ORD4071</t>
  </si>
  <si>
    <t>ORD4072</t>
  </si>
  <si>
    <t>Aadhya Reddy</t>
  </si>
  <si>
    <t>Walnut Pack</t>
  </si>
  <si>
    <t>ORD4073</t>
  </si>
  <si>
    <t>Reyansh Patel</t>
  </si>
  <si>
    <t>ORD4074</t>
  </si>
  <si>
    <t>ORD4075</t>
  </si>
  <si>
    <t>ORD4076</t>
  </si>
  <si>
    <t>ORD4077</t>
  </si>
  <si>
    <t>ORD4078</t>
  </si>
  <si>
    <t>ORD4079</t>
  </si>
  <si>
    <t>ORD4080</t>
  </si>
  <si>
    <t>ORD4081</t>
  </si>
  <si>
    <t>ORD4082</t>
  </si>
  <si>
    <t>ORD4083</t>
  </si>
  <si>
    <t>ORD4084</t>
  </si>
  <si>
    <t>ORD4085</t>
  </si>
  <si>
    <t>ORD4086</t>
  </si>
  <si>
    <t>ORD4087</t>
  </si>
  <si>
    <t>ORD4088</t>
  </si>
  <si>
    <t>ORD4089</t>
  </si>
  <si>
    <t>ORD4090</t>
  </si>
  <si>
    <t>ORD4091</t>
  </si>
  <si>
    <t>Vivaan Singh</t>
  </si>
  <si>
    <t>ORD4092</t>
  </si>
  <si>
    <t>ORD4093</t>
  </si>
  <si>
    <t>ORD4094</t>
  </si>
  <si>
    <t>Cushion Cover</t>
  </si>
  <si>
    <t>ORD4095</t>
  </si>
  <si>
    <t>ORD4096</t>
  </si>
  <si>
    <t>ORD4097</t>
  </si>
  <si>
    <t>ORD4098</t>
  </si>
  <si>
    <t>ORD4099</t>
  </si>
  <si>
    <t>ORD4100</t>
  </si>
  <si>
    <t>ORD4101</t>
  </si>
  <si>
    <t>ORD4102</t>
  </si>
  <si>
    <t>Ishaan Mehta</t>
  </si>
  <si>
    <t>ORD4103</t>
  </si>
  <si>
    <t>ORD4104</t>
  </si>
  <si>
    <t>ORD4105</t>
  </si>
  <si>
    <t>ORD4106</t>
  </si>
  <si>
    <t>ORD4107</t>
  </si>
  <si>
    <t>ORD4108</t>
  </si>
  <si>
    <t>Rohan Reddy</t>
  </si>
  <si>
    <t>ORD4109</t>
  </si>
  <si>
    <t>ORD4110</t>
  </si>
  <si>
    <t>ORD4111</t>
  </si>
  <si>
    <t>ORD4112</t>
  </si>
  <si>
    <t>ORD4113</t>
  </si>
  <si>
    <t>ORD4114</t>
  </si>
  <si>
    <t>ORD4115</t>
  </si>
  <si>
    <t>Arjun Mehta</t>
  </si>
  <si>
    <t>ORD4116</t>
  </si>
  <si>
    <t>ORD4117</t>
  </si>
  <si>
    <t>ORD4118</t>
  </si>
  <si>
    <t>ORD4119</t>
  </si>
  <si>
    <t>ORD4120</t>
  </si>
  <si>
    <t>ORD4121</t>
  </si>
  <si>
    <t>ORD4122</t>
  </si>
  <si>
    <t>ORD4123</t>
  </si>
  <si>
    <t>ORD4124</t>
  </si>
  <si>
    <t>ORD4125</t>
  </si>
  <si>
    <t>ORD4126</t>
  </si>
  <si>
    <t>ORD4127</t>
  </si>
  <si>
    <t>ORD4128</t>
  </si>
  <si>
    <t>ORD4129</t>
  </si>
  <si>
    <t>ORD4130</t>
  </si>
  <si>
    <t>ORD4131</t>
  </si>
  <si>
    <t>ORD4132</t>
  </si>
  <si>
    <t>ORD4133</t>
  </si>
  <si>
    <t>ORD4134</t>
  </si>
  <si>
    <t>ORD4135</t>
  </si>
  <si>
    <t>ORD4136</t>
  </si>
  <si>
    <t>ORD4137</t>
  </si>
  <si>
    <t>ORD4138</t>
  </si>
  <si>
    <t>ORD4139</t>
  </si>
  <si>
    <t>ORD4140</t>
  </si>
  <si>
    <t>ORD4141</t>
  </si>
  <si>
    <t>ORD4142</t>
  </si>
  <si>
    <t>ORD4143</t>
  </si>
  <si>
    <t>ORD4144</t>
  </si>
  <si>
    <t>ORD4145</t>
  </si>
  <si>
    <t>ORD4146</t>
  </si>
  <si>
    <t>ORD4147</t>
  </si>
  <si>
    <t>ORD4148</t>
  </si>
  <si>
    <t>ORD4149</t>
  </si>
  <si>
    <t>ORD4150</t>
  </si>
  <si>
    <t>ORD4151</t>
  </si>
  <si>
    <t>ORD4152</t>
  </si>
  <si>
    <t>ORD4153</t>
  </si>
  <si>
    <t>ORD4154</t>
  </si>
  <si>
    <t>ORD4155</t>
  </si>
  <si>
    <t>ORD4156</t>
  </si>
  <si>
    <t>ORD4157</t>
  </si>
  <si>
    <t>ORD4158</t>
  </si>
  <si>
    <t>ORD4159</t>
  </si>
  <si>
    <t>ORD4160</t>
  </si>
  <si>
    <t>#</t>
  </si>
  <si>
    <t>Question</t>
  </si>
  <si>
    <t>Your Formula / Answer</t>
  </si>
  <si>
    <t>Find the total revenue for the entire year 2025.</t>
  </si>
  <si>
    <t>Find the total number of orders placed.</t>
  </si>
  <si>
    <t>Find the average order value (TotalAmount) across all orders.</t>
  </si>
  <si>
    <t>Find the median order value across all orders (use MEDIAN).</t>
  </si>
  <si>
    <t>Find the most commonly used PaymentMethod (the 'mode' of a text column — use INDEX/MATCH/MAX with COUNTIF or UNIQUE).</t>
  </si>
  <si>
    <t>Find the standard deviation of order values, to understand how spread out order sizes are (use STDEV.P).</t>
  </si>
  <si>
    <t>Find the total revenue from the top 10 highest-value orders (use LARGE, ideally with SEQUENCE).</t>
  </si>
  <si>
    <t>Round the average UnitPrice to the nearest whole number (use ROUND).</t>
  </si>
  <si>
    <t>Round DOWN the total revenue for the year to the nearest thousand (use ROUNDDOWN).</t>
  </si>
  <si>
    <t>Find total revenue for all orders placed on a Monday (use TEXT or WEEKDAY).</t>
  </si>
  <si>
    <t>Find the number of working/business days (excluding weekends) between the earliest and latest order date (use NETWORKDAYS).</t>
  </si>
  <si>
    <t>Combine all unique Region names into a single comma-separated string, e.g. 'North, South, East...' (use TEXTJOIN with UNIQUE).</t>
  </si>
  <si>
    <t>Find total revenue from orders where the CustomerName contains 'an' anywhere in it (wildcard match).</t>
  </si>
  <si>
    <t>Count how many orders have a Product name starting with the letter 'W' (wildcard COUNTIF).</t>
  </si>
  <si>
    <t>Find the average Quantity per order specifically within the 'Apparel' category.</t>
  </si>
  <si>
    <t>Count how many orders have a TotalAmount that is an exact whole number (no decimal part) — use MOD.</t>
  </si>
  <si>
    <t>Find the day name (e.g. 'Monday') of the very first order's date.</t>
  </si>
  <si>
    <t>Find how many orders were placed in Q3 2025 (July–September).</t>
  </si>
  <si>
    <t>Identify which Region generated the LOWEST total revenue (return the region name).</t>
  </si>
  <si>
    <t>Find the CustomerName associated with the single LOWEST order value in the dataset.</t>
  </si>
  <si>
    <t>Calculate what percentage of total revenue came from Credit Card payments.</t>
  </si>
  <si>
    <t>Find the cumulative (running) total of TotalAmount for just the first 5 orders (rows 2 to 6).</t>
  </si>
  <si>
    <t>Find the difference in total revenue between the North region and the South region.</t>
  </si>
  <si>
    <t>Check whether the first order's TotalAmount ranks in the top 10 highest orders overall — return TRUE or FALSE.</t>
  </si>
  <si>
    <t>Find the most common Quantity value ordered (the mode of a numeric column — use MODE.SNGL), and how many orders had that quantity.</t>
  </si>
  <si>
    <t>Using SUMIFS, find total revenue for orders that are 'Electronics' category, paid via 'Credit Card', with Quantity greater than 3.</t>
  </si>
  <si>
    <t>Extract just the day-of-month number (1-31) from the first order's OrderDate (use DAY).</t>
  </si>
  <si>
    <t>Find how many orders fall within the last 30 days of the dataset's date range (relative to the latest OrderDate).</t>
  </si>
  <si>
    <t>Note: All questions refer to the 'Data' sheet (range A2:J161). All order dates fall within 2025.</t>
  </si>
  <si>
    <t>year</t>
  </si>
  <si>
    <t>avg</t>
  </si>
  <si>
    <t>weekday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</si>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</sst>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 x14ac:knownFonts="1">
    <font>
      <sz val="11"/>
      <color theme="1"/>
      <name val="Calibri"/>
      <family val="2"/>
      <charset val="1"/>
    </font>
    <font>
      <sz val="10"/>
      <name val="Arial"/>
    </font>
    <font>
      <b/>
      <sz val="11"/>
      <name val="Cambria"/>
      <charset val="1"/>
    </font>
    <font>
      <i/>
      <sz val="11"/>
      <name val="Cambria"/>
      <charset val="1"/>
    </font>
  </fonts>
  <fills count="3">
    <fill>
      <patternFill patternType="none"/>
    </fill>
    <fill>
      <patternFill patternType="gray125"/>
    </fill>
    <fill>
      <patternFill patternType="solid">
        <fgColor rgb="FF66FF9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Border="0" applyAlignment="0" applyProtection="0"/>
  </cellStyleXfs>
  <cellXfs count="7">
    <xf numFmtId="0" fontId="0" fillId="0" borderId="0" xfId="0"/>
    <xf numFmtId="164" fontId="0" fillId="0" borderId="0" xfId="0" applyNumberFormat="1"/>
    <xf numFmtId="4" fontId="0" fillId="0" borderId="0" xfId="0" applyNumberFormat="1"/>
    <xf numFmtId="0" fontId="3" fillId="0" borderId="0" xfId="0" applyFont="1"/>
    <xf numFmtId="0" fontId="2" fillId="2" borderId="0" xfId="0" applyFont="1" applyFill="1"/>
    <xf numFmtId="3" fontId="0" fillId="0" borderId="0" xfId="0" applyNumberFormat="1"/>
    <xf numFmtId="9" fontId="1" fillId="0" borderId="0" xfId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66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61"/>
  <sheetViews>
    <sheetView zoomScaleNormal="100" workbookViewId="0">
      <selection activeCell="D1" sqref="D1"/>
    </sheetView>
  </sheetViews>
  <sheetFormatPr defaultColWidth="8.6640625" defaultRowHeight="14.4" x14ac:dyDescent="0.3"/>
  <cols>
    <col min="1" max="1" width="8.6640625" bestFit="1" customWidth="1"/>
    <col min="2" max="2" width="11" bestFit="1" customWidth="1"/>
    <col min="3" max="3" width="15.33203125" bestFit="1" customWidth="1"/>
    <col min="4" max="4" width="7.44140625" bestFit="1" customWidth="1"/>
    <col min="5" max="5" width="9.88671875" bestFit="1" customWidth="1"/>
    <col min="6" max="6" width="16.109375" bestFit="1" customWidth="1"/>
    <col min="7" max="7" width="9.33203125" bestFit="1" customWidth="1"/>
    <col min="8" max="8" width="9.77734375" bestFit="1" customWidth="1"/>
    <col min="9" max="9" width="13.5546875" bestFit="1" customWidth="1"/>
    <col min="10" max="10" width="16.5546875" bestFit="1" customWidth="1"/>
    <col min="13" max="13" width="9" bestFit="1" customWidth="1"/>
    <col min="14" max="14" width="9.44140625" bestFit="1" customWidth="1"/>
  </cols>
  <sheetData>
    <row r="1" spans="1:15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L1" s="4" t="s">
        <v>288</v>
      </c>
      <c r="M1" s="4" t="s">
        <v>289</v>
      </c>
      <c r="N1" s="4" t="s">
        <v>290</v>
      </c>
      <c r="O1" s="4" t="s">
        <v>291</v>
      </c>
    </row>
    <row r="2" spans="1:15" x14ac:dyDescent="0.3">
      <c r="A2" t="s">
        <v>10</v>
      </c>
      <c r="B2" s="1">
        <v>45725</v>
      </c>
      <c r="C2" t="s">
        <v>11</v>
      </c>
      <c r="D2" t="s">
        <v>12</v>
      </c>
      <c r="E2" t="s">
        <v>13</v>
      </c>
      <c r="F2" t="s">
        <v>14</v>
      </c>
      <c r="G2">
        <v>2</v>
      </c>
      <c r="H2" s="2">
        <v>617.94000000000005</v>
      </c>
      <c r="I2" s="2">
        <f t="shared" ref="I2:I33" si="0">G2*H2</f>
        <v>1235.8800000000001</v>
      </c>
      <c r="J2" t="s">
        <v>15</v>
      </c>
      <c r="L2">
        <f>YEAR(B2)</f>
        <v>2025</v>
      </c>
      <c r="M2" s="2">
        <f>AVERAGE(I2:I161)</f>
        <v>13383.893749999999</v>
      </c>
      <c r="N2">
        <f>WEEKDAY(B2)</f>
        <v>1</v>
      </c>
      <c r="O2" s="5">
        <f>MONTH(B2)</f>
        <v>3</v>
      </c>
    </row>
    <row r="3" spans="1:15" x14ac:dyDescent="0.3">
      <c r="A3" t="s">
        <v>16</v>
      </c>
      <c r="B3" s="1">
        <v>45809</v>
      </c>
      <c r="C3" t="s">
        <v>17</v>
      </c>
      <c r="D3" t="s">
        <v>12</v>
      </c>
      <c r="E3" t="s">
        <v>18</v>
      </c>
      <c r="F3" t="s">
        <v>19</v>
      </c>
      <c r="G3">
        <v>4</v>
      </c>
      <c r="H3" s="2">
        <v>4420.09</v>
      </c>
      <c r="I3" s="2">
        <f t="shared" si="0"/>
        <v>17680.36</v>
      </c>
      <c r="J3" t="s">
        <v>20</v>
      </c>
      <c r="L3">
        <f t="shared" ref="L3:L66" si="1">YEAR(B3)</f>
        <v>2025</v>
      </c>
      <c r="M3" s="2">
        <f t="shared" ref="M3:M66" si="2">AVERAGE(I3:I162)</f>
        <v>13460.296352201258</v>
      </c>
      <c r="N3">
        <f t="shared" ref="N3:N66" si="3">WEEKDAY(B3)</f>
        <v>1</v>
      </c>
      <c r="O3" s="5">
        <f t="shared" ref="O3:O66" si="4">MONTH(B3)</f>
        <v>6</v>
      </c>
    </row>
    <row r="4" spans="1:15" x14ac:dyDescent="0.3">
      <c r="A4" t="s">
        <v>21</v>
      </c>
      <c r="B4" s="1">
        <v>45913</v>
      </c>
      <c r="C4" t="s">
        <v>22</v>
      </c>
      <c r="D4" t="s">
        <v>23</v>
      </c>
      <c r="E4" t="s">
        <v>24</v>
      </c>
      <c r="F4" t="s">
        <v>25</v>
      </c>
      <c r="G4">
        <v>3</v>
      </c>
      <c r="H4" s="2">
        <v>3439.87</v>
      </c>
      <c r="I4" s="2">
        <f t="shared" si="0"/>
        <v>10319.61</v>
      </c>
      <c r="J4" t="s">
        <v>26</v>
      </c>
      <c r="L4">
        <f t="shared" si="1"/>
        <v>2025</v>
      </c>
      <c r="M4" s="2">
        <f t="shared" si="2"/>
        <v>13433.587088607597</v>
      </c>
      <c r="N4">
        <f t="shared" si="3"/>
        <v>7</v>
      </c>
      <c r="O4" s="5">
        <f t="shared" si="4"/>
        <v>9</v>
      </c>
    </row>
    <row r="5" spans="1:15" x14ac:dyDescent="0.3">
      <c r="A5" t="s">
        <v>27</v>
      </c>
      <c r="B5" s="1">
        <v>45805</v>
      </c>
      <c r="C5" t="s">
        <v>28</v>
      </c>
      <c r="D5" t="s">
        <v>29</v>
      </c>
      <c r="E5" t="s">
        <v>24</v>
      </c>
      <c r="F5" t="s">
        <v>25</v>
      </c>
      <c r="G5">
        <v>4</v>
      </c>
      <c r="H5" s="2">
        <v>1978.33</v>
      </c>
      <c r="I5" s="2">
        <f t="shared" si="0"/>
        <v>7913.32</v>
      </c>
      <c r="J5" t="s">
        <v>20</v>
      </c>
      <c r="L5">
        <f t="shared" si="1"/>
        <v>2025</v>
      </c>
      <c r="M5" s="2">
        <f t="shared" si="2"/>
        <v>13453.421337579621</v>
      </c>
      <c r="N5">
        <f t="shared" si="3"/>
        <v>4</v>
      </c>
      <c r="O5" s="5">
        <f t="shared" si="4"/>
        <v>5</v>
      </c>
    </row>
    <row r="6" spans="1:15" x14ac:dyDescent="0.3">
      <c r="A6" t="s">
        <v>30</v>
      </c>
      <c r="B6" s="1">
        <v>45862</v>
      </c>
      <c r="C6" t="s">
        <v>31</v>
      </c>
      <c r="D6" t="s">
        <v>32</v>
      </c>
      <c r="E6" t="s">
        <v>33</v>
      </c>
      <c r="F6" t="s">
        <v>34</v>
      </c>
      <c r="G6">
        <v>2</v>
      </c>
      <c r="H6" s="2">
        <v>1028.94</v>
      </c>
      <c r="I6" s="2">
        <f t="shared" si="0"/>
        <v>2057.88</v>
      </c>
      <c r="J6" t="s">
        <v>35</v>
      </c>
      <c r="L6">
        <f t="shared" si="1"/>
        <v>2025</v>
      </c>
      <c r="M6" s="2">
        <f t="shared" si="2"/>
        <v>13488.934807692311</v>
      </c>
      <c r="N6">
        <f t="shared" si="3"/>
        <v>5</v>
      </c>
      <c r="O6" s="5">
        <f t="shared" si="4"/>
        <v>7</v>
      </c>
    </row>
    <row r="7" spans="1:15" x14ac:dyDescent="0.3">
      <c r="A7" t="s">
        <v>36</v>
      </c>
      <c r="B7" s="1">
        <v>45848</v>
      </c>
      <c r="C7" t="s">
        <v>37</v>
      </c>
      <c r="D7" t="s">
        <v>32</v>
      </c>
      <c r="E7" t="s">
        <v>38</v>
      </c>
      <c r="F7" t="s">
        <v>39</v>
      </c>
      <c r="G7">
        <v>4</v>
      </c>
      <c r="H7" s="2">
        <v>3318.81</v>
      </c>
      <c r="I7" s="2">
        <f t="shared" si="0"/>
        <v>13275.24</v>
      </c>
      <c r="J7" t="s">
        <v>20</v>
      </c>
      <c r="L7">
        <f t="shared" si="1"/>
        <v>2025</v>
      </c>
      <c r="M7" s="2">
        <f t="shared" si="2"/>
        <v>13562.683548387098</v>
      </c>
      <c r="N7">
        <f t="shared" si="3"/>
        <v>5</v>
      </c>
      <c r="O7" s="5">
        <f t="shared" si="4"/>
        <v>7</v>
      </c>
    </row>
    <row r="8" spans="1:15" x14ac:dyDescent="0.3">
      <c r="A8" t="s">
        <v>40</v>
      </c>
      <c r="B8" s="1">
        <v>45712</v>
      </c>
      <c r="C8" t="s">
        <v>41</v>
      </c>
      <c r="D8" t="s">
        <v>23</v>
      </c>
      <c r="E8" t="s">
        <v>38</v>
      </c>
      <c r="F8" t="s">
        <v>42</v>
      </c>
      <c r="G8">
        <v>7</v>
      </c>
      <c r="H8" s="2">
        <v>1587.43</v>
      </c>
      <c r="I8" s="2">
        <f t="shared" si="0"/>
        <v>11112.01</v>
      </c>
      <c r="J8" t="s">
        <v>35</v>
      </c>
      <c r="L8">
        <f t="shared" si="1"/>
        <v>2025</v>
      </c>
      <c r="M8" s="2">
        <f t="shared" si="2"/>
        <v>13564.550064935067</v>
      </c>
      <c r="N8">
        <f t="shared" si="3"/>
        <v>2</v>
      </c>
      <c r="O8" s="5">
        <f t="shared" si="4"/>
        <v>2</v>
      </c>
    </row>
    <row r="9" spans="1:15" x14ac:dyDescent="0.3">
      <c r="A9" t="s">
        <v>43</v>
      </c>
      <c r="B9" s="1">
        <v>45882</v>
      </c>
      <c r="C9" t="s">
        <v>44</v>
      </c>
      <c r="D9" t="s">
        <v>23</v>
      </c>
      <c r="E9" t="s">
        <v>24</v>
      </c>
      <c r="F9" t="s">
        <v>45</v>
      </c>
      <c r="G9">
        <v>5</v>
      </c>
      <c r="H9" s="2">
        <v>4549.95</v>
      </c>
      <c r="I9" s="2">
        <f t="shared" si="0"/>
        <v>22749.75</v>
      </c>
      <c r="J9" t="s">
        <v>20</v>
      </c>
      <c r="L9">
        <f t="shared" si="1"/>
        <v>2025</v>
      </c>
      <c r="M9" s="2">
        <f t="shared" si="2"/>
        <v>13580.579738562094</v>
      </c>
      <c r="N9">
        <f t="shared" si="3"/>
        <v>4</v>
      </c>
      <c r="O9" s="5">
        <f t="shared" si="4"/>
        <v>8</v>
      </c>
    </row>
    <row r="10" spans="1:15" x14ac:dyDescent="0.3">
      <c r="A10" t="s">
        <v>46</v>
      </c>
      <c r="B10" s="1">
        <v>45902</v>
      </c>
      <c r="C10" t="s">
        <v>47</v>
      </c>
      <c r="D10" t="s">
        <v>12</v>
      </c>
      <c r="E10" t="s">
        <v>33</v>
      </c>
      <c r="F10" t="s">
        <v>48</v>
      </c>
      <c r="G10">
        <v>5</v>
      </c>
      <c r="H10" s="2">
        <v>2135.2600000000002</v>
      </c>
      <c r="I10" s="2">
        <f t="shared" si="0"/>
        <v>10676.300000000001</v>
      </c>
      <c r="J10" t="s">
        <v>26</v>
      </c>
      <c r="L10">
        <f t="shared" si="1"/>
        <v>2025</v>
      </c>
      <c r="M10" s="2">
        <f t="shared" si="2"/>
        <v>13520.256250000002</v>
      </c>
      <c r="N10">
        <f t="shared" si="3"/>
        <v>3</v>
      </c>
      <c r="O10" s="5">
        <f t="shared" si="4"/>
        <v>9</v>
      </c>
    </row>
    <row r="11" spans="1:15" x14ac:dyDescent="0.3">
      <c r="A11" t="s">
        <v>49</v>
      </c>
      <c r="B11" s="1">
        <v>45739</v>
      </c>
      <c r="C11" t="s">
        <v>50</v>
      </c>
      <c r="D11" t="s">
        <v>32</v>
      </c>
      <c r="E11" t="s">
        <v>13</v>
      </c>
      <c r="F11" t="s">
        <v>51</v>
      </c>
      <c r="G11">
        <v>8</v>
      </c>
      <c r="H11" s="2">
        <v>1093.19</v>
      </c>
      <c r="I11" s="2">
        <f t="shared" si="0"/>
        <v>8745.52</v>
      </c>
      <c r="J11" t="s">
        <v>20</v>
      </c>
      <c r="L11">
        <f t="shared" si="1"/>
        <v>2025</v>
      </c>
      <c r="M11" s="2">
        <f t="shared" si="2"/>
        <v>13539.090397350996</v>
      </c>
      <c r="N11">
        <f t="shared" si="3"/>
        <v>1</v>
      </c>
      <c r="O11" s="5">
        <f t="shared" si="4"/>
        <v>3</v>
      </c>
    </row>
    <row r="12" spans="1:15" x14ac:dyDescent="0.3">
      <c r="A12" t="s">
        <v>52</v>
      </c>
      <c r="B12" s="1">
        <v>45759</v>
      </c>
      <c r="C12" t="s">
        <v>53</v>
      </c>
      <c r="D12" t="s">
        <v>54</v>
      </c>
      <c r="E12" t="s">
        <v>33</v>
      </c>
      <c r="F12" t="s">
        <v>55</v>
      </c>
      <c r="G12">
        <v>4</v>
      </c>
      <c r="H12" s="2">
        <v>4472.95</v>
      </c>
      <c r="I12" s="2">
        <f t="shared" si="0"/>
        <v>17891.8</v>
      </c>
      <c r="J12" t="s">
        <v>15</v>
      </c>
      <c r="L12">
        <f t="shared" si="1"/>
        <v>2025</v>
      </c>
      <c r="M12" s="2">
        <f t="shared" si="2"/>
        <v>13571.047533333336</v>
      </c>
      <c r="N12">
        <f t="shared" si="3"/>
        <v>7</v>
      </c>
      <c r="O12" s="5">
        <f t="shared" si="4"/>
        <v>4</v>
      </c>
    </row>
    <row r="13" spans="1:15" x14ac:dyDescent="0.3">
      <c r="A13" t="s">
        <v>56</v>
      </c>
      <c r="B13" s="1">
        <v>45985</v>
      </c>
      <c r="C13" t="s">
        <v>57</v>
      </c>
      <c r="D13" t="s">
        <v>32</v>
      </c>
      <c r="E13" t="s">
        <v>38</v>
      </c>
      <c r="F13" t="s">
        <v>58</v>
      </c>
      <c r="G13">
        <v>6</v>
      </c>
      <c r="H13" s="2">
        <v>3334.3</v>
      </c>
      <c r="I13" s="2">
        <f t="shared" si="0"/>
        <v>20005.800000000003</v>
      </c>
      <c r="J13" t="s">
        <v>35</v>
      </c>
      <c r="L13">
        <f t="shared" si="1"/>
        <v>2025</v>
      </c>
      <c r="M13" s="2">
        <f t="shared" si="2"/>
        <v>13542.049194630874</v>
      </c>
      <c r="N13">
        <f t="shared" si="3"/>
        <v>2</v>
      </c>
      <c r="O13" s="5">
        <f t="shared" si="4"/>
        <v>11</v>
      </c>
    </row>
    <row r="14" spans="1:15" x14ac:dyDescent="0.3">
      <c r="A14" t="s">
        <v>59</v>
      </c>
      <c r="B14" s="1">
        <v>45715</v>
      </c>
      <c r="C14" t="s">
        <v>60</v>
      </c>
      <c r="D14" t="s">
        <v>29</v>
      </c>
      <c r="E14" t="s">
        <v>38</v>
      </c>
      <c r="F14" t="s">
        <v>61</v>
      </c>
      <c r="G14">
        <v>9</v>
      </c>
      <c r="H14" s="2">
        <v>1656.09</v>
      </c>
      <c r="I14" s="2">
        <f t="shared" si="0"/>
        <v>14904.81</v>
      </c>
      <c r="J14" t="s">
        <v>15</v>
      </c>
      <c r="L14">
        <f t="shared" si="1"/>
        <v>2025</v>
      </c>
      <c r="M14" s="2">
        <f t="shared" si="2"/>
        <v>13498.375202702704</v>
      </c>
      <c r="N14">
        <f t="shared" si="3"/>
        <v>5</v>
      </c>
      <c r="O14" s="5">
        <f t="shared" si="4"/>
        <v>2</v>
      </c>
    </row>
    <row r="15" spans="1:15" x14ac:dyDescent="0.3">
      <c r="A15" t="s">
        <v>62</v>
      </c>
      <c r="B15" s="1">
        <v>45919</v>
      </c>
      <c r="C15" t="s">
        <v>63</v>
      </c>
      <c r="D15" t="s">
        <v>12</v>
      </c>
      <c r="E15" t="s">
        <v>33</v>
      </c>
      <c r="F15" t="s">
        <v>48</v>
      </c>
      <c r="G15">
        <v>8</v>
      </c>
      <c r="H15" s="2">
        <v>2867.81</v>
      </c>
      <c r="I15" s="2">
        <f t="shared" si="0"/>
        <v>22942.48</v>
      </c>
      <c r="J15" t="s">
        <v>26</v>
      </c>
      <c r="L15">
        <f t="shared" si="1"/>
        <v>2025</v>
      </c>
      <c r="M15" s="2">
        <f t="shared" si="2"/>
        <v>13488.807619047619</v>
      </c>
      <c r="N15">
        <f t="shared" si="3"/>
        <v>6</v>
      </c>
      <c r="O15" s="5">
        <f t="shared" si="4"/>
        <v>9</v>
      </c>
    </row>
    <row r="16" spans="1:15" x14ac:dyDescent="0.3">
      <c r="A16" t="s">
        <v>64</v>
      </c>
      <c r="B16" s="1">
        <v>45981</v>
      </c>
      <c r="C16" t="s">
        <v>11</v>
      </c>
      <c r="D16" t="s">
        <v>23</v>
      </c>
      <c r="E16" t="s">
        <v>38</v>
      </c>
      <c r="F16" t="s">
        <v>61</v>
      </c>
      <c r="G16">
        <v>2</v>
      </c>
      <c r="H16" s="2">
        <v>4060.93</v>
      </c>
      <c r="I16" s="2">
        <f t="shared" si="0"/>
        <v>8121.86</v>
      </c>
      <c r="J16" t="s">
        <v>35</v>
      </c>
      <c r="L16">
        <f t="shared" si="1"/>
        <v>2025</v>
      </c>
      <c r="M16" s="2">
        <f t="shared" si="2"/>
        <v>13424.056438356165</v>
      </c>
      <c r="N16">
        <f t="shared" si="3"/>
        <v>5</v>
      </c>
      <c r="O16" s="5">
        <f t="shared" si="4"/>
        <v>11</v>
      </c>
    </row>
    <row r="17" spans="1:15" x14ac:dyDescent="0.3">
      <c r="A17" t="s">
        <v>65</v>
      </c>
      <c r="B17" s="1">
        <v>45955</v>
      </c>
      <c r="C17" t="s">
        <v>66</v>
      </c>
      <c r="D17" t="s">
        <v>54</v>
      </c>
      <c r="E17" t="s">
        <v>18</v>
      </c>
      <c r="F17" t="s">
        <v>67</v>
      </c>
      <c r="G17">
        <v>6</v>
      </c>
      <c r="H17" s="2">
        <v>4858.43</v>
      </c>
      <c r="I17" s="2">
        <f t="shared" si="0"/>
        <v>29150.58</v>
      </c>
      <c r="J17" t="s">
        <v>26</v>
      </c>
      <c r="L17">
        <f t="shared" si="1"/>
        <v>2025</v>
      </c>
      <c r="M17" s="2">
        <f t="shared" si="2"/>
        <v>13460.623310344828</v>
      </c>
      <c r="N17">
        <f t="shared" si="3"/>
        <v>7</v>
      </c>
      <c r="O17" s="5">
        <f t="shared" si="4"/>
        <v>10</v>
      </c>
    </row>
    <row r="18" spans="1:15" x14ac:dyDescent="0.3">
      <c r="A18" t="s">
        <v>68</v>
      </c>
      <c r="B18" s="1">
        <v>45952</v>
      </c>
      <c r="C18" t="s">
        <v>50</v>
      </c>
      <c r="D18" t="s">
        <v>12</v>
      </c>
      <c r="E18" t="s">
        <v>24</v>
      </c>
      <c r="F18" t="s">
        <v>69</v>
      </c>
      <c r="G18">
        <v>7</v>
      </c>
      <c r="H18" s="2">
        <v>3977.85</v>
      </c>
      <c r="I18" s="2">
        <f t="shared" si="0"/>
        <v>27844.95</v>
      </c>
      <c r="J18" t="s">
        <v>20</v>
      </c>
      <c r="L18">
        <f t="shared" si="1"/>
        <v>2025</v>
      </c>
      <c r="M18" s="2">
        <f t="shared" si="2"/>
        <v>13351.66527777778</v>
      </c>
      <c r="N18">
        <f t="shared" si="3"/>
        <v>4</v>
      </c>
      <c r="O18" s="5">
        <f t="shared" si="4"/>
        <v>10</v>
      </c>
    </row>
    <row r="19" spans="1:15" x14ac:dyDescent="0.3">
      <c r="A19" t="s">
        <v>70</v>
      </c>
      <c r="B19" s="1">
        <v>45893</v>
      </c>
      <c r="C19" t="s">
        <v>71</v>
      </c>
      <c r="D19" t="s">
        <v>12</v>
      </c>
      <c r="E19" t="s">
        <v>38</v>
      </c>
      <c r="F19" t="s">
        <v>58</v>
      </c>
      <c r="G19">
        <v>7</v>
      </c>
      <c r="H19" s="2">
        <v>2178.09</v>
      </c>
      <c r="I19" s="2">
        <f t="shared" si="0"/>
        <v>15246.630000000001</v>
      </c>
      <c r="J19" t="s">
        <v>15</v>
      </c>
      <c r="L19">
        <f t="shared" si="1"/>
        <v>2025</v>
      </c>
      <c r="M19" s="2">
        <f t="shared" si="2"/>
        <v>13250.313636363637</v>
      </c>
      <c r="N19">
        <f t="shared" si="3"/>
        <v>1</v>
      </c>
      <c r="O19" s="5">
        <f t="shared" si="4"/>
        <v>8</v>
      </c>
    </row>
    <row r="20" spans="1:15" x14ac:dyDescent="0.3">
      <c r="A20" t="s">
        <v>72</v>
      </c>
      <c r="B20" s="1">
        <v>45842</v>
      </c>
      <c r="C20" t="s">
        <v>57</v>
      </c>
      <c r="D20" t="s">
        <v>12</v>
      </c>
      <c r="E20" t="s">
        <v>33</v>
      </c>
      <c r="F20" t="s">
        <v>48</v>
      </c>
      <c r="G20">
        <v>10</v>
      </c>
      <c r="H20" s="2">
        <v>4245.08</v>
      </c>
      <c r="I20" s="2">
        <f t="shared" si="0"/>
        <v>42450.8</v>
      </c>
      <c r="J20" t="s">
        <v>73</v>
      </c>
      <c r="L20">
        <f t="shared" si="1"/>
        <v>2025</v>
      </c>
      <c r="M20" s="2">
        <f t="shared" si="2"/>
        <v>13236.255070422536</v>
      </c>
      <c r="N20">
        <f t="shared" si="3"/>
        <v>6</v>
      </c>
      <c r="O20" s="5">
        <f t="shared" si="4"/>
        <v>7</v>
      </c>
    </row>
    <row r="21" spans="1:15" x14ac:dyDescent="0.3">
      <c r="A21" t="s">
        <v>74</v>
      </c>
      <c r="B21" s="1">
        <v>45752</v>
      </c>
      <c r="C21" t="s">
        <v>75</v>
      </c>
      <c r="D21" t="s">
        <v>29</v>
      </c>
      <c r="E21" t="s">
        <v>18</v>
      </c>
      <c r="F21" t="s">
        <v>19</v>
      </c>
      <c r="G21">
        <v>2</v>
      </c>
      <c r="H21" s="2">
        <v>2728.57</v>
      </c>
      <c r="I21" s="2">
        <f t="shared" si="0"/>
        <v>5457.14</v>
      </c>
      <c r="J21" t="s">
        <v>73</v>
      </c>
      <c r="L21">
        <f t="shared" si="1"/>
        <v>2025</v>
      </c>
      <c r="M21" s="2">
        <f t="shared" si="2"/>
        <v>13029.059716312058</v>
      </c>
      <c r="N21">
        <f t="shared" si="3"/>
        <v>7</v>
      </c>
      <c r="O21" s="5">
        <f t="shared" si="4"/>
        <v>4</v>
      </c>
    </row>
    <row r="22" spans="1:15" x14ac:dyDescent="0.3">
      <c r="A22" t="s">
        <v>76</v>
      </c>
      <c r="B22" s="1">
        <v>45925</v>
      </c>
      <c r="C22" t="s">
        <v>28</v>
      </c>
      <c r="D22" t="s">
        <v>54</v>
      </c>
      <c r="E22" t="s">
        <v>33</v>
      </c>
      <c r="F22" t="s">
        <v>48</v>
      </c>
      <c r="G22">
        <v>2</v>
      </c>
      <c r="H22" s="2">
        <v>1778.39</v>
      </c>
      <c r="I22" s="2">
        <f t="shared" si="0"/>
        <v>3556.78</v>
      </c>
      <c r="J22" t="s">
        <v>35</v>
      </c>
      <c r="L22">
        <f t="shared" si="1"/>
        <v>2025</v>
      </c>
      <c r="M22" s="2">
        <f t="shared" si="2"/>
        <v>13083.144857142859</v>
      </c>
      <c r="N22">
        <f t="shared" si="3"/>
        <v>5</v>
      </c>
      <c r="O22" s="5">
        <f t="shared" si="4"/>
        <v>9</v>
      </c>
    </row>
    <row r="23" spans="1:15" x14ac:dyDescent="0.3">
      <c r="A23" t="s">
        <v>77</v>
      </c>
      <c r="B23" s="1">
        <v>45949</v>
      </c>
      <c r="C23" t="s">
        <v>78</v>
      </c>
      <c r="D23" t="s">
        <v>29</v>
      </c>
      <c r="E23" t="s">
        <v>33</v>
      </c>
      <c r="F23" t="s">
        <v>79</v>
      </c>
      <c r="G23">
        <v>10</v>
      </c>
      <c r="H23" s="2">
        <v>1697.56</v>
      </c>
      <c r="I23" s="2">
        <f t="shared" si="0"/>
        <v>16975.599999999999</v>
      </c>
      <c r="J23" t="s">
        <v>20</v>
      </c>
      <c r="L23">
        <f t="shared" si="1"/>
        <v>2025</v>
      </c>
      <c r="M23" s="2">
        <f t="shared" si="2"/>
        <v>13151.67985611511</v>
      </c>
      <c r="N23">
        <f t="shared" si="3"/>
        <v>1</v>
      </c>
      <c r="O23" s="5">
        <f t="shared" si="4"/>
        <v>10</v>
      </c>
    </row>
    <row r="24" spans="1:15" x14ac:dyDescent="0.3">
      <c r="A24" t="s">
        <v>80</v>
      </c>
      <c r="B24" s="1">
        <v>45742</v>
      </c>
      <c r="C24" t="s">
        <v>81</v>
      </c>
      <c r="D24" t="s">
        <v>29</v>
      </c>
      <c r="E24" t="s">
        <v>24</v>
      </c>
      <c r="F24" t="s">
        <v>69</v>
      </c>
      <c r="G24">
        <v>1</v>
      </c>
      <c r="H24" s="2">
        <v>381.62</v>
      </c>
      <c r="I24" s="2">
        <f t="shared" si="0"/>
        <v>381.62</v>
      </c>
      <c r="J24" t="s">
        <v>26</v>
      </c>
      <c r="L24">
        <f t="shared" si="1"/>
        <v>2025</v>
      </c>
      <c r="M24" s="2">
        <f t="shared" si="2"/>
        <v>13123.970289855073</v>
      </c>
      <c r="N24">
        <f t="shared" si="3"/>
        <v>4</v>
      </c>
      <c r="O24" s="5">
        <f t="shared" si="4"/>
        <v>3</v>
      </c>
    </row>
    <row r="25" spans="1:15" x14ac:dyDescent="0.3">
      <c r="A25" t="s">
        <v>82</v>
      </c>
      <c r="B25" s="1">
        <v>45775</v>
      </c>
      <c r="C25" t="s">
        <v>83</v>
      </c>
      <c r="D25" t="s">
        <v>23</v>
      </c>
      <c r="E25" t="s">
        <v>38</v>
      </c>
      <c r="F25" t="s">
        <v>58</v>
      </c>
      <c r="G25">
        <v>1</v>
      </c>
      <c r="H25" s="2">
        <v>3523.36</v>
      </c>
      <c r="I25" s="2">
        <f t="shared" si="0"/>
        <v>3523.36</v>
      </c>
      <c r="J25" t="s">
        <v>73</v>
      </c>
      <c r="L25">
        <f t="shared" si="1"/>
        <v>2025</v>
      </c>
      <c r="M25" s="2">
        <f t="shared" si="2"/>
        <v>13216.980145985402</v>
      </c>
      <c r="N25">
        <f t="shared" si="3"/>
        <v>2</v>
      </c>
      <c r="O25" s="5">
        <f t="shared" si="4"/>
        <v>4</v>
      </c>
    </row>
    <row r="26" spans="1:15" x14ac:dyDescent="0.3">
      <c r="A26" t="s">
        <v>84</v>
      </c>
      <c r="B26" s="1">
        <v>45775</v>
      </c>
      <c r="C26" t="s">
        <v>85</v>
      </c>
      <c r="D26" t="s">
        <v>54</v>
      </c>
      <c r="E26" t="s">
        <v>18</v>
      </c>
      <c r="F26" t="s">
        <v>19</v>
      </c>
      <c r="G26">
        <v>5</v>
      </c>
      <c r="H26" s="2">
        <v>1486.13</v>
      </c>
      <c r="I26" s="2">
        <f t="shared" si="0"/>
        <v>7430.6500000000005</v>
      </c>
      <c r="J26" t="s">
        <v>20</v>
      </c>
      <c r="L26">
        <f t="shared" si="1"/>
        <v>2025</v>
      </c>
      <c r="M26" s="2">
        <f t="shared" si="2"/>
        <v>13288.256764705884</v>
      </c>
      <c r="N26">
        <f t="shared" si="3"/>
        <v>2</v>
      </c>
      <c r="O26" s="5">
        <f t="shared" si="4"/>
        <v>4</v>
      </c>
    </row>
    <row r="27" spans="1:15" x14ac:dyDescent="0.3">
      <c r="A27" t="s">
        <v>86</v>
      </c>
      <c r="B27" s="1">
        <v>45694</v>
      </c>
      <c r="C27" t="s">
        <v>83</v>
      </c>
      <c r="D27" t="s">
        <v>12</v>
      </c>
      <c r="E27" t="s">
        <v>13</v>
      </c>
      <c r="F27" t="s">
        <v>87</v>
      </c>
      <c r="G27">
        <v>6</v>
      </c>
      <c r="H27" s="2">
        <v>3315.1</v>
      </c>
      <c r="I27" s="2">
        <f t="shared" si="0"/>
        <v>19890.599999999999</v>
      </c>
      <c r="J27" t="s">
        <v>26</v>
      </c>
      <c r="L27">
        <f t="shared" si="1"/>
        <v>2025</v>
      </c>
      <c r="M27" s="2">
        <f t="shared" si="2"/>
        <v>13331.646444444446</v>
      </c>
      <c r="N27">
        <f t="shared" si="3"/>
        <v>5</v>
      </c>
      <c r="O27" s="5">
        <f t="shared" si="4"/>
        <v>2</v>
      </c>
    </row>
    <row r="28" spans="1:15" x14ac:dyDescent="0.3">
      <c r="A28" t="s">
        <v>88</v>
      </c>
      <c r="B28" s="1">
        <v>45699</v>
      </c>
      <c r="C28" t="s">
        <v>78</v>
      </c>
      <c r="D28" t="s">
        <v>54</v>
      </c>
      <c r="E28" t="s">
        <v>38</v>
      </c>
      <c r="F28" t="s">
        <v>42</v>
      </c>
      <c r="G28">
        <v>3</v>
      </c>
      <c r="H28" s="2">
        <v>2794.82</v>
      </c>
      <c r="I28" s="2">
        <f t="shared" si="0"/>
        <v>8384.4600000000009</v>
      </c>
      <c r="J28" t="s">
        <v>35</v>
      </c>
      <c r="L28">
        <f t="shared" si="1"/>
        <v>2025</v>
      </c>
      <c r="M28" s="2">
        <f t="shared" si="2"/>
        <v>13282.699029850746</v>
      </c>
      <c r="N28">
        <f t="shared" si="3"/>
        <v>3</v>
      </c>
      <c r="O28" s="5">
        <f t="shared" si="4"/>
        <v>2</v>
      </c>
    </row>
    <row r="29" spans="1:15" x14ac:dyDescent="0.3">
      <c r="A29" t="s">
        <v>89</v>
      </c>
      <c r="B29" s="1">
        <v>45920</v>
      </c>
      <c r="C29" t="s">
        <v>90</v>
      </c>
      <c r="D29" t="s">
        <v>32</v>
      </c>
      <c r="E29" t="s">
        <v>38</v>
      </c>
      <c r="F29" t="s">
        <v>39</v>
      </c>
      <c r="G29">
        <v>4</v>
      </c>
      <c r="H29" s="2">
        <v>3132.67</v>
      </c>
      <c r="I29" s="2">
        <f t="shared" si="0"/>
        <v>12530.68</v>
      </c>
      <c r="J29" t="s">
        <v>26</v>
      </c>
      <c r="L29">
        <f t="shared" si="1"/>
        <v>2025</v>
      </c>
      <c r="M29" s="2">
        <f t="shared" si="2"/>
        <v>13319.527894736842</v>
      </c>
      <c r="N29">
        <f t="shared" si="3"/>
        <v>7</v>
      </c>
      <c r="O29" s="5">
        <f t="shared" si="4"/>
        <v>9</v>
      </c>
    </row>
    <row r="30" spans="1:15" x14ac:dyDescent="0.3">
      <c r="A30" t="s">
        <v>91</v>
      </c>
      <c r="B30" s="1">
        <v>45740</v>
      </c>
      <c r="C30" t="s">
        <v>71</v>
      </c>
      <c r="D30" t="s">
        <v>54</v>
      </c>
      <c r="E30" t="s">
        <v>33</v>
      </c>
      <c r="F30" t="s">
        <v>48</v>
      </c>
      <c r="G30">
        <v>4</v>
      </c>
      <c r="H30" s="2">
        <v>1641.21</v>
      </c>
      <c r="I30" s="2">
        <f t="shared" si="0"/>
        <v>6564.84</v>
      </c>
      <c r="J30" t="s">
        <v>35</v>
      </c>
      <c r="L30">
        <f t="shared" si="1"/>
        <v>2025</v>
      </c>
      <c r="M30" s="2">
        <f t="shared" si="2"/>
        <v>13325.504015151515</v>
      </c>
      <c r="N30">
        <f t="shared" si="3"/>
        <v>2</v>
      </c>
      <c r="O30" s="5">
        <f t="shared" si="4"/>
        <v>3</v>
      </c>
    </row>
    <row r="31" spans="1:15" x14ac:dyDescent="0.3">
      <c r="A31" t="s">
        <v>92</v>
      </c>
      <c r="B31" s="1">
        <v>45733</v>
      </c>
      <c r="C31" t="s">
        <v>93</v>
      </c>
      <c r="D31" t="s">
        <v>29</v>
      </c>
      <c r="E31" t="s">
        <v>24</v>
      </c>
      <c r="F31" t="s">
        <v>94</v>
      </c>
      <c r="G31">
        <v>7</v>
      </c>
      <c r="H31" s="2">
        <v>4596.54</v>
      </c>
      <c r="I31" s="2">
        <f t="shared" si="0"/>
        <v>32175.78</v>
      </c>
      <c r="J31" t="s">
        <v>35</v>
      </c>
      <c r="L31">
        <f t="shared" si="1"/>
        <v>2025</v>
      </c>
      <c r="M31" s="2">
        <f t="shared" si="2"/>
        <v>13377.11213740458</v>
      </c>
      <c r="N31">
        <f t="shared" si="3"/>
        <v>2</v>
      </c>
      <c r="O31" s="5">
        <f t="shared" si="4"/>
        <v>3</v>
      </c>
    </row>
    <row r="32" spans="1:15" x14ac:dyDescent="0.3">
      <c r="A32" t="s">
        <v>95</v>
      </c>
      <c r="B32" s="1">
        <v>45778</v>
      </c>
      <c r="C32" t="s">
        <v>96</v>
      </c>
      <c r="D32" t="s">
        <v>32</v>
      </c>
      <c r="E32" t="s">
        <v>13</v>
      </c>
      <c r="F32" t="s">
        <v>97</v>
      </c>
      <c r="G32">
        <v>3</v>
      </c>
      <c r="H32" s="2">
        <v>4395.8500000000004</v>
      </c>
      <c r="I32" s="2">
        <f t="shared" si="0"/>
        <v>13187.550000000001</v>
      </c>
      <c r="J32" t="s">
        <v>15</v>
      </c>
      <c r="L32">
        <f t="shared" si="1"/>
        <v>2025</v>
      </c>
      <c r="M32" s="2">
        <f t="shared" si="2"/>
        <v>13232.507</v>
      </c>
      <c r="N32">
        <f t="shared" si="3"/>
        <v>5</v>
      </c>
      <c r="O32" s="5">
        <f t="shared" si="4"/>
        <v>5</v>
      </c>
    </row>
    <row r="33" spans="1:15" x14ac:dyDescent="0.3">
      <c r="A33" t="s">
        <v>98</v>
      </c>
      <c r="B33" s="1">
        <v>45885</v>
      </c>
      <c r="C33" t="s">
        <v>99</v>
      </c>
      <c r="D33" t="s">
        <v>23</v>
      </c>
      <c r="E33" t="s">
        <v>33</v>
      </c>
      <c r="F33" t="s">
        <v>34</v>
      </c>
      <c r="G33">
        <v>1</v>
      </c>
      <c r="H33" s="2">
        <v>2984.07</v>
      </c>
      <c r="I33" s="2">
        <f t="shared" si="0"/>
        <v>2984.07</v>
      </c>
      <c r="J33" t="s">
        <v>35</v>
      </c>
      <c r="L33">
        <f t="shared" si="1"/>
        <v>2025</v>
      </c>
      <c r="M33" s="2">
        <f t="shared" si="2"/>
        <v>13232.855503875968</v>
      </c>
      <c r="N33">
        <f t="shared" si="3"/>
        <v>7</v>
      </c>
      <c r="O33" s="5">
        <f t="shared" si="4"/>
        <v>8</v>
      </c>
    </row>
    <row r="34" spans="1:15" x14ac:dyDescent="0.3">
      <c r="A34" t="s">
        <v>100</v>
      </c>
      <c r="B34" s="1">
        <v>45811</v>
      </c>
      <c r="C34" t="s">
        <v>101</v>
      </c>
      <c r="D34" t="s">
        <v>12</v>
      </c>
      <c r="E34" t="s">
        <v>24</v>
      </c>
      <c r="F34" t="s">
        <v>25</v>
      </c>
      <c r="G34">
        <v>9</v>
      </c>
      <c r="H34" s="2">
        <v>1584.3</v>
      </c>
      <c r="I34" s="2">
        <f t="shared" ref="I34:I65" si="5">G34*H34</f>
        <v>14258.699999999999</v>
      </c>
      <c r="J34" t="s">
        <v>35</v>
      </c>
      <c r="L34">
        <f t="shared" si="1"/>
        <v>2025</v>
      </c>
      <c r="M34" s="2">
        <f t="shared" si="2"/>
        <v>13312.924140625</v>
      </c>
      <c r="N34">
        <f t="shared" si="3"/>
        <v>3</v>
      </c>
      <c r="O34" s="5">
        <f t="shared" si="4"/>
        <v>6</v>
      </c>
    </row>
    <row r="35" spans="1:15" x14ac:dyDescent="0.3">
      <c r="A35" t="s">
        <v>102</v>
      </c>
      <c r="B35" s="1">
        <v>45910</v>
      </c>
      <c r="C35" t="s">
        <v>103</v>
      </c>
      <c r="D35" t="s">
        <v>54</v>
      </c>
      <c r="E35" t="s">
        <v>24</v>
      </c>
      <c r="F35" t="s">
        <v>25</v>
      </c>
      <c r="G35">
        <v>3</v>
      </c>
      <c r="H35" s="2">
        <v>3091.43</v>
      </c>
      <c r="I35" s="2">
        <f t="shared" si="5"/>
        <v>9274.2899999999991</v>
      </c>
      <c r="J35" t="s">
        <v>20</v>
      </c>
      <c r="L35">
        <f t="shared" si="1"/>
        <v>2025</v>
      </c>
      <c r="M35" s="2">
        <f t="shared" si="2"/>
        <v>13305.477086614172</v>
      </c>
      <c r="N35">
        <f t="shared" si="3"/>
        <v>4</v>
      </c>
      <c r="O35" s="5">
        <f t="shared" si="4"/>
        <v>9</v>
      </c>
    </row>
    <row r="36" spans="1:15" x14ac:dyDescent="0.3">
      <c r="A36" t="s">
        <v>104</v>
      </c>
      <c r="B36" s="1">
        <v>45829</v>
      </c>
      <c r="C36" t="s">
        <v>105</v>
      </c>
      <c r="D36" t="s">
        <v>23</v>
      </c>
      <c r="E36" t="s">
        <v>24</v>
      </c>
      <c r="F36" t="s">
        <v>69</v>
      </c>
      <c r="G36">
        <v>5</v>
      </c>
      <c r="H36" s="2">
        <v>3109.82</v>
      </c>
      <c r="I36" s="2">
        <f t="shared" si="5"/>
        <v>15549.1</v>
      </c>
      <c r="J36" t="s">
        <v>26</v>
      </c>
      <c r="L36">
        <f t="shared" si="1"/>
        <v>2025</v>
      </c>
      <c r="M36" s="2">
        <f t="shared" si="2"/>
        <v>13337.470634920634</v>
      </c>
      <c r="N36">
        <f t="shared" si="3"/>
        <v>7</v>
      </c>
      <c r="O36" s="5">
        <f t="shared" si="4"/>
        <v>6</v>
      </c>
    </row>
    <row r="37" spans="1:15" x14ac:dyDescent="0.3">
      <c r="A37" t="s">
        <v>106</v>
      </c>
      <c r="B37" s="1">
        <v>45735</v>
      </c>
      <c r="C37" t="s">
        <v>41</v>
      </c>
      <c r="D37" t="s">
        <v>54</v>
      </c>
      <c r="E37" t="s">
        <v>33</v>
      </c>
      <c r="F37" t="s">
        <v>48</v>
      </c>
      <c r="G37">
        <v>7</v>
      </c>
      <c r="H37" s="2">
        <v>2634.52</v>
      </c>
      <c r="I37" s="2">
        <f t="shared" si="5"/>
        <v>18441.64</v>
      </c>
      <c r="J37" t="s">
        <v>15</v>
      </c>
      <c r="L37">
        <f t="shared" si="1"/>
        <v>2025</v>
      </c>
      <c r="M37" s="2">
        <f t="shared" si="2"/>
        <v>13319.777599999999</v>
      </c>
      <c r="N37">
        <f t="shared" si="3"/>
        <v>4</v>
      </c>
      <c r="O37" s="5">
        <f t="shared" si="4"/>
        <v>3</v>
      </c>
    </row>
    <row r="38" spans="1:15" x14ac:dyDescent="0.3">
      <c r="A38" t="s">
        <v>107</v>
      </c>
      <c r="B38" s="1">
        <v>45747</v>
      </c>
      <c r="C38" t="s">
        <v>108</v>
      </c>
      <c r="D38" t="s">
        <v>32</v>
      </c>
      <c r="E38" t="s">
        <v>24</v>
      </c>
      <c r="F38" t="s">
        <v>94</v>
      </c>
      <c r="G38">
        <v>4</v>
      </c>
      <c r="H38" s="2">
        <v>3291.86</v>
      </c>
      <c r="I38" s="2">
        <f t="shared" si="5"/>
        <v>13167.44</v>
      </c>
      <c r="J38" t="s">
        <v>15</v>
      </c>
      <c r="L38">
        <f t="shared" si="1"/>
        <v>2025</v>
      </c>
      <c r="M38" s="2">
        <f t="shared" si="2"/>
        <v>13278.472258064514</v>
      </c>
      <c r="N38">
        <f t="shared" si="3"/>
        <v>2</v>
      </c>
      <c r="O38" s="5">
        <f t="shared" si="4"/>
        <v>3</v>
      </c>
    </row>
    <row r="39" spans="1:15" x14ac:dyDescent="0.3">
      <c r="A39" t="s">
        <v>109</v>
      </c>
      <c r="B39" s="1">
        <v>45948</v>
      </c>
      <c r="C39" t="s">
        <v>110</v>
      </c>
      <c r="D39" t="s">
        <v>32</v>
      </c>
      <c r="E39" t="s">
        <v>24</v>
      </c>
      <c r="F39" t="s">
        <v>45</v>
      </c>
      <c r="G39">
        <v>1</v>
      </c>
      <c r="H39" s="2">
        <v>4212.63</v>
      </c>
      <c r="I39" s="2">
        <f t="shared" si="5"/>
        <v>4212.63</v>
      </c>
      <c r="J39" t="s">
        <v>15</v>
      </c>
      <c r="L39">
        <f t="shared" si="1"/>
        <v>2025</v>
      </c>
      <c r="M39" s="2">
        <f t="shared" si="2"/>
        <v>13279.37495934959</v>
      </c>
      <c r="N39">
        <f t="shared" si="3"/>
        <v>7</v>
      </c>
      <c r="O39" s="5">
        <f t="shared" si="4"/>
        <v>10</v>
      </c>
    </row>
    <row r="40" spans="1:15" x14ac:dyDescent="0.3">
      <c r="A40" t="s">
        <v>111</v>
      </c>
      <c r="B40" s="1">
        <v>45750</v>
      </c>
      <c r="C40" t="s">
        <v>112</v>
      </c>
      <c r="D40" t="s">
        <v>23</v>
      </c>
      <c r="E40" t="s">
        <v>24</v>
      </c>
      <c r="F40" t="s">
        <v>25</v>
      </c>
      <c r="G40">
        <v>3</v>
      </c>
      <c r="H40" s="2">
        <v>2961.81</v>
      </c>
      <c r="I40" s="2">
        <f t="shared" si="5"/>
        <v>8885.43</v>
      </c>
      <c r="J40" t="s">
        <v>73</v>
      </c>
      <c r="L40">
        <f t="shared" si="1"/>
        <v>2025</v>
      </c>
      <c r="M40" s="2">
        <f t="shared" si="2"/>
        <v>13353.692540983604</v>
      </c>
      <c r="N40">
        <f t="shared" si="3"/>
        <v>5</v>
      </c>
      <c r="O40" s="5">
        <f t="shared" si="4"/>
        <v>4</v>
      </c>
    </row>
    <row r="41" spans="1:15" x14ac:dyDescent="0.3">
      <c r="A41" t="s">
        <v>113</v>
      </c>
      <c r="B41" s="1">
        <v>45734</v>
      </c>
      <c r="C41" t="s">
        <v>28</v>
      </c>
      <c r="D41" t="s">
        <v>54</v>
      </c>
      <c r="E41" t="s">
        <v>13</v>
      </c>
      <c r="F41" t="s">
        <v>14</v>
      </c>
      <c r="G41">
        <v>8</v>
      </c>
      <c r="H41" s="2">
        <v>509.01</v>
      </c>
      <c r="I41" s="2">
        <f t="shared" si="5"/>
        <v>4072.08</v>
      </c>
      <c r="J41" t="s">
        <v>26</v>
      </c>
      <c r="L41">
        <f t="shared" si="1"/>
        <v>2025</v>
      </c>
      <c r="M41" s="2">
        <f t="shared" si="2"/>
        <v>13390.620330578511</v>
      </c>
      <c r="N41">
        <f t="shared" si="3"/>
        <v>3</v>
      </c>
      <c r="O41" s="5">
        <f t="shared" si="4"/>
        <v>3</v>
      </c>
    </row>
    <row r="42" spans="1:15" x14ac:dyDescent="0.3">
      <c r="A42" t="s">
        <v>114</v>
      </c>
      <c r="B42" s="1">
        <v>45777</v>
      </c>
      <c r="C42" t="s">
        <v>71</v>
      </c>
      <c r="D42" t="s">
        <v>32</v>
      </c>
      <c r="E42" t="s">
        <v>38</v>
      </c>
      <c r="F42" t="s">
        <v>58</v>
      </c>
      <c r="G42">
        <v>10</v>
      </c>
      <c r="H42" s="2">
        <v>591.32000000000005</v>
      </c>
      <c r="I42" s="2">
        <f t="shared" si="5"/>
        <v>5913.2000000000007</v>
      </c>
      <c r="J42" t="s">
        <v>26</v>
      </c>
      <c r="L42">
        <f t="shared" si="1"/>
        <v>2025</v>
      </c>
      <c r="M42" s="2">
        <f t="shared" si="2"/>
        <v>13468.274833333333</v>
      </c>
      <c r="N42">
        <f t="shared" si="3"/>
        <v>4</v>
      </c>
      <c r="O42" s="5">
        <f t="shared" si="4"/>
        <v>4</v>
      </c>
    </row>
    <row r="43" spans="1:15" x14ac:dyDescent="0.3">
      <c r="A43" t="s">
        <v>115</v>
      </c>
      <c r="B43" s="1">
        <v>45739</v>
      </c>
      <c r="C43" t="s">
        <v>22</v>
      </c>
      <c r="D43" t="s">
        <v>29</v>
      </c>
      <c r="E43" t="s">
        <v>18</v>
      </c>
      <c r="F43" t="s">
        <v>19</v>
      </c>
      <c r="G43">
        <v>2</v>
      </c>
      <c r="H43" s="2">
        <v>2266.23</v>
      </c>
      <c r="I43" s="2">
        <f t="shared" si="5"/>
        <v>4532.46</v>
      </c>
      <c r="J43" t="s">
        <v>15</v>
      </c>
      <c r="L43">
        <f t="shared" si="1"/>
        <v>2025</v>
      </c>
      <c r="M43" s="2">
        <f t="shared" si="2"/>
        <v>13531.762857142856</v>
      </c>
      <c r="N43">
        <f t="shared" si="3"/>
        <v>1</v>
      </c>
      <c r="O43" s="5">
        <f t="shared" si="4"/>
        <v>3</v>
      </c>
    </row>
    <row r="44" spans="1:15" x14ac:dyDescent="0.3">
      <c r="A44" t="s">
        <v>116</v>
      </c>
      <c r="B44" s="1">
        <v>45746</v>
      </c>
      <c r="C44" t="s">
        <v>81</v>
      </c>
      <c r="D44" t="s">
        <v>32</v>
      </c>
      <c r="E44" t="s">
        <v>38</v>
      </c>
      <c r="F44" t="s">
        <v>42</v>
      </c>
      <c r="G44">
        <v>5</v>
      </c>
      <c r="H44" s="2">
        <v>964.04</v>
      </c>
      <c r="I44" s="2">
        <f t="shared" si="5"/>
        <v>4820.2</v>
      </c>
      <c r="J44" t="s">
        <v>26</v>
      </c>
      <c r="L44">
        <f t="shared" si="1"/>
        <v>2025</v>
      </c>
      <c r="M44" s="2">
        <f t="shared" si="2"/>
        <v>13608.028135593218</v>
      </c>
      <c r="N44">
        <f t="shared" si="3"/>
        <v>1</v>
      </c>
      <c r="O44" s="5">
        <f t="shared" si="4"/>
        <v>3</v>
      </c>
    </row>
    <row r="45" spans="1:15" x14ac:dyDescent="0.3">
      <c r="A45" t="s">
        <v>117</v>
      </c>
      <c r="B45" s="1">
        <v>46002</v>
      </c>
      <c r="C45" t="s">
        <v>60</v>
      </c>
      <c r="D45" t="s">
        <v>29</v>
      </c>
      <c r="E45" t="s">
        <v>24</v>
      </c>
      <c r="F45" t="s">
        <v>94</v>
      </c>
      <c r="G45">
        <v>4</v>
      </c>
      <c r="H45" s="2">
        <v>2693.78</v>
      </c>
      <c r="I45" s="2">
        <f t="shared" si="5"/>
        <v>10775.12</v>
      </c>
      <c r="J45" t="s">
        <v>73</v>
      </c>
      <c r="L45">
        <f t="shared" si="1"/>
        <v>2025</v>
      </c>
      <c r="M45" s="2">
        <f t="shared" si="2"/>
        <v>13683.137777777776</v>
      </c>
      <c r="N45">
        <f t="shared" si="3"/>
        <v>5</v>
      </c>
      <c r="O45" s="5">
        <f t="shared" si="4"/>
        <v>12</v>
      </c>
    </row>
    <row r="46" spans="1:15" x14ac:dyDescent="0.3">
      <c r="A46" t="s">
        <v>118</v>
      </c>
      <c r="B46" s="1">
        <v>45860</v>
      </c>
      <c r="C46" t="s">
        <v>108</v>
      </c>
      <c r="D46" t="s">
        <v>29</v>
      </c>
      <c r="E46" t="s">
        <v>24</v>
      </c>
      <c r="F46" t="s">
        <v>94</v>
      </c>
      <c r="G46">
        <v>5</v>
      </c>
      <c r="H46" s="2">
        <v>1721.57</v>
      </c>
      <c r="I46" s="2">
        <f t="shared" si="5"/>
        <v>8607.85</v>
      </c>
      <c r="J46" t="s">
        <v>26</v>
      </c>
      <c r="L46">
        <f t="shared" si="1"/>
        <v>2025</v>
      </c>
      <c r="M46" s="2">
        <f t="shared" si="2"/>
        <v>13708.206896551725</v>
      </c>
      <c r="N46">
        <f t="shared" si="3"/>
        <v>3</v>
      </c>
      <c r="O46" s="5">
        <f t="shared" si="4"/>
        <v>7</v>
      </c>
    </row>
    <row r="47" spans="1:15" x14ac:dyDescent="0.3">
      <c r="A47" t="s">
        <v>119</v>
      </c>
      <c r="B47" s="1">
        <v>45829</v>
      </c>
      <c r="C47" t="s">
        <v>93</v>
      </c>
      <c r="D47" t="s">
        <v>12</v>
      </c>
      <c r="E47" t="s">
        <v>24</v>
      </c>
      <c r="F47" t="s">
        <v>120</v>
      </c>
      <c r="G47">
        <v>1</v>
      </c>
      <c r="H47" s="2">
        <v>2268.2800000000002</v>
      </c>
      <c r="I47" s="2">
        <f t="shared" si="5"/>
        <v>2268.2800000000002</v>
      </c>
      <c r="J47" t="s">
        <v>20</v>
      </c>
      <c r="L47">
        <f t="shared" si="1"/>
        <v>2025</v>
      </c>
      <c r="M47" s="2">
        <f t="shared" si="2"/>
        <v>13752.557826086955</v>
      </c>
      <c r="N47">
        <f t="shared" si="3"/>
        <v>7</v>
      </c>
      <c r="O47" s="5">
        <f t="shared" si="4"/>
        <v>6</v>
      </c>
    </row>
    <row r="48" spans="1:15" x14ac:dyDescent="0.3">
      <c r="A48" t="s">
        <v>121</v>
      </c>
      <c r="B48" s="1">
        <v>45755</v>
      </c>
      <c r="C48" t="s">
        <v>122</v>
      </c>
      <c r="D48" t="s">
        <v>23</v>
      </c>
      <c r="E48" t="s">
        <v>38</v>
      </c>
      <c r="F48" t="s">
        <v>39</v>
      </c>
      <c r="G48">
        <v>5</v>
      </c>
      <c r="H48" s="2">
        <v>199.16</v>
      </c>
      <c r="I48" s="2">
        <f t="shared" si="5"/>
        <v>995.8</v>
      </c>
      <c r="J48" t="s">
        <v>26</v>
      </c>
      <c r="L48">
        <f t="shared" si="1"/>
        <v>2025</v>
      </c>
      <c r="M48" s="2">
        <f t="shared" si="2"/>
        <v>13853.297105263156</v>
      </c>
      <c r="N48">
        <f t="shared" si="3"/>
        <v>3</v>
      </c>
      <c r="O48" s="5">
        <f t="shared" si="4"/>
        <v>4</v>
      </c>
    </row>
    <row r="49" spans="1:15" x14ac:dyDescent="0.3">
      <c r="A49" t="s">
        <v>123</v>
      </c>
      <c r="B49" s="1">
        <v>45809</v>
      </c>
      <c r="C49" t="s">
        <v>85</v>
      </c>
      <c r="D49" t="s">
        <v>23</v>
      </c>
      <c r="E49" t="s">
        <v>24</v>
      </c>
      <c r="F49" t="s">
        <v>94</v>
      </c>
      <c r="G49">
        <v>6</v>
      </c>
      <c r="H49" s="2">
        <v>2037.81</v>
      </c>
      <c r="I49" s="2">
        <f t="shared" si="5"/>
        <v>12226.86</v>
      </c>
      <c r="J49" t="s">
        <v>20</v>
      </c>
      <c r="L49">
        <f t="shared" si="1"/>
        <v>2025</v>
      </c>
      <c r="M49" s="2">
        <f t="shared" si="2"/>
        <v>13967.080265486726</v>
      </c>
      <c r="N49">
        <f t="shared" si="3"/>
        <v>1</v>
      </c>
      <c r="O49" s="5">
        <f t="shared" si="4"/>
        <v>6</v>
      </c>
    </row>
    <row r="50" spans="1:15" x14ac:dyDescent="0.3">
      <c r="A50" t="s">
        <v>124</v>
      </c>
      <c r="B50" s="1">
        <v>45929</v>
      </c>
      <c r="C50" t="s">
        <v>57</v>
      </c>
      <c r="D50" t="s">
        <v>12</v>
      </c>
      <c r="E50" t="s">
        <v>18</v>
      </c>
      <c r="F50" t="s">
        <v>125</v>
      </c>
      <c r="G50">
        <v>1</v>
      </c>
      <c r="H50" s="2">
        <v>1871.5</v>
      </c>
      <c r="I50" s="2">
        <f t="shared" si="5"/>
        <v>1871.5</v>
      </c>
      <c r="J50" t="s">
        <v>15</v>
      </c>
      <c r="L50">
        <f t="shared" si="1"/>
        <v>2025</v>
      </c>
      <c r="M50" s="2">
        <f t="shared" si="2"/>
        <v>13982.617946428571</v>
      </c>
      <c r="N50">
        <f t="shared" si="3"/>
        <v>2</v>
      </c>
      <c r="O50" s="5">
        <f t="shared" si="4"/>
        <v>9</v>
      </c>
    </row>
    <row r="51" spans="1:15" x14ac:dyDescent="0.3">
      <c r="A51" t="s">
        <v>126</v>
      </c>
      <c r="B51" s="1">
        <v>45969</v>
      </c>
      <c r="C51" t="s">
        <v>127</v>
      </c>
      <c r="D51" t="s">
        <v>32</v>
      </c>
      <c r="E51" t="s">
        <v>24</v>
      </c>
      <c r="F51" t="s">
        <v>25</v>
      </c>
      <c r="G51">
        <v>6</v>
      </c>
      <c r="H51" s="2">
        <v>4465.7700000000004</v>
      </c>
      <c r="I51" s="2">
        <f t="shared" si="5"/>
        <v>26794.620000000003</v>
      </c>
      <c r="J51" t="s">
        <v>15</v>
      </c>
      <c r="L51">
        <f t="shared" si="1"/>
        <v>2025</v>
      </c>
      <c r="M51" s="2">
        <f t="shared" si="2"/>
        <v>14091.727117117116</v>
      </c>
      <c r="N51">
        <f t="shared" si="3"/>
        <v>7</v>
      </c>
      <c r="O51" s="5">
        <f t="shared" si="4"/>
        <v>11</v>
      </c>
    </row>
    <row r="52" spans="1:15" x14ac:dyDescent="0.3">
      <c r="A52" t="s">
        <v>128</v>
      </c>
      <c r="B52" s="1">
        <v>45933</v>
      </c>
      <c r="C52" t="s">
        <v>129</v>
      </c>
      <c r="D52" t="s">
        <v>54</v>
      </c>
      <c r="E52" t="s">
        <v>24</v>
      </c>
      <c r="F52" t="s">
        <v>120</v>
      </c>
      <c r="G52">
        <v>3</v>
      </c>
      <c r="H52" s="2">
        <v>1177.6099999999999</v>
      </c>
      <c r="I52" s="2">
        <f t="shared" si="5"/>
        <v>3532.83</v>
      </c>
      <c r="J52" t="s">
        <v>20</v>
      </c>
      <c r="L52">
        <f t="shared" si="1"/>
        <v>2025</v>
      </c>
      <c r="M52" s="2">
        <f t="shared" si="2"/>
        <v>13976.246272727269</v>
      </c>
      <c r="N52">
        <f t="shared" si="3"/>
        <v>6</v>
      </c>
      <c r="O52" s="5">
        <f t="shared" si="4"/>
        <v>10</v>
      </c>
    </row>
    <row r="53" spans="1:15" x14ac:dyDescent="0.3">
      <c r="A53" t="s">
        <v>130</v>
      </c>
      <c r="B53" s="1">
        <v>45975</v>
      </c>
      <c r="C53" t="s">
        <v>57</v>
      </c>
      <c r="D53" t="s">
        <v>54</v>
      </c>
      <c r="E53" t="s">
        <v>24</v>
      </c>
      <c r="F53" t="s">
        <v>69</v>
      </c>
      <c r="G53">
        <v>2</v>
      </c>
      <c r="H53" s="2">
        <v>3338.81</v>
      </c>
      <c r="I53" s="2">
        <f t="shared" si="5"/>
        <v>6677.62</v>
      </c>
      <c r="J53" t="s">
        <v>35</v>
      </c>
      <c r="L53">
        <f t="shared" si="1"/>
        <v>2025</v>
      </c>
      <c r="M53" s="2">
        <f t="shared" si="2"/>
        <v>14072.057431192656</v>
      </c>
      <c r="N53">
        <f t="shared" si="3"/>
        <v>6</v>
      </c>
      <c r="O53" s="5">
        <f t="shared" si="4"/>
        <v>11</v>
      </c>
    </row>
    <row r="54" spans="1:15" x14ac:dyDescent="0.3">
      <c r="A54" t="s">
        <v>131</v>
      </c>
      <c r="B54" s="1">
        <v>46012</v>
      </c>
      <c r="C54" t="s">
        <v>99</v>
      </c>
      <c r="D54" t="s">
        <v>32</v>
      </c>
      <c r="E54" t="s">
        <v>18</v>
      </c>
      <c r="F54" t="s">
        <v>132</v>
      </c>
      <c r="G54">
        <v>7</v>
      </c>
      <c r="H54" s="2">
        <v>3873.22</v>
      </c>
      <c r="I54" s="2">
        <f t="shared" si="5"/>
        <v>27112.539999999997</v>
      </c>
      <c r="J54" t="s">
        <v>20</v>
      </c>
      <c r="L54">
        <f t="shared" si="1"/>
        <v>2025</v>
      </c>
      <c r="M54" s="2">
        <f t="shared" si="2"/>
        <v>14140.524444444442</v>
      </c>
      <c r="N54">
        <f t="shared" si="3"/>
        <v>1</v>
      </c>
      <c r="O54" s="5">
        <f t="shared" si="4"/>
        <v>12</v>
      </c>
    </row>
    <row r="55" spans="1:15" x14ac:dyDescent="0.3">
      <c r="A55" t="s">
        <v>133</v>
      </c>
      <c r="B55" s="1">
        <v>45825</v>
      </c>
      <c r="C55" t="s">
        <v>53</v>
      </c>
      <c r="D55" t="s">
        <v>54</v>
      </c>
      <c r="E55" t="s">
        <v>33</v>
      </c>
      <c r="F55" t="s">
        <v>34</v>
      </c>
      <c r="G55">
        <v>4</v>
      </c>
      <c r="H55" s="2">
        <v>462.46</v>
      </c>
      <c r="I55" s="2">
        <f t="shared" si="5"/>
        <v>1849.84</v>
      </c>
      <c r="J55" t="s">
        <v>35</v>
      </c>
      <c r="L55">
        <f t="shared" si="1"/>
        <v>2025</v>
      </c>
      <c r="M55" s="2">
        <f t="shared" si="2"/>
        <v>14019.290654205606</v>
      </c>
      <c r="N55">
        <f t="shared" si="3"/>
        <v>3</v>
      </c>
      <c r="O55" s="5">
        <f t="shared" si="4"/>
        <v>6</v>
      </c>
    </row>
    <row r="56" spans="1:15" x14ac:dyDescent="0.3">
      <c r="A56" t="s">
        <v>134</v>
      </c>
      <c r="B56" s="1">
        <v>45770</v>
      </c>
      <c r="C56" t="s">
        <v>135</v>
      </c>
      <c r="D56" t="s">
        <v>23</v>
      </c>
      <c r="E56" t="s">
        <v>13</v>
      </c>
      <c r="F56" t="s">
        <v>97</v>
      </c>
      <c r="G56">
        <v>5</v>
      </c>
      <c r="H56" s="2">
        <v>4400.0600000000004</v>
      </c>
      <c r="I56" s="2">
        <f t="shared" si="5"/>
        <v>22000.300000000003</v>
      </c>
      <c r="J56" t="s">
        <v>26</v>
      </c>
      <c r="L56">
        <f t="shared" si="1"/>
        <v>2025</v>
      </c>
      <c r="M56" s="2">
        <f t="shared" si="2"/>
        <v>14134.096792452829</v>
      </c>
      <c r="N56">
        <f t="shared" si="3"/>
        <v>4</v>
      </c>
      <c r="O56" s="5">
        <f t="shared" si="4"/>
        <v>4</v>
      </c>
    </row>
    <row r="57" spans="1:15" x14ac:dyDescent="0.3">
      <c r="A57" t="s">
        <v>136</v>
      </c>
      <c r="B57" s="1">
        <v>45977</v>
      </c>
      <c r="C57" t="s">
        <v>137</v>
      </c>
      <c r="D57" t="s">
        <v>12</v>
      </c>
      <c r="E57" t="s">
        <v>18</v>
      </c>
      <c r="F57" t="s">
        <v>138</v>
      </c>
      <c r="G57">
        <v>9</v>
      </c>
      <c r="H57" s="2">
        <v>231.76</v>
      </c>
      <c r="I57" s="2">
        <f t="shared" si="5"/>
        <v>2085.84</v>
      </c>
      <c r="J57" t="s">
        <v>20</v>
      </c>
      <c r="L57">
        <f t="shared" si="1"/>
        <v>2025</v>
      </c>
      <c r="M57" s="2">
        <f t="shared" si="2"/>
        <v>14059.180571428571</v>
      </c>
      <c r="N57">
        <f t="shared" si="3"/>
        <v>1</v>
      </c>
      <c r="O57" s="5">
        <f t="shared" si="4"/>
        <v>11</v>
      </c>
    </row>
    <row r="58" spans="1:15" x14ac:dyDescent="0.3">
      <c r="A58" t="s">
        <v>139</v>
      </c>
      <c r="B58" s="1">
        <v>45697</v>
      </c>
      <c r="C58" t="s">
        <v>31</v>
      </c>
      <c r="D58" t="s">
        <v>54</v>
      </c>
      <c r="E58" t="s">
        <v>24</v>
      </c>
      <c r="F58" t="s">
        <v>25</v>
      </c>
      <c r="G58">
        <v>8</v>
      </c>
      <c r="H58" s="2">
        <v>3858.15</v>
      </c>
      <c r="I58" s="2">
        <f t="shared" si="5"/>
        <v>30865.200000000001</v>
      </c>
      <c r="J58" t="s">
        <v>73</v>
      </c>
      <c r="L58">
        <f t="shared" si="1"/>
        <v>2025</v>
      </c>
      <c r="M58" s="2">
        <f t="shared" si="2"/>
        <v>14174.308846153846</v>
      </c>
      <c r="N58">
        <f t="shared" si="3"/>
        <v>1</v>
      </c>
      <c r="O58" s="5">
        <f t="shared" si="4"/>
        <v>2</v>
      </c>
    </row>
    <row r="59" spans="1:15" x14ac:dyDescent="0.3">
      <c r="A59" t="s">
        <v>140</v>
      </c>
      <c r="B59" s="1">
        <v>45876</v>
      </c>
      <c r="C59" t="s">
        <v>141</v>
      </c>
      <c r="D59" t="s">
        <v>29</v>
      </c>
      <c r="E59" t="s">
        <v>38</v>
      </c>
      <c r="F59" t="s">
        <v>142</v>
      </c>
      <c r="G59">
        <v>9</v>
      </c>
      <c r="H59" s="2">
        <v>4624.58</v>
      </c>
      <c r="I59" s="2">
        <f t="shared" si="5"/>
        <v>41621.22</v>
      </c>
      <c r="J59" t="s">
        <v>35</v>
      </c>
      <c r="L59">
        <f t="shared" si="1"/>
        <v>2025</v>
      </c>
      <c r="M59" s="2">
        <f t="shared" si="2"/>
        <v>14012.261359223301</v>
      </c>
      <c r="N59">
        <f t="shared" si="3"/>
        <v>5</v>
      </c>
      <c r="O59" s="5">
        <f t="shared" si="4"/>
        <v>8</v>
      </c>
    </row>
    <row r="60" spans="1:15" x14ac:dyDescent="0.3">
      <c r="A60" t="s">
        <v>143</v>
      </c>
      <c r="B60" s="1">
        <v>45804</v>
      </c>
      <c r="C60" t="s">
        <v>37</v>
      </c>
      <c r="D60" t="s">
        <v>12</v>
      </c>
      <c r="E60" t="s">
        <v>24</v>
      </c>
      <c r="F60" t="s">
        <v>45</v>
      </c>
      <c r="G60">
        <v>5</v>
      </c>
      <c r="H60" s="2">
        <v>2350.79</v>
      </c>
      <c r="I60" s="2">
        <f t="shared" si="5"/>
        <v>11753.95</v>
      </c>
      <c r="J60" t="s">
        <v>73</v>
      </c>
      <c r="L60">
        <f t="shared" si="1"/>
        <v>2025</v>
      </c>
      <c r="M60" s="2">
        <f t="shared" si="2"/>
        <v>13741.585294117647</v>
      </c>
      <c r="N60">
        <f t="shared" si="3"/>
        <v>3</v>
      </c>
      <c r="O60" s="5">
        <f t="shared" si="4"/>
        <v>5</v>
      </c>
    </row>
    <row r="61" spans="1:15" x14ac:dyDescent="0.3">
      <c r="A61" t="s">
        <v>144</v>
      </c>
      <c r="B61" s="1">
        <v>45831</v>
      </c>
      <c r="C61" t="s">
        <v>11</v>
      </c>
      <c r="D61" t="s">
        <v>54</v>
      </c>
      <c r="E61" t="s">
        <v>24</v>
      </c>
      <c r="F61" t="s">
        <v>120</v>
      </c>
      <c r="G61">
        <v>10</v>
      </c>
      <c r="H61" s="2">
        <v>555.53</v>
      </c>
      <c r="I61" s="2">
        <f t="shared" si="5"/>
        <v>5555.2999999999993</v>
      </c>
      <c r="J61" t="s">
        <v>15</v>
      </c>
      <c r="L61">
        <f t="shared" si="1"/>
        <v>2025</v>
      </c>
      <c r="M61" s="2">
        <f t="shared" si="2"/>
        <v>13761.264851485148</v>
      </c>
      <c r="N61">
        <f t="shared" si="3"/>
        <v>2</v>
      </c>
      <c r="O61" s="5">
        <f t="shared" si="4"/>
        <v>6</v>
      </c>
    </row>
    <row r="62" spans="1:15" x14ac:dyDescent="0.3">
      <c r="A62" t="s">
        <v>145</v>
      </c>
      <c r="B62" s="1">
        <v>45867</v>
      </c>
      <c r="C62" t="s">
        <v>85</v>
      </c>
      <c r="D62" t="s">
        <v>32</v>
      </c>
      <c r="E62" t="s">
        <v>13</v>
      </c>
      <c r="F62" t="s">
        <v>51</v>
      </c>
      <c r="G62">
        <v>1</v>
      </c>
      <c r="H62" s="2">
        <v>245.02</v>
      </c>
      <c r="I62" s="2">
        <f t="shared" si="5"/>
        <v>245.02</v>
      </c>
      <c r="J62" t="s">
        <v>20</v>
      </c>
      <c r="L62">
        <f t="shared" si="1"/>
        <v>2025</v>
      </c>
      <c r="M62" s="2">
        <f t="shared" si="2"/>
        <v>13843.324500000002</v>
      </c>
      <c r="N62">
        <f t="shared" si="3"/>
        <v>3</v>
      </c>
      <c r="O62" s="5">
        <f t="shared" si="4"/>
        <v>7</v>
      </c>
    </row>
    <row r="63" spans="1:15" x14ac:dyDescent="0.3">
      <c r="A63" t="s">
        <v>146</v>
      </c>
      <c r="B63" s="1">
        <v>45769</v>
      </c>
      <c r="C63" t="s">
        <v>147</v>
      </c>
      <c r="D63" t="s">
        <v>54</v>
      </c>
      <c r="E63" t="s">
        <v>24</v>
      </c>
      <c r="F63" t="s">
        <v>69</v>
      </c>
      <c r="G63">
        <v>5</v>
      </c>
      <c r="H63" s="2">
        <v>1038.31</v>
      </c>
      <c r="I63" s="2">
        <f t="shared" si="5"/>
        <v>5191.5499999999993</v>
      </c>
      <c r="J63" t="s">
        <v>15</v>
      </c>
      <c r="L63">
        <f t="shared" si="1"/>
        <v>2025</v>
      </c>
      <c r="M63" s="2">
        <f t="shared" si="2"/>
        <v>13980.681111111113</v>
      </c>
      <c r="N63">
        <f t="shared" si="3"/>
        <v>3</v>
      </c>
      <c r="O63" s="5">
        <f t="shared" si="4"/>
        <v>4</v>
      </c>
    </row>
    <row r="64" spans="1:15" x14ac:dyDescent="0.3">
      <c r="A64" t="s">
        <v>148</v>
      </c>
      <c r="B64" s="1">
        <v>46011</v>
      </c>
      <c r="C64" t="s">
        <v>50</v>
      </c>
      <c r="D64" t="s">
        <v>12</v>
      </c>
      <c r="E64" t="s">
        <v>18</v>
      </c>
      <c r="F64" t="s">
        <v>125</v>
      </c>
      <c r="G64">
        <v>5</v>
      </c>
      <c r="H64" s="2">
        <v>4233.2299999999996</v>
      </c>
      <c r="I64" s="2">
        <f t="shared" si="5"/>
        <v>21166.149999999998</v>
      </c>
      <c r="J64" t="s">
        <v>73</v>
      </c>
      <c r="L64">
        <f t="shared" si="1"/>
        <v>2025</v>
      </c>
      <c r="M64" s="2">
        <f t="shared" si="2"/>
        <v>14070.366122448981</v>
      </c>
      <c r="N64">
        <f t="shared" si="3"/>
        <v>7</v>
      </c>
      <c r="O64" s="5">
        <f t="shared" si="4"/>
        <v>12</v>
      </c>
    </row>
    <row r="65" spans="1:15" x14ac:dyDescent="0.3">
      <c r="A65" t="s">
        <v>149</v>
      </c>
      <c r="B65" s="1">
        <v>45855</v>
      </c>
      <c r="C65" t="s">
        <v>112</v>
      </c>
      <c r="D65" t="s">
        <v>54</v>
      </c>
      <c r="E65" t="s">
        <v>24</v>
      </c>
      <c r="F65" t="s">
        <v>25</v>
      </c>
      <c r="G65">
        <v>9</v>
      </c>
      <c r="H65" s="2">
        <v>1623.86</v>
      </c>
      <c r="I65" s="2">
        <f t="shared" si="5"/>
        <v>14614.74</v>
      </c>
      <c r="J65" t="s">
        <v>15</v>
      </c>
      <c r="L65">
        <f t="shared" si="1"/>
        <v>2025</v>
      </c>
      <c r="M65" s="2">
        <f t="shared" si="2"/>
        <v>13997.213711340208</v>
      </c>
      <c r="N65">
        <f t="shared" si="3"/>
        <v>5</v>
      </c>
      <c r="O65" s="5">
        <f t="shared" si="4"/>
        <v>7</v>
      </c>
    </row>
    <row r="66" spans="1:15" x14ac:dyDescent="0.3">
      <c r="A66" t="s">
        <v>150</v>
      </c>
      <c r="B66" s="1">
        <v>45798</v>
      </c>
      <c r="C66" t="s">
        <v>151</v>
      </c>
      <c r="D66" t="s">
        <v>54</v>
      </c>
      <c r="E66" t="s">
        <v>13</v>
      </c>
      <c r="F66" t="s">
        <v>97</v>
      </c>
      <c r="G66">
        <v>5</v>
      </c>
      <c r="H66" s="2">
        <v>2446.3000000000002</v>
      </c>
      <c r="I66" s="2">
        <f t="shared" ref="I66:I97" si="6">G66*H66</f>
        <v>12231.5</v>
      </c>
      <c r="J66" t="s">
        <v>15</v>
      </c>
      <c r="L66">
        <f t="shared" si="1"/>
        <v>2025</v>
      </c>
      <c r="M66" s="2">
        <f t="shared" si="2"/>
        <v>13990.781145833336</v>
      </c>
      <c r="N66">
        <f t="shared" si="3"/>
        <v>4</v>
      </c>
      <c r="O66" s="5">
        <f t="shared" si="4"/>
        <v>5</v>
      </c>
    </row>
    <row r="67" spans="1:15" x14ac:dyDescent="0.3">
      <c r="A67" t="s">
        <v>152</v>
      </c>
      <c r="B67" s="1">
        <v>45806</v>
      </c>
      <c r="C67" t="s">
        <v>11</v>
      </c>
      <c r="D67" t="s">
        <v>32</v>
      </c>
      <c r="E67" t="s">
        <v>38</v>
      </c>
      <c r="F67" t="s">
        <v>142</v>
      </c>
      <c r="G67">
        <v>5</v>
      </c>
      <c r="H67" s="2">
        <v>4168.04</v>
      </c>
      <c r="I67" s="2">
        <f t="shared" si="6"/>
        <v>20840.2</v>
      </c>
      <c r="J67" t="s">
        <v>20</v>
      </c>
      <c r="L67">
        <f t="shared" ref="L67:L130" si="7">YEAR(B67)</f>
        <v>2025</v>
      </c>
      <c r="M67" s="2">
        <f t="shared" ref="M67:M130" si="8">AVERAGE(I67:I226)</f>
        <v>14009.299894736841</v>
      </c>
      <c r="N67">
        <f t="shared" ref="N67:N130" si="9">WEEKDAY(B67)</f>
        <v>5</v>
      </c>
      <c r="O67" s="5">
        <f t="shared" ref="O67:O130" si="10">MONTH(B67)</f>
        <v>5</v>
      </c>
    </row>
    <row r="68" spans="1:15" x14ac:dyDescent="0.3">
      <c r="A68" t="s">
        <v>153</v>
      </c>
      <c r="B68" s="1">
        <v>45914</v>
      </c>
      <c r="C68" t="s">
        <v>57</v>
      </c>
      <c r="D68" t="s">
        <v>12</v>
      </c>
      <c r="E68" t="s">
        <v>18</v>
      </c>
      <c r="F68" t="s">
        <v>67</v>
      </c>
      <c r="G68">
        <v>3</v>
      </c>
      <c r="H68" s="2">
        <v>1073.08</v>
      </c>
      <c r="I68" s="2">
        <f t="shared" si="6"/>
        <v>3219.24</v>
      </c>
      <c r="J68" t="s">
        <v>26</v>
      </c>
      <c r="L68">
        <f t="shared" si="7"/>
        <v>2025</v>
      </c>
      <c r="M68" s="2">
        <f t="shared" si="8"/>
        <v>13936.630744680851</v>
      </c>
      <c r="N68">
        <f t="shared" si="9"/>
        <v>1</v>
      </c>
      <c r="O68" s="5">
        <f t="shared" si="10"/>
        <v>9</v>
      </c>
    </row>
    <row r="69" spans="1:15" x14ac:dyDescent="0.3">
      <c r="A69" t="s">
        <v>154</v>
      </c>
      <c r="B69" s="1">
        <v>45723</v>
      </c>
      <c r="C69" t="s">
        <v>60</v>
      </c>
      <c r="D69" t="s">
        <v>12</v>
      </c>
      <c r="E69" t="s">
        <v>13</v>
      </c>
      <c r="F69" t="s">
        <v>155</v>
      </c>
      <c r="G69">
        <v>10</v>
      </c>
      <c r="H69" s="2">
        <v>2652.82</v>
      </c>
      <c r="I69" s="2">
        <f t="shared" si="6"/>
        <v>26528.2</v>
      </c>
      <c r="J69" t="s">
        <v>15</v>
      </c>
      <c r="L69">
        <f t="shared" si="7"/>
        <v>2025</v>
      </c>
      <c r="M69" s="2">
        <f t="shared" si="8"/>
        <v>14051.871505376344</v>
      </c>
      <c r="N69">
        <f t="shared" si="9"/>
        <v>6</v>
      </c>
      <c r="O69" s="5">
        <f t="shared" si="10"/>
        <v>3</v>
      </c>
    </row>
    <row r="70" spans="1:15" x14ac:dyDescent="0.3">
      <c r="A70" t="s">
        <v>156</v>
      </c>
      <c r="B70" s="1">
        <v>45942</v>
      </c>
      <c r="C70" t="s">
        <v>103</v>
      </c>
      <c r="D70" t="s">
        <v>12</v>
      </c>
      <c r="E70" t="s">
        <v>13</v>
      </c>
      <c r="F70" t="s">
        <v>97</v>
      </c>
      <c r="G70">
        <v>6</v>
      </c>
      <c r="H70" s="2">
        <v>3665.85</v>
      </c>
      <c r="I70" s="2">
        <f t="shared" si="6"/>
        <v>21995.1</v>
      </c>
      <c r="J70" t="s">
        <v>73</v>
      </c>
      <c r="L70">
        <f t="shared" si="7"/>
        <v>2025</v>
      </c>
      <c r="M70" s="2">
        <f t="shared" si="8"/>
        <v>13916.259239130435</v>
      </c>
      <c r="N70">
        <f t="shared" si="9"/>
        <v>1</v>
      </c>
      <c r="O70" s="5">
        <f t="shared" si="10"/>
        <v>10</v>
      </c>
    </row>
    <row r="71" spans="1:15" x14ac:dyDescent="0.3">
      <c r="A71" t="s">
        <v>157</v>
      </c>
      <c r="B71" s="1">
        <v>45955</v>
      </c>
      <c r="C71" t="s">
        <v>127</v>
      </c>
      <c r="D71" t="s">
        <v>54</v>
      </c>
      <c r="E71" t="s">
        <v>18</v>
      </c>
      <c r="F71" t="s">
        <v>125</v>
      </c>
      <c r="G71">
        <v>7</v>
      </c>
      <c r="H71" s="2">
        <v>2370.81</v>
      </c>
      <c r="I71" s="2">
        <f t="shared" si="6"/>
        <v>16595.669999999998</v>
      </c>
      <c r="J71" t="s">
        <v>35</v>
      </c>
      <c r="L71">
        <f t="shared" si="7"/>
        <v>2025</v>
      </c>
      <c r="M71" s="2">
        <f t="shared" si="8"/>
        <v>13827.48076923077</v>
      </c>
      <c r="N71">
        <f t="shared" si="9"/>
        <v>7</v>
      </c>
      <c r="O71" s="5">
        <f t="shared" si="10"/>
        <v>10</v>
      </c>
    </row>
    <row r="72" spans="1:15" x14ac:dyDescent="0.3">
      <c r="A72" t="s">
        <v>158</v>
      </c>
      <c r="B72" s="1">
        <v>45660</v>
      </c>
      <c r="C72" t="s">
        <v>85</v>
      </c>
      <c r="D72" t="s">
        <v>54</v>
      </c>
      <c r="E72" t="s">
        <v>38</v>
      </c>
      <c r="F72" t="s">
        <v>39</v>
      </c>
      <c r="G72">
        <v>4</v>
      </c>
      <c r="H72" s="2">
        <v>705.48</v>
      </c>
      <c r="I72" s="2">
        <f t="shared" si="6"/>
        <v>2821.92</v>
      </c>
      <c r="J72" t="s">
        <v>20</v>
      </c>
      <c r="L72">
        <f t="shared" si="7"/>
        <v>2025</v>
      </c>
      <c r="M72" s="2">
        <f t="shared" si="8"/>
        <v>13796.723111111109</v>
      </c>
      <c r="N72">
        <f t="shared" si="9"/>
        <v>6</v>
      </c>
      <c r="O72" s="5">
        <f t="shared" si="10"/>
        <v>1</v>
      </c>
    </row>
    <row r="73" spans="1:15" x14ac:dyDescent="0.3">
      <c r="A73" t="s">
        <v>159</v>
      </c>
      <c r="B73" s="1">
        <v>46020</v>
      </c>
      <c r="C73" t="s">
        <v>160</v>
      </c>
      <c r="D73" t="s">
        <v>12</v>
      </c>
      <c r="E73" t="s">
        <v>13</v>
      </c>
      <c r="F73" t="s">
        <v>161</v>
      </c>
      <c r="G73">
        <v>4</v>
      </c>
      <c r="H73" s="2">
        <v>581.64</v>
      </c>
      <c r="I73" s="2">
        <f t="shared" si="6"/>
        <v>2326.56</v>
      </c>
      <c r="J73" t="s">
        <v>35</v>
      </c>
      <c r="L73">
        <f t="shared" si="7"/>
        <v>2025</v>
      </c>
      <c r="M73" s="2">
        <f t="shared" si="8"/>
        <v>13920.035505617976</v>
      </c>
      <c r="N73">
        <f t="shared" si="9"/>
        <v>2</v>
      </c>
      <c r="O73" s="5">
        <f t="shared" si="10"/>
        <v>12</v>
      </c>
    </row>
    <row r="74" spans="1:15" x14ac:dyDescent="0.3">
      <c r="A74" t="s">
        <v>162</v>
      </c>
      <c r="B74" s="1">
        <v>45823</v>
      </c>
      <c r="C74" t="s">
        <v>163</v>
      </c>
      <c r="D74" t="s">
        <v>12</v>
      </c>
      <c r="E74" t="s">
        <v>33</v>
      </c>
      <c r="F74" t="s">
        <v>48</v>
      </c>
      <c r="G74">
        <v>6</v>
      </c>
      <c r="H74" s="2">
        <v>2594.09</v>
      </c>
      <c r="I74" s="2">
        <f t="shared" si="6"/>
        <v>15564.54</v>
      </c>
      <c r="J74" t="s">
        <v>73</v>
      </c>
      <c r="L74">
        <f t="shared" si="7"/>
        <v>2025</v>
      </c>
      <c r="M74" s="2">
        <f t="shared" si="8"/>
        <v>14051.779545454543</v>
      </c>
      <c r="N74">
        <f t="shared" si="9"/>
        <v>1</v>
      </c>
      <c r="O74" s="5">
        <f t="shared" si="10"/>
        <v>6</v>
      </c>
    </row>
    <row r="75" spans="1:15" x14ac:dyDescent="0.3">
      <c r="A75" t="s">
        <v>164</v>
      </c>
      <c r="B75" s="1">
        <v>45990</v>
      </c>
      <c r="C75" t="s">
        <v>57</v>
      </c>
      <c r="D75" t="s">
        <v>32</v>
      </c>
      <c r="E75" t="s">
        <v>13</v>
      </c>
      <c r="F75" t="s">
        <v>51</v>
      </c>
      <c r="G75">
        <v>6</v>
      </c>
      <c r="H75" s="2">
        <v>1208.4000000000001</v>
      </c>
      <c r="I75" s="2">
        <f t="shared" si="6"/>
        <v>7250.4000000000005</v>
      </c>
      <c r="J75" t="s">
        <v>15</v>
      </c>
      <c r="L75">
        <f t="shared" si="7"/>
        <v>2025</v>
      </c>
      <c r="M75" s="2">
        <f t="shared" si="8"/>
        <v>14034.391494252872</v>
      </c>
      <c r="N75">
        <f t="shared" si="9"/>
        <v>7</v>
      </c>
      <c r="O75" s="5">
        <f t="shared" si="10"/>
        <v>11</v>
      </c>
    </row>
    <row r="76" spans="1:15" x14ac:dyDescent="0.3">
      <c r="A76" t="s">
        <v>165</v>
      </c>
      <c r="B76" s="1">
        <v>45680</v>
      </c>
      <c r="C76" t="s">
        <v>41</v>
      </c>
      <c r="D76" t="s">
        <v>23</v>
      </c>
      <c r="E76" t="s">
        <v>13</v>
      </c>
      <c r="F76" t="s">
        <v>161</v>
      </c>
      <c r="G76">
        <v>4</v>
      </c>
      <c r="H76" s="2">
        <v>4276.4799999999996</v>
      </c>
      <c r="I76" s="2">
        <f t="shared" si="6"/>
        <v>17105.919999999998</v>
      </c>
      <c r="J76" t="s">
        <v>26</v>
      </c>
      <c r="L76">
        <f t="shared" si="7"/>
        <v>2025</v>
      </c>
      <c r="M76" s="2">
        <f t="shared" si="8"/>
        <v>14113.275116279068</v>
      </c>
      <c r="N76">
        <f t="shared" si="9"/>
        <v>5</v>
      </c>
      <c r="O76" s="5">
        <f t="shared" si="10"/>
        <v>1</v>
      </c>
    </row>
    <row r="77" spans="1:15" x14ac:dyDescent="0.3">
      <c r="A77" t="s">
        <v>166</v>
      </c>
      <c r="B77" s="1">
        <v>45967</v>
      </c>
      <c r="C77" t="s">
        <v>103</v>
      </c>
      <c r="D77" t="s">
        <v>32</v>
      </c>
      <c r="E77" t="s">
        <v>38</v>
      </c>
      <c r="F77" t="s">
        <v>142</v>
      </c>
      <c r="G77">
        <v>6</v>
      </c>
      <c r="H77" s="2">
        <v>2853.31</v>
      </c>
      <c r="I77" s="2">
        <f t="shared" si="6"/>
        <v>17119.86</v>
      </c>
      <c r="J77" t="s">
        <v>26</v>
      </c>
      <c r="L77">
        <f t="shared" si="7"/>
        <v>2025</v>
      </c>
      <c r="M77" s="2">
        <f t="shared" si="8"/>
        <v>14078.067529411765</v>
      </c>
      <c r="N77">
        <f t="shared" si="9"/>
        <v>5</v>
      </c>
      <c r="O77" s="5">
        <f t="shared" si="10"/>
        <v>11</v>
      </c>
    </row>
    <row r="78" spans="1:15" x14ac:dyDescent="0.3">
      <c r="A78" t="s">
        <v>167</v>
      </c>
      <c r="B78" s="1">
        <v>45931</v>
      </c>
      <c r="C78" t="s">
        <v>160</v>
      </c>
      <c r="D78" t="s">
        <v>54</v>
      </c>
      <c r="E78" t="s">
        <v>24</v>
      </c>
      <c r="F78" t="s">
        <v>45</v>
      </c>
      <c r="G78">
        <v>10</v>
      </c>
      <c r="H78" s="2">
        <v>1818.6</v>
      </c>
      <c r="I78" s="2">
        <f t="shared" si="6"/>
        <v>18186</v>
      </c>
      <c r="J78" t="s">
        <v>15</v>
      </c>
      <c r="L78">
        <f t="shared" si="7"/>
        <v>2025</v>
      </c>
      <c r="M78" s="2">
        <f t="shared" si="8"/>
        <v>14041.855714285713</v>
      </c>
      <c r="N78">
        <f t="shared" si="9"/>
        <v>4</v>
      </c>
      <c r="O78" s="5">
        <f t="shared" si="10"/>
        <v>10</v>
      </c>
    </row>
    <row r="79" spans="1:15" x14ac:dyDescent="0.3">
      <c r="A79" t="s">
        <v>168</v>
      </c>
      <c r="B79" s="1">
        <v>45881</v>
      </c>
      <c r="C79" t="s">
        <v>66</v>
      </c>
      <c r="D79" t="s">
        <v>54</v>
      </c>
      <c r="E79" t="s">
        <v>13</v>
      </c>
      <c r="F79" t="s">
        <v>155</v>
      </c>
      <c r="G79">
        <v>9</v>
      </c>
      <c r="H79" s="2">
        <v>1570.53</v>
      </c>
      <c r="I79" s="2">
        <f t="shared" si="6"/>
        <v>14134.77</v>
      </c>
      <c r="J79" t="s">
        <v>20</v>
      </c>
      <c r="L79">
        <f t="shared" si="7"/>
        <v>2025</v>
      </c>
      <c r="M79" s="2">
        <f t="shared" si="8"/>
        <v>13991.92626506024</v>
      </c>
      <c r="N79">
        <f t="shared" si="9"/>
        <v>3</v>
      </c>
      <c r="O79" s="5">
        <f t="shared" si="10"/>
        <v>8</v>
      </c>
    </row>
    <row r="80" spans="1:15" x14ac:dyDescent="0.3">
      <c r="A80" t="s">
        <v>169</v>
      </c>
      <c r="B80" s="1">
        <v>45746</v>
      </c>
      <c r="C80" t="s">
        <v>83</v>
      </c>
      <c r="D80" t="s">
        <v>23</v>
      </c>
      <c r="E80" t="s">
        <v>24</v>
      </c>
      <c r="F80" t="s">
        <v>45</v>
      </c>
      <c r="G80">
        <v>5</v>
      </c>
      <c r="H80" s="2">
        <v>309.68</v>
      </c>
      <c r="I80" s="2">
        <f t="shared" si="6"/>
        <v>1548.4</v>
      </c>
      <c r="J80" t="s">
        <v>20</v>
      </c>
      <c r="L80">
        <f t="shared" si="7"/>
        <v>2025</v>
      </c>
      <c r="M80" s="2">
        <f t="shared" si="8"/>
        <v>13990.184268292684</v>
      </c>
      <c r="N80">
        <f t="shared" si="9"/>
        <v>1</v>
      </c>
      <c r="O80" s="5">
        <f t="shared" si="10"/>
        <v>3</v>
      </c>
    </row>
    <row r="81" spans="1:15" x14ac:dyDescent="0.3">
      <c r="A81" t="s">
        <v>170</v>
      </c>
      <c r="B81" s="1">
        <v>45874</v>
      </c>
      <c r="C81" t="s">
        <v>85</v>
      </c>
      <c r="D81" t="s">
        <v>12</v>
      </c>
      <c r="E81" t="s">
        <v>24</v>
      </c>
      <c r="F81" t="s">
        <v>94</v>
      </c>
      <c r="G81">
        <v>2</v>
      </c>
      <c r="H81" s="2">
        <v>2453</v>
      </c>
      <c r="I81" s="2">
        <f t="shared" si="6"/>
        <v>4906</v>
      </c>
      <c r="J81" t="s">
        <v>73</v>
      </c>
      <c r="L81">
        <f t="shared" si="7"/>
        <v>2025</v>
      </c>
      <c r="M81" s="2">
        <f t="shared" si="8"/>
        <v>14143.786543209877</v>
      </c>
      <c r="N81">
        <f t="shared" si="9"/>
        <v>3</v>
      </c>
      <c r="O81" s="5">
        <f t="shared" si="10"/>
        <v>8</v>
      </c>
    </row>
    <row r="82" spans="1:15" x14ac:dyDescent="0.3">
      <c r="A82" t="s">
        <v>171</v>
      </c>
      <c r="B82" s="1">
        <v>45936</v>
      </c>
      <c r="C82" t="s">
        <v>47</v>
      </c>
      <c r="D82" t="s">
        <v>32</v>
      </c>
      <c r="E82" t="s">
        <v>33</v>
      </c>
      <c r="F82" t="s">
        <v>34</v>
      </c>
      <c r="G82">
        <v>7</v>
      </c>
      <c r="H82" s="2">
        <v>1405.98</v>
      </c>
      <c r="I82" s="2">
        <f t="shared" si="6"/>
        <v>9841.86</v>
      </c>
      <c r="J82" t="s">
        <v>15</v>
      </c>
      <c r="L82">
        <f t="shared" si="7"/>
        <v>2025</v>
      </c>
      <c r="M82" s="2">
        <f t="shared" si="8"/>
        <v>14259.258875</v>
      </c>
      <c r="N82">
        <f t="shared" si="9"/>
        <v>2</v>
      </c>
      <c r="O82" s="5">
        <f t="shared" si="10"/>
        <v>10</v>
      </c>
    </row>
    <row r="83" spans="1:15" x14ac:dyDescent="0.3">
      <c r="A83" t="s">
        <v>172</v>
      </c>
      <c r="B83" s="1">
        <v>45838</v>
      </c>
      <c r="C83" t="s">
        <v>81</v>
      </c>
      <c r="D83" t="s">
        <v>54</v>
      </c>
      <c r="E83" t="s">
        <v>33</v>
      </c>
      <c r="F83" t="s">
        <v>79</v>
      </c>
      <c r="G83">
        <v>1</v>
      </c>
      <c r="H83" s="2">
        <v>1933.48</v>
      </c>
      <c r="I83" s="2">
        <f t="shared" si="6"/>
        <v>1933.48</v>
      </c>
      <c r="J83" t="s">
        <v>20</v>
      </c>
      <c r="L83">
        <f t="shared" si="7"/>
        <v>2025</v>
      </c>
      <c r="M83" s="2">
        <f t="shared" si="8"/>
        <v>14315.175316455694</v>
      </c>
      <c r="N83">
        <f t="shared" si="9"/>
        <v>2</v>
      </c>
      <c r="O83" s="5">
        <f t="shared" si="10"/>
        <v>6</v>
      </c>
    </row>
    <row r="84" spans="1:15" x14ac:dyDescent="0.3">
      <c r="A84" t="s">
        <v>173</v>
      </c>
      <c r="B84" s="1">
        <v>45961</v>
      </c>
      <c r="C84" t="s">
        <v>137</v>
      </c>
      <c r="D84" t="s">
        <v>29</v>
      </c>
      <c r="E84" t="s">
        <v>24</v>
      </c>
      <c r="F84" t="s">
        <v>45</v>
      </c>
      <c r="G84">
        <v>5</v>
      </c>
      <c r="H84" s="2">
        <v>4970.7700000000004</v>
      </c>
      <c r="I84" s="2">
        <f t="shared" si="6"/>
        <v>24853.850000000002</v>
      </c>
      <c r="J84" t="s">
        <v>20</v>
      </c>
      <c r="L84">
        <f t="shared" si="7"/>
        <v>2025</v>
      </c>
      <c r="M84" s="2">
        <f t="shared" si="8"/>
        <v>14473.914999999999</v>
      </c>
      <c r="N84">
        <f t="shared" si="9"/>
        <v>6</v>
      </c>
      <c r="O84" s="5">
        <f t="shared" si="10"/>
        <v>10</v>
      </c>
    </row>
    <row r="85" spans="1:15" x14ac:dyDescent="0.3">
      <c r="A85" t="s">
        <v>174</v>
      </c>
      <c r="B85" s="1">
        <v>45866</v>
      </c>
      <c r="C85" t="s">
        <v>81</v>
      </c>
      <c r="D85" t="s">
        <v>12</v>
      </c>
      <c r="E85" t="s">
        <v>38</v>
      </c>
      <c r="F85" t="s">
        <v>39</v>
      </c>
      <c r="G85">
        <v>1</v>
      </c>
      <c r="H85" s="2">
        <v>2808.34</v>
      </c>
      <c r="I85" s="2">
        <f t="shared" si="6"/>
        <v>2808.34</v>
      </c>
      <c r="J85" t="s">
        <v>26</v>
      </c>
      <c r="L85">
        <f t="shared" si="7"/>
        <v>2025</v>
      </c>
      <c r="M85" s="2">
        <f t="shared" si="8"/>
        <v>14339.11064935065</v>
      </c>
      <c r="N85">
        <f t="shared" si="9"/>
        <v>2</v>
      </c>
      <c r="O85" s="5">
        <f t="shared" si="10"/>
        <v>7</v>
      </c>
    </row>
    <row r="86" spans="1:15" x14ac:dyDescent="0.3">
      <c r="A86" t="s">
        <v>175</v>
      </c>
      <c r="B86" s="1">
        <v>45792</v>
      </c>
      <c r="C86" t="s">
        <v>129</v>
      </c>
      <c r="D86" t="s">
        <v>12</v>
      </c>
      <c r="E86" t="s">
        <v>18</v>
      </c>
      <c r="F86" t="s">
        <v>132</v>
      </c>
      <c r="G86">
        <v>9</v>
      </c>
      <c r="H86" s="2">
        <v>772.44</v>
      </c>
      <c r="I86" s="2">
        <f t="shared" si="6"/>
        <v>6951.9600000000009</v>
      </c>
      <c r="J86" t="s">
        <v>20</v>
      </c>
      <c r="L86">
        <f t="shared" si="7"/>
        <v>2025</v>
      </c>
      <c r="M86" s="2">
        <f t="shared" si="8"/>
        <v>14490.831315789474</v>
      </c>
      <c r="N86">
        <f t="shared" si="9"/>
        <v>5</v>
      </c>
      <c r="O86" s="5">
        <f t="shared" si="10"/>
        <v>5</v>
      </c>
    </row>
    <row r="87" spans="1:15" x14ac:dyDescent="0.3">
      <c r="A87" t="s">
        <v>176</v>
      </c>
      <c r="B87" s="1">
        <v>45880</v>
      </c>
      <c r="C87" t="s">
        <v>31</v>
      </c>
      <c r="D87" t="s">
        <v>54</v>
      </c>
      <c r="E87" t="s">
        <v>33</v>
      </c>
      <c r="F87" t="s">
        <v>79</v>
      </c>
      <c r="G87">
        <v>8</v>
      </c>
      <c r="H87" s="2">
        <v>1258.0899999999999</v>
      </c>
      <c r="I87" s="2">
        <f t="shared" si="6"/>
        <v>10064.719999999999</v>
      </c>
      <c r="J87" t="s">
        <v>35</v>
      </c>
      <c r="L87">
        <f t="shared" si="7"/>
        <v>2025</v>
      </c>
      <c r="M87" s="2">
        <f t="shared" si="8"/>
        <v>14591.3496</v>
      </c>
      <c r="N87">
        <f t="shared" si="9"/>
        <v>2</v>
      </c>
      <c r="O87" s="5">
        <f t="shared" si="10"/>
        <v>8</v>
      </c>
    </row>
    <row r="88" spans="1:15" x14ac:dyDescent="0.3">
      <c r="A88" t="s">
        <v>177</v>
      </c>
      <c r="B88" s="1">
        <v>45913</v>
      </c>
      <c r="C88" t="s">
        <v>160</v>
      </c>
      <c r="D88" t="s">
        <v>12</v>
      </c>
      <c r="E88" t="s">
        <v>13</v>
      </c>
      <c r="F88" t="s">
        <v>97</v>
      </c>
      <c r="G88">
        <v>3</v>
      </c>
      <c r="H88" s="2">
        <v>2350.61</v>
      </c>
      <c r="I88" s="2">
        <f t="shared" si="6"/>
        <v>7051.83</v>
      </c>
      <c r="J88" t="s">
        <v>35</v>
      </c>
      <c r="L88">
        <f t="shared" si="7"/>
        <v>2025</v>
      </c>
      <c r="M88" s="2">
        <f t="shared" si="8"/>
        <v>14652.520270270266</v>
      </c>
      <c r="N88">
        <f t="shared" si="9"/>
        <v>7</v>
      </c>
      <c r="O88" s="5">
        <f t="shared" si="10"/>
        <v>9</v>
      </c>
    </row>
    <row r="89" spans="1:15" x14ac:dyDescent="0.3">
      <c r="A89" t="s">
        <v>178</v>
      </c>
      <c r="B89" s="1">
        <v>45839</v>
      </c>
      <c r="C89" t="s">
        <v>83</v>
      </c>
      <c r="D89" t="s">
        <v>12</v>
      </c>
      <c r="E89" t="s">
        <v>33</v>
      </c>
      <c r="F89" t="s">
        <v>34</v>
      </c>
      <c r="G89">
        <v>1</v>
      </c>
      <c r="H89" s="2">
        <v>463.46</v>
      </c>
      <c r="I89" s="2">
        <f t="shared" si="6"/>
        <v>463.46</v>
      </c>
      <c r="J89" t="s">
        <v>15</v>
      </c>
      <c r="L89">
        <f t="shared" si="7"/>
        <v>2025</v>
      </c>
      <c r="M89" s="2">
        <f t="shared" si="8"/>
        <v>14756.639315068493</v>
      </c>
      <c r="N89">
        <f t="shared" si="9"/>
        <v>3</v>
      </c>
      <c r="O89" s="5">
        <f t="shared" si="10"/>
        <v>7</v>
      </c>
    </row>
    <row r="90" spans="1:15" x14ac:dyDescent="0.3">
      <c r="A90" t="s">
        <v>179</v>
      </c>
      <c r="B90" s="1">
        <v>45665</v>
      </c>
      <c r="C90" t="s">
        <v>63</v>
      </c>
      <c r="D90" t="s">
        <v>12</v>
      </c>
      <c r="E90" t="s">
        <v>13</v>
      </c>
      <c r="F90" t="s">
        <v>14</v>
      </c>
      <c r="G90">
        <v>8</v>
      </c>
      <c r="H90" s="2">
        <v>3232.15</v>
      </c>
      <c r="I90" s="2">
        <f t="shared" si="6"/>
        <v>25857.200000000001</v>
      </c>
      <c r="J90" t="s">
        <v>35</v>
      </c>
      <c r="L90">
        <f t="shared" si="7"/>
        <v>2025</v>
      </c>
      <c r="M90" s="2">
        <f t="shared" si="8"/>
        <v>14955.155694444444</v>
      </c>
      <c r="N90">
        <f t="shared" si="9"/>
        <v>4</v>
      </c>
      <c r="O90" s="5">
        <f t="shared" si="10"/>
        <v>1</v>
      </c>
    </row>
    <row r="91" spans="1:15" x14ac:dyDescent="0.3">
      <c r="A91" t="s">
        <v>180</v>
      </c>
      <c r="B91" s="1">
        <v>45768</v>
      </c>
      <c r="C91" t="s">
        <v>66</v>
      </c>
      <c r="D91" t="s">
        <v>29</v>
      </c>
      <c r="E91" t="s">
        <v>38</v>
      </c>
      <c r="F91" t="s">
        <v>42</v>
      </c>
      <c r="G91">
        <v>7</v>
      </c>
      <c r="H91" s="2">
        <v>1044.6099999999999</v>
      </c>
      <c r="I91" s="2">
        <f t="shared" si="6"/>
        <v>7312.2699999999995</v>
      </c>
      <c r="J91" t="s">
        <v>15</v>
      </c>
      <c r="L91">
        <f t="shared" si="7"/>
        <v>2025</v>
      </c>
      <c r="M91" s="2">
        <f t="shared" si="8"/>
        <v>14801.605774647887</v>
      </c>
      <c r="N91">
        <f t="shared" si="9"/>
        <v>2</v>
      </c>
      <c r="O91" s="5">
        <f t="shared" si="10"/>
        <v>4</v>
      </c>
    </row>
    <row r="92" spans="1:15" x14ac:dyDescent="0.3">
      <c r="A92" t="s">
        <v>181</v>
      </c>
      <c r="B92" s="1">
        <v>45939</v>
      </c>
      <c r="C92" t="s">
        <v>182</v>
      </c>
      <c r="D92" t="s">
        <v>23</v>
      </c>
      <c r="E92" t="s">
        <v>13</v>
      </c>
      <c r="F92" t="s">
        <v>97</v>
      </c>
      <c r="G92">
        <v>1</v>
      </c>
      <c r="H92" s="2">
        <v>1612.7</v>
      </c>
      <c r="I92" s="2">
        <f t="shared" si="6"/>
        <v>1612.7</v>
      </c>
      <c r="J92" t="s">
        <v>35</v>
      </c>
      <c r="L92">
        <f t="shared" si="7"/>
        <v>2025</v>
      </c>
      <c r="M92" s="2">
        <f t="shared" si="8"/>
        <v>14908.596285714286</v>
      </c>
      <c r="N92">
        <f t="shared" si="9"/>
        <v>5</v>
      </c>
      <c r="O92" s="5">
        <f t="shared" si="10"/>
        <v>10</v>
      </c>
    </row>
    <row r="93" spans="1:15" x14ac:dyDescent="0.3">
      <c r="A93" t="s">
        <v>183</v>
      </c>
      <c r="B93" s="1">
        <v>46009</v>
      </c>
      <c r="C93" t="s">
        <v>137</v>
      </c>
      <c r="D93" t="s">
        <v>29</v>
      </c>
      <c r="E93" t="s">
        <v>18</v>
      </c>
      <c r="F93" t="s">
        <v>67</v>
      </c>
      <c r="G93">
        <v>8</v>
      </c>
      <c r="H93" s="2">
        <v>3856.77</v>
      </c>
      <c r="I93" s="2">
        <f t="shared" si="6"/>
        <v>30854.16</v>
      </c>
      <c r="J93" t="s">
        <v>20</v>
      </c>
      <c r="L93">
        <f t="shared" si="7"/>
        <v>2025</v>
      </c>
      <c r="M93" s="2">
        <f t="shared" si="8"/>
        <v>15101.29043478261</v>
      </c>
      <c r="N93">
        <f t="shared" si="9"/>
        <v>5</v>
      </c>
      <c r="O93" s="5">
        <f t="shared" si="10"/>
        <v>12</v>
      </c>
    </row>
    <row r="94" spans="1:15" x14ac:dyDescent="0.3">
      <c r="A94" t="s">
        <v>184</v>
      </c>
      <c r="B94" s="1">
        <v>45951</v>
      </c>
      <c r="C94" t="s">
        <v>53</v>
      </c>
      <c r="D94" t="s">
        <v>12</v>
      </c>
      <c r="E94" t="s">
        <v>24</v>
      </c>
      <c r="F94" t="s">
        <v>25</v>
      </c>
      <c r="G94">
        <v>10</v>
      </c>
      <c r="H94" s="2">
        <v>4143.74</v>
      </c>
      <c r="I94" s="2">
        <f t="shared" si="6"/>
        <v>41437.399999999994</v>
      </c>
      <c r="J94" t="s">
        <v>26</v>
      </c>
      <c r="L94">
        <f t="shared" si="7"/>
        <v>2025</v>
      </c>
      <c r="M94" s="2">
        <f t="shared" si="8"/>
        <v>14869.630588235295</v>
      </c>
      <c r="N94">
        <f t="shared" si="9"/>
        <v>3</v>
      </c>
      <c r="O94" s="5">
        <f t="shared" si="10"/>
        <v>10</v>
      </c>
    </row>
    <row r="95" spans="1:15" x14ac:dyDescent="0.3">
      <c r="A95" t="s">
        <v>185</v>
      </c>
      <c r="B95" s="1">
        <v>45760</v>
      </c>
      <c r="C95" t="s">
        <v>105</v>
      </c>
      <c r="D95" t="s">
        <v>32</v>
      </c>
      <c r="E95" t="s">
        <v>33</v>
      </c>
      <c r="F95" t="s">
        <v>186</v>
      </c>
      <c r="G95">
        <v>9</v>
      </c>
      <c r="H95" s="2">
        <v>1382.2</v>
      </c>
      <c r="I95" s="2">
        <f t="shared" si="6"/>
        <v>12439.800000000001</v>
      </c>
      <c r="J95" t="s">
        <v>35</v>
      </c>
      <c r="L95">
        <f t="shared" si="7"/>
        <v>2025</v>
      </c>
      <c r="M95" s="2">
        <f t="shared" si="8"/>
        <v>14473.096716417911</v>
      </c>
      <c r="N95">
        <f t="shared" si="9"/>
        <v>1</v>
      </c>
      <c r="O95" s="5">
        <f t="shared" si="10"/>
        <v>4</v>
      </c>
    </row>
    <row r="96" spans="1:15" x14ac:dyDescent="0.3">
      <c r="A96" t="s">
        <v>187</v>
      </c>
      <c r="B96" s="1">
        <v>45857</v>
      </c>
      <c r="C96" t="s">
        <v>44</v>
      </c>
      <c r="D96" t="s">
        <v>23</v>
      </c>
      <c r="E96" t="s">
        <v>13</v>
      </c>
      <c r="F96" t="s">
        <v>155</v>
      </c>
      <c r="G96">
        <v>8</v>
      </c>
      <c r="H96" s="2">
        <v>150.54</v>
      </c>
      <c r="I96" s="2">
        <f t="shared" si="6"/>
        <v>1204.32</v>
      </c>
      <c r="J96" t="s">
        <v>15</v>
      </c>
      <c r="L96">
        <f t="shared" si="7"/>
        <v>2025</v>
      </c>
      <c r="M96" s="2">
        <f t="shared" si="8"/>
        <v>14503.904242424242</v>
      </c>
      <c r="N96">
        <f t="shared" si="9"/>
        <v>7</v>
      </c>
      <c r="O96" s="5">
        <f t="shared" si="10"/>
        <v>7</v>
      </c>
    </row>
    <row r="97" spans="1:15" x14ac:dyDescent="0.3">
      <c r="A97" t="s">
        <v>188</v>
      </c>
      <c r="B97" s="1">
        <v>45673</v>
      </c>
      <c r="C97" t="s">
        <v>41</v>
      </c>
      <c r="D97" t="s">
        <v>23</v>
      </c>
      <c r="E97" t="s">
        <v>38</v>
      </c>
      <c r="F97" t="s">
        <v>42</v>
      </c>
      <c r="G97">
        <v>1</v>
      </c>
      <c r="H97" s="2">
        <v>923.19</v>
      </c>
      <c r="I97" s="2">
        <f t="shared" si="6"/>
        <v>923.19</v>
      </c>
      <c r="J97" t="s">
        <v>15</v>
      </c>
      <c r="L97">
        <f t="shared" si="7"/>
        <v>2025</v>
      </c>
      <c r="M97" s="2">
        <f t="shared" si="8"/>
        <v>14708.513230769231</v>
      </c>
      <c r="N97">
        <f t="shared" si="9"/>
        <v>5</v>
      </c>
      <c r="O97" s="5">
        <f t="shared" si="10"/>
        <v>1</v>
      </c>
    </row>
    <row r="98" spans="1:15" x14ac:dyDescent="0.3">
      <c r="A98" t="s">
        <v>189</v>
      </c>
      <c r="B98" s="1">
        <v>45811</v>
      </c>
      <c r="C98" t="s">
        <v>57</v>
      </c>
      <c r="D98" t="s">
        <v>23</v>
      </c>
      <c r="E98" t="s">
        <v>18</v>
      </c>
      <c r="F98" t="s">
        <v>67</v>
      </c>
      <c r="G98">
        <v>7</v>
      </c>
      <c r="H98" s="2">
        <v>932.55</v>
      </c>
      <c r="I98" s="2">
        <f t="shared" ref="I98:I129" si="11">G98*H98</f>
        <v>6527.8499999999995</v>
      </c>
      <c r="J98" t="s">
        <v>20</v>
      </c>
      <c r="L98">
        <f t="shared" si="7"/>
        <v>2025</v>
      </c>
      <c r="M98" s="2">
        <f t="shared" si="8"/>
        <v>14923.908906250001</v>
      </c>
      <c r="N98">
        <f t="shared" si="9"/>
        <v>3</v>
      </c>
      <c r="O98" s="5">
        <f t="shared" si="10"/>
        <v>6</v>
      </c>
    </row>
    <row r="99" spans="1:15" x14ac:dyDescent="0.3">
      <c r="A99" t="s">
        <v>190</v>
      </c>
      <c r="B99" s="1">
        <v>45849</v>
      </c>
      <c r="C99" t="s">
        <v>101</v>
      </c>
      <c r="D99" t="s">
        <v>54</v>
      </c>
      <c r="E99" t="s">
        <v>38</v>
      </c>
      <c r="F99" t="s">
        <v>142</v>
      </c>
      <c r="G99">
        <v>8</v>
      </c>
      <c r="H99" s="2">
        <v>2403.54</v>
      </c>
      <c r="I99" s="2">
        <f t="shared" si="11"/>
        <v>19228.32</v>
      </c>
      <c r="J99" t="s">
        <v>73</v>
      </c>
      <c r="L99">
        <f t="shared" si="7"/>
        <v>2025</v>
      </c>
      <c r="M99" s="2">
        <f t="shared" si="8"/>
        <v>15057.179682539681</v>
      </c>
      <c r="N99">
        <f t="shared" si="9"/>
        <v>6</v>
      </c>
      <c r="O99" s="5">
        <f t="shared" si="10"/>
        <v>7</v>
      </c>
    </row>
    <row r="100" spans="1:15" x14ac:dyDescent="0.3">
      <c r="A100" t="s">
        <v>191</v>
      </c>
      <c r="B100" s="1">
        <v>45980</v>
      </c>
      <c r="C100" t="s">
        <v>141</v>
      </c>
      <c r="D100" t="s">
        <v>12</v>
      </c>
      <c r="E100" t="s">
        <v>33</v>
      </c>
      <c r="F100" t="s">
        <v>34</v>
      </c>
      <c r="G100">
        <v>3</v>
      </c>
      <c r="H100" s="2">
        <v>3500.09</v>
      </c>
      <c r="I100" s="2">
        <f t="shared" si="11"/>
        <v>10500.27</v>
      </c>
      <c r="J100" t="s">
        <v>35</v>
      </c>
      <c r="L100">
        <f t="shared" si="7"/>
        <v>2025</v>
      </c>
      <c r="M100" s="2">
        <f t="shared" si="8"/>
        <v>14989.903225806451</v>
      </c>
      <c r="N100">
        <f t="shared" si="9"/>
        <v>4</v>
      </c>
      <c r="O100" s="5">
        <f t="shared" si="10"/>
        <v>11</v>
      </c>
    </row>
    <row r="101" spans="1:15" x14ac:dyDescent="0.3">
      <c r="A101" t="s">
        <v>192</v>
      </c>
      <c r="B101" s="1">
        <v>45915</v>
      </c>
      <c r="C101" t="s">
        <v>37</v>
      </c>
      <c r="D101" t="s">
        <v>29</v>
      </c>
      <c r="E101" t="s">
        <v>13</v>
      </c>
      <c r="F101" t="s">
        <v>87</v>
      </c>
      <c r="G101">
        <v>8</v>
      </c>
      <c r="H101" s="2">
        <v>1178.18</v>
      </c>
      <c r="I101" s="2">
        <f t="shared" si="11"/>
        <v>9425.44</v>
      </c>
      <c r="J101" t="s">
        <v>35</v>
      </c>
      <c r="L101">
        <f t="shared" si="7"/>
        <v>2025</v>
      </c>
      <c r="M101" s="2">
        <f t="shared" si="8"/>
        <v>15063.503770491803</v>
      </c>
      <c r="N101">
        <f t="shared" si="9"/>
        <v>2</v>
      </c>
      <c r="O101" s="5">
        <f t="shared" si="10"/>
        <v>9</v>
      </c>
    </row>
    <row r="102" spans="1:15" x14ac:dyDescent="0.3">
      <c r="A102" t="s">
        <v>193</v>
      </c>
      <c r="B102" s="1">
        <v>46010</v>
      </c>
      <c r="C102" t="s">
        <v>37</v>
      </c>
      <c r="D102" t="s">
        <v>23</v>
      </c>
      <c r="E102" t="s">
        <v>18</v>
      </c>
      <c r="F102" t="s">
        <v>132</v>
      </c>
      <c r="G102">
        <v>6</v>
      </c>
      <c r="H102" s="2">
        <v>1743.21</v>
      </c>
      <c r="I102" s="2">
        <f t="shared" si="11"/>
        <v>10459.26</v>
      </c>
      <c r="J102" t="s">
        <v>15</v>
      </c>
      <c r="L102">
        <f t="shared" si="7"/>
        <v>2025</v>
      </c>
      <c r="M102" s="2">
        <f t="shared" si="8"/>
        <v>15157.471500000001</v>
      </c>
      <c r="N102">
        <f t="shared" si="9"/>
        <v>6</v>
      </c>
      <c r="O102" s="5">
        <f t="shared" si="10"/>
        <v>12</v>
      </c>
    </row>
    <row r="103" spans="1:15" x14ac:dyDescent="0.3">
      <c r="A103" t="s">
        <v>194</v>
      </c>
      <c r="B103" s="1">
        <v>46018</v>
      </c>
      <c r="C103" t="s">
        <v>195</v>
      </c>
      <c r="D103" t="s">
        <v>54</v>
      </c>
      <c r="E103" t="s">
        <v>38</v>
      </c>
      <c r="F103" t="s">
        <v>42</v>
      </c>
      <c r="G103">
        <v>7</v>
      </c>
      <c r="H103" s="2">
        <v>910.01</v>
      </c>
      <c r="I103" s="2">
        <f t="shared" si="11"/>
        <v>6370.07</v>
      </c>
      <c r="J103" t="s">
        <v>15</v>
      </c>
      <c r="L103">
        <f t="shared" si="7"/>
        <v>2025</v>
      </c>
      <c r="M103" s="2">
        <f t="shared" si="8"/>
        <v>15237.102203389832</v>
      </c>
      <c r="N103">
        <f t="shared" si="9"/>
        <v>7</v>
      </c>
      <c r="O103" s="5">
        <f t="shared" si="10"/>
        <v>12</v>
      </c>
    </row>
    <row r="104" spans="1:15" x14ac:dyDescent="0.3">
      <c r="A104" t="s">
        <v>196</v>
      </c>
      <c r="B104" s="1">
        <v>46022</v>
      </c>
      <c r="C104" t="s">
        <v>44</v>
      </c>
      <c r="D104" t="s">
        <v>12</v>
      </c>
      <c r="E104" t="s">
        <v>33</v>
      </c>
      <c r="F104" t="s">
        <v>79</v>
      </c>
      <c r="G104">
        <v>3</v>
      </c>
      <c r="H104" s="2">
        <v>438.75</v>
      </c>
      <c r="I104" s="2">
        <f t="shared" si="11"/>
        <v>1316.25</v>
      </c>
      <c r="J104" t="s">
        <v>35</v>
      </c>
      <c r="L104">
        <f t="shared" si="7"/>
        <v>2025</v>
      </c>
      <c r="M104" s="2">
        <f t="shared" si="8"/>
        <v>15389.982068965517</v>
      </c>
      <c r="N104">
        <f t="shared" si="9"/>
        <v>4</v>
      </c>
      <c r="O104" s="5">
        <f t="shared" si="10"/>
        <v>12</v>
      </c>
    </row>
    <row r="105" spans="1:15" x14ac:dyDescent="0.3">
      <c r="A105" t="s">
        <v>197</v>
      </c>
      <c r="B105" s="1">
        <v>45702</v>
      </c>
      <c r="C105" t="s">
        <v>112</v>
      </c>
      <c r="D105" t="s">
        <v>32</v>
      </c>
      <c r="E105" t="s">
        <v>18</v>
      </c>
      <c r="F105" t="s">
        <v>19</v>
      </c>
      <c r="G105">
        <v>5</v>
      </c>
      <c r="H105" s="2">
        <v>2272.88</v>
      </c>
      <c r="I105" s="2">
        <f t="shared" si="11"/>
        <v>11364.400000000001</v>
      </c>
      <c r="J105" t="s">
        <v>26</v>
      </c>
      <c r="L105">
        <f t="shared" si="7"/>
        <v>2025</v>
      </c>
      <c r="M105" s="2">
        <f t="shared" si="8"/>
        <v>15636.889649122806</v>
      </c>
      <c r="N105">
        <f t="shared" si="9"/>
        <v>6</v>
      </c>
      <c r="O105" s="5">
        <f t="shared" si="10"/>
        <v>2</v>
      </c>
    </row>
    <row r="106" spans="1:15" x14ac:dyDescent="0.3">
      <c r="A106" t="s">
        <v>198</v>
      </c>
      <c r="B106" s="1">
        <v>45661</v>
      </c>
      <c r="C106" t="s">
        <v>17</v>
      </c>
      <c r="D106" t="s">
        <v>29</v>
      </c>
      <c r="E106" t="s">
        <v>18</v>
      </c>
      <c r="F106" t="s">
        <v>132</v>
      </c>
      <c r="G106">
        <v>7</v>
      </c>
      <c r="H106" s="2">
        <v>1697.42</v>
      </c>
      <c r="I106" s="2">
        <f t="shared" si="11"/>
        <v>11881.94</v>
      </c>
      <c r="J106" t="s">
        <v>15</v>
      </c>
      <c r="L106">
        <f t="shared" si="7"/>
        <v>2025</v>
      </c>
      <c r="M106" s="2">
        <f t="shared" si="8"/>
        <v>15713.184107142859</v>
      </c>
      <c r="N106">
        <f t="shared" si="9"/>
        <v>7</v>
      </c>
      <c r="O106" s="5">
        <f t="shared" si="10"/>
        <v>1</v>
      </c>
    </row>
    <row r="107" spans="1:15" x14ac:dyDescent="0.3">
      <c r="A107" t="s">
        <v>199</v>
      </c>
      <c r="B107" s="1">
        <v>45976</v>
      </c>
      <c r="C107" t="s">
        <v>129</v>
      </c>
      <c r="D107" t="s">
        <v>32</v>
      </c>
      <c r="E107" t="s">
        <v>13</v>
      </c>
      <c r="F107" t="s">
        <v>155</v>
      </c>
      <c r="G107">
        <v>3</v>
      </c>
      <c r="H107" s="2">
        <v>4782.07</v>
      </c>
      <c r="I107" s="2">
        <f t="shared" si="11"/>
        <v>14346.21</v>
      </c>
      <c r="J107" t="s">
        <v>73</v>
      </c>
      <c r="L107">
        <f t="shared" si="7"/>
        <v>2025</v>
      </c>
      <c r="M107" s="2">
        <f t="shared" si="8"/>
        <v>15782.843090909091</v>
      </c>
      <c r="N107">
        <f t="shared" si="9"/>
        <v>7</v>
      </c>
      <c r="O107" s="5">
        <f t="shared" si="10"/>
        <v>11</v>
      </c>
    </row>
    <row r="108" spans="1:15" x14ac:dyDescent="0.3">
      <c r="A108" t="s">
        <v>200</v>
      </c>
      <c r="B108" s="1">
        <v>45895</v>
      </c>
      <c r="C108" t="s">
        <v>17</v>
      </c>
      <c r="D108" t="s">
        <v>32</v>
      </c>
      <c r="E108" t="s">
        <v>13</v>
      </c>
      <c r="F108" t="s">
        <v>14</v>
      </c>
      <c r="G108">
        <v>10</v>
      </c>
      <c r="H108" s="2">
        <v>3039.57</v>
      </c>
      <c r="I108" s="2">
        <f t="shared" si="11"/>
        <v>30395.7</v>
      </c>
      <c r="J108" t="s">
        <v>26</v>
      </c>
      <c r="L108">
        <f t="shared" si="7"/>
        <v>2025</v>
      </c>
      <c r="M108" s="2">
        <f t="shared" si="8"/>
        <v>15809.447407407408</v>
      </c>
      <c r="N108">
        <f t="shared" si="9"/>
        <v>3</v>
      </c>
      <c r="O108" s="5">
        <f t="shared" si="10"/>
        <v>8</v>
      </c>
    </row>
    <row r="109" spans="1:15" x14ac:dyDescent="0.3">
      <c r="A109" t="s">
        <v>201</v>
      </c>
      <c r="B109" s="1">
        <v>45886</v>
      </c>
      <c r="C109" t="s">
        <v>202</v>
      </c>
      <c r="D109" t="s">
        <v>32</v>
      </c>
      <c r="E109" t="s">
        <v>24</v>
      </c>
      <c r="F109" t="s">
        <v>69</v>
      </c>
      <c r="G109">
        <v>1</v>
      </c>
      <c r="H109" s="2">
        <v>4830.09</v>
      </c>
      <c r="I109" s="2">
        <f t="shared" si="11"/>
        <v>4830.09</v>
      </c>
      <c r="J109" t="s">
        <v>73</v>
      </c>
      <c r="L109">
        <f t="shared" si="7"/>
        <v>2025</v>
      </c>
      <c r="M109" s="2">
        <f t="shared" si="8"/>
        <v>15534.235094339625</v>
      </c>
      <c r="N109">
        <f t="shared" si="9"/>
        <v>1</v>
      </c>
      <c r="O109" s="5">
        <f t="shared" si="10"/>
        <v>8</v>
      </c>
    </row>
    <row r="110" spans="1:15" x14ac:dyDescent="0.3">
      <c r="A110" t="s">
        <v>203</v>
      </c>
      <c r="B110" s="1">
        <v>45756</v>
      </c>
      <c r="C110" t="s">
        <v>151</v>
      </c>
      <c r="D110" t="s">
        <v>23</v>
      </c>
      <c r="E110" t="s">
        <v>18</v>
      </c>
      <c r="F110" t="s">
        <v>125</v>
      </c>
      <c r="G110">
        <v>7</v>
      </c>
      <c r="H110" s="2">
        <v>2264.4499999999998</v>
      </c>
      <c r="I110" s="2">
        <f t="shared" si="11"/>
        <v>15851.149999999998</v>
      </c>
      <c r="J110" t="s">
        <v>20</v>
      </c>
      <c r="L110">
        <f t="shared" si="7"/>
        <v>2025</v>
      </c>
      <c r="M110" s="2">
        <f t="shared" si="8"/>
        <v>15740.08403846154</v>
      </c>
      <c r="N110">
        <f t="shared" si="9"/>
        <v>4</v>
      </c>
      <c r="O110" s="5">
        <f t="shared" si="10"/>
        <v>4</v>
      </c>
    </row>
    <row r="111" spans="1:15" x14ac:dyDescent="0.3">
      <c r="A111" t="s">
        <v>204</v>
      </c>
      <c r="B111" s="1">
        <v>45688</v>
      </c>
      <c r="C111" t="s">
        <v>85</v>
      </c>
      <c r="D111" t="s">
        <v>12</v>
      </c>
      <c r="E111" t="s">
        <v>24</v>
      </c>
      <c r="F111" t="s">
        <v>45</v>
      </c>
      <c r="G111">
        <v>7</v>
      </c>
      <c r="H111" s="2">
        <v>4765.24</v>
      </c>
      <c r="I111" s="2">
        <f t="shared" si="11"/>
        <v>33356.68</v>
      </c>
      <c r="J111" t="s">
        <v>35</v>
      </c>
      <c r="L111">
        <f t="shared" si="7"/>
        <v>2025</v>
      </c>
      <c r="M111" s="2">
        <f t="shared" si="8"/>
        <v>15737.906274509804</v>
      </c>
      <c r="N111">
        <f t="shared" si="9"/>
        <v>6</v>
      </c>
      <c r="O111" s="5">
        <f t="shared" si="10"/>
        <v>1</v>
      </c>
    </row>
    <row r="112" spans="1:15" x14ac:dyDescent="0.3">
      <c r="A112" t="s">
        <v>205</v>
      </c>
      <c r="B112" s="1">
        <v>45715</v>
      </c>
      <c r="C112" t="s">
        <v>81</v>
      </c>
      <c r="D112" t="s">
        <v>29</v>
      </c>
      <c r="E112" t="s">
        <v>38</v>
      </c>
      <c r="F112" t="s">
        <v>42</v>
      </c>
      <c r="G112">
        <v>4</v>
      </c>
      <c r="H112" s="2">
        <v>3891.28</v>
      </c>
      <c r="I112" s="2">
        <f t="shared" si="11"/>
        <v>15565.12</v>
      </c>
      <c r="J112" t="s">
        <v>20</v>
      </c>
      <c r="L112">
        <f t="shared" si="7"/>
        <v>2025</v>
      </c>
      <c r="M112" s="2">
        <f t="shared" si="8"/>
        <v>15385.5308</v>
      </c>
      <c r="N112">
        <f t="shared" si="9"/>
        <v>5</v>
      </c>
      <c r="O112" s="5">
        <f t="shared" si="10"/>
        <v>2</v>
      </c>
    </row>
    <row r="113" spans="1:15" x14ac:dyDescent="0.3">
      <c r="A113" t="s">
        <v>206</v>
      </c>
      <c r="B113" s="1">
        <v>45668</v>
      </c>
      <c r="C113" t="s">
        <v>53</v>
      </c>
      <c r="D113" t="s">
        <v>54</v>
      </c>
      <c r="E113" t="s">
        <v>24</v>
      </c>
      <c r="F113" t="s">
        <v>94</v>
      </c>
      <c r="G113">
        <v>1</v>
      </c>
      <c r="H113" s="2">
        <v>1083.6500000000001</v>
      </c>
      <c r="I113" s="2">
        <f t="shared" si="11"/>
        <v>1083.6500000000001</v>
      </c>
      <c r="J113" t="s">
        <v>26</v>
      </c>
      <c r="L113">
        <f t="shared" si="7"/>
        <v>2025</v>
      </c>
      <c r="M113" s="2">
        <f t="shared" si="8"/>
        <v>15381.865714285717</v>
      </c>
      <c r="N113">
        <f t="shared" si="9"/>
        <v>7</v>
      </c>
      <c r="O113" s="5">
        <f t="shared" si="10"/>
        <v>1</v>
      </c>
    </row>
    <row r="114" spans="1:15" x14ac:dyDescent="0.3">
      <c r="A114" t="s">
        <v>207</v>
      </c>
      <c r="B114" s="1">
        <v>45763</v>
      </c>
      <c r="C114" t="s">
        <v>147</v>
      </c>
      <c r="D114" t="s">
        <v>29</v>
      </c>
      <c r="E114" t="s">
        <v>24</v>
      </c>
      <c r="F114" t="s">
        <v>94</v>
      </c>
      <c r="G114">
        <v>8</v>
      </c>
      <c r="H114" s="2">
        <v>1432.07</v>
      </c>
      <c r="I114" s="2">
        <f t="shared" si="11"/>
        <v>11456.56</v>
      </c>
      <c r="J114" t="s">
        <v>20</v>
      </c>
      <c r="L114">
        <f t="shared" si="7"/>
        <v>2025</v>
      </c>
      <c r="M114" s="2">
        <f t="shared" si="8"/>
        <v>15679.745208333336</v>
      </c>
      <c r="N114">
        <f t="shared" si="9"/>
        <v>4</v>
      </c>
      <c r="O114" s="5">
        <f t="shared" si="10"/>
        <v>4</v>
      </c>
    </row>
    <row r="115" spans="1:15" x14ac:dyDescent="0.3">
      <c r="A115" t="s">
        <v>208</v>
      </c>
      <c r="B115" s="1">
        <v>45845</v>
      </c>
      <c r="C115" t="s">
        <v>53</v>
      </c>
      <c r="D115" t="s">
        <v>23</v>
      </c>
      <c r="E115" t="s">
        <v>38</v>
      </c>
      <c r="F115" t="s">
        <v>39</v>
      </c>
      <c r="G115">
        <v>1</v>
      </c>
      <c r="H115" s="2">
        <v>3281.35</v>
      </c>
      <c r="I115" s="2">
        <f t="shared" si="11"/>
        <v>3281.35</v>
      </c>
      <c r="J115" t="s">
        <v>35</v>
      </c>
      <c r="L115">
        <f t="shared" si="7"/>
        <v>2025</v>
      </c>
      <c r="M115" s="2">
        <f t="shared" si="8"/>
        <v>15769.600212765959</v>
      </c>
      <c r="N115">
        <f t="shared" si="9"/>
        <v>2</v>
      </c>
      <c r="O115" s="5">
        <f t="shared" si="10"/>
        <v>7</v>
      </c>
    </row>
    <row r="116" spans="1:15" x14ac:dyDescent="0.3">
      <c r="A116" t="s">
        <v>209</v>
      </c>
      <c r="B116" s="1">
        <v>45743</v>
      </c>
      <c r="C116" t="s">
        <v>210</v>
      </c>
      <c r="D116" t="s">
        <v>54</v>
      </c>
      <c r="E116" t="s">
        <v>38</v>
      </c>
      <c r="F116" t="s">
        <v>58</v>
      </c>
      <c r="G116">
        <v>5</v>
      </c>
      <c r="H116" s="2">
        <v>3892.41</v>
      </c>
      <c r="I116" s="2">
        <f t="shared" si="11"/>
        <v>19462.05</v>
      </c>
      <c r="J116" t="s">
        <v>20</v>
      </c>
      <c r="L116">
        <f t="shared" si="7"/>
        <v>2025</v>
      </c>
      <c r="M116" s="2">
        <f t="shared" si="8"/>
        <v>16041.08391304348</v>
      </c>
      <c r="N116">
        <f t="shared" si="9"/>
        <v>5</v>
      </c>
      <c r="O116" s="5">
        <f t="shared" si="10"/>
        <v>3</v>
      </c>
    </row>
    <row r="117" spans="1:15" x14ac:dyDescent="0.3">
      <c r="A117" t="s">
        <v>211</v>
      </c>
      <c r="B117" s="1">
        <v>45832</v>
      </c>
      <c r="C117" t="s">
        <v>17</v>
      </c>
      <c r="D117" t="s">
        <v>32</v>
      </c>
      <c r="E117" t="s">
        <v>33</v>
      </c>
      <c r="F117" t="s">
        <v>55</v>
      </c>
      <c r="G117">
        <v>8</v>
      </c>
      <c r="H117" s="2">
        <v>3294.41</v>
      </c>
      <c r="I117" s="2">
        <f t="shared" si="11"/>
        <v>26355.279999999999</v>
      </c>
      <c r="J117" t="s">
        <v>35</v>
      </c>
      <c r="L117">
        <f t="shared" si="7"/>
        <v>2025</v>
      </c>
      <c r="M117" s="2">
        <f t="shared" si="8"/>
        <v>15965.062444444446</v>
      </c>
      <c r="N117">
        <f t="shared" si="9"/>
        <v>3</v>
      </c>
      <c r="O117" s="5">
        <f t="shared" si="10"/>
        <v>6</v>
      </c>
    </row>
    <row r="118" spans="1:15" x14ac:dyDescent="0.3">
      <c r="A118" t="s">
        <v>212</v>
      </c>
      <c r="B118" s="1">
        <v>45898</v>
      </c>
      <c r="C118" t="s">
        <v>163</v>
      </c>
      <c r="D118" t="s">
        <v>23</v>
      </c>
      <c r="E118" t="s">
        <v>13</v>
      </c>
      <c r="F118" t="s">
        <v>51</v>
      </c>
      <c r="G118">
        <v>2</v>
      </c>
      <c r="H118" s="2">
        <v>1760.07</v>
      </c>
      <c r="I118" s="2">
        <f t="shared" si="11"/>
        <v>3520.14</v>
      </c>
      <c r="J118" t="s">
        <v>35</v>
      </c>
      <c r="L118">
        <f t="shared" si="7"/>
        <v>2025</v>
      </c>
      <c r="M118" s="2">
        <f t="shared" si="8"/>
        <v>15728.921136363637</v>
      </c>
      <c r="N118">
        <f t="shared" si="9"/>
        <v>6</v>
      </c>
      <c r="O118" s="5">
        <f t="shared" si="10"/>
        <v>8</v>
      </c>
    </row>
    <row r="119" spans="1:15" x14ac:dyDescent="0.3">
      <c r="A119" t="s">
        <v>213</v>
      </c>
      <c r="B119" s="1">
        <v>45875</v>
      </c>
      <c r="C119" t="s">
        <v>99</v>
      </c>
      <c r="D119" t="s">
        <v>54</v>
      </c>
      <c r="E119" t="s">
        <v>38</v>
      </c>
      <c r="F119" t="s">
        <v>39</v>
      </c>
      <c r="G119">
        <v>6</v>
      </c>
      <c r="H119" s="2">
        <v>1922.11</v>
      </c>
      <c r="I119" s="2">
        <f t="shared" si="11"/>
        <v>11532.66</v>
      </c>
      <c r="J119" t="s">
        <v>20</v>
      </c>
      <c r="L119">
        <f t="shared" si="7"/>
        <v>2025</v>
      </c>
      <c r="M119" s="2">
        <f t="shared" si="8"/>
        <v>16012.846279069769</v>
      </c>
      <c r="N119">
        <f t="shared" si="9"/>
        <v>4</v>
      </c>
      <c r="O119" s="5">
        <f t="shared" si="10"/>
        <v>8</v>
      </c>
    </row>
    <row r="120" spans="1:15" x14ac:dyDescent="0.3">
      <c r="A120" t="s">
        <v>214</v>
      </c>
      <c r="B120" s="1">
        <v>46003</v>
      </c>
      <c r="C120" t="s">
        <v>135</v>
      </c>
      <c r="D120" t="s">
        <v>23</v>
      </c>
      <c r="E120" t="s">
        <v>33</v>
      </c>
      <c r="F120" t="s">
        <v>48</v>
      </c>
      <c r="G120">
        <v>3</v>
      </c>
      <c r="H120" s="2">
        <v>3074.78</v>
      </c>
      <c r="I120" s="2">
        <f t="shared" si="11"/>
        <v>9224.34</v>
      </c>
      <c r="J120" t="s">
        <v>15</v>
      </c>
      <c r="L120">
        <f t="shared" si="7"/>
        <v>2025</v>
      </c>
      <c r="M120" s="2">
        <f t="shared" si="8"/>
        <v>16119.517380952384</v>
      </c>
      <c r="N120">
        <f t="shared" si="9"/>
        <v>6</v>
      </c>
      <c r="O120" s="5">
        <f t="shared" si="10"/>
        <v>12</v>
      </c>
    </row>
    <row r="121" spans="1:15" x14ac:dyDescent="0.3">
      <c r="A121" t="s">
        <v>215</v>
      </c>
      <c r="B121" s="1">
        <v>45998</v>
      </c>
      <c r="C121" t="s">
        <v>160</v>
      </c>
      <c r="D121" t="s">
        <v>29</v>
      </c>
      <c r="E121" t="s">
        <v>24</v>
      </c>
      <c r="F121" t="s">
        <v>120</v>
      </c>
      <c r="G121">
        <v>8</v>
      </c>
      <c r="H121" s="2">
        <v>499.5</v>
      </c>
      <c r="I121" s="2">
        <f t="shared" si="11"/>
        <v>3996</v>
      </c>
      <c r="J121" t="s">
        <v>35</v>
      </c>
      <c r="L121">
        <f t="shared" si="7"/>
        <v>2025</v>
      </c>
      <c r="M121" s="2">
        <f t="shared" si="8"/>
        <v>16287.692439024391</v>
      </c>
      <c r="N121">
        <f t="shared" si="9"/>
        <v>1</v>
      </c>
      <c r="O121" s="5">
        <f t="shared" si="10"/>
        <v>12</v>
      </c>
    </row>
    <row r="122" spans="1:15" x14ac:dyDescent="0.3">
      <c r="A122" t="s">
        <v>216</v>
      </c>
      <c r="B122" s="1">
        <v>46006</v>
      </c>
      <c r="C122" t="s">
        <v>85</v>
      </c>
      <c r="D122" t="s">
        <v>54</v>
      </c>
      <c r="E122" t="s">
        <v>33</v>
      </c>
      <c r="F122" t="s">
        <v>48</v>
      </c>
      <c r="G122">
        <v>6</v>
      </c>
      <c r="H122" s="2">
        <v>4888.09</v>
      </c>
      <c r="I122" s="2">
        <f t="shared" si="11"/>
        <v>29328.54</v>
      </c>
      <c r="J122" t="s">
        <v>15</v>
      </c>
      <c r="L122">
        <f t="shared" si="7"/>
        <v>2025</v>
      </c>
      <c r="M122" s="2">
        <f t="shared" si="8"/>
        <v>16594.98475</v>
      </c>
      <c r="N122">
        <f t="shared" si="9"/>
        <v>2</v>
      </c>
      <c r="O122" s="5">
        <f t="shared" si="10"/>
        <v>12</v>
      </c>
    </row>
    <row r="123" spans="1:15" x14ac:dyDescent="0.3">
      <c r="A123" t="s">
        <v>217</v>
      </c>
      <c r="B123" s="1">
        <v>45685</v>
      </c>
      <c r="C123" t="s">
        <v>81</v>
      </c>
      <c r="D123" t="s">
        <v>29</v>
      </c>
      <c r="E123" t="s">
        <v>33</v>
      </c>
      <c r="F123" t="s">
        <v>34</v>
      </c>
      <c r="G123">
        <v>7</v>
      </c>
      <c r="H123" s="2">
        <v>964.23</v>
      </c>
      <c r="I123" s="2">
        <f t="shared" si="11"/>
        <v>6749.6100000000006</v>
      </c>
      <c r="J123" t="s">
        <v>35</v>
      </c>
      <c r="L123">
        <f t="shared" si="7"/>
        <v>2025</v>
      </c>
      <c r="M123" s="2">
        <f t="shared" si="8"/>
        <v>16268.483333333335</v>
      </c>
      <c r="N123">
        <f t="shared" si="9"/>
        <v>3</v>
      </c>
      <c r="O123" s="5">
        <f t="shared" si="10"/>
        <v>1</v>
      </c>
    </row>
    <row r="124" spans="1:15" x14ac:dyDescent="0.3">
      <c r="A124" t="s">
        <v>218</v>
      </c>
      <c r="B124" s="1">
        <v>45832</v>
      </c>
      <c r="C124" t="s">
        <v>141</v>
      </c>
      <c r="D124" t="s">
        <v>12</v>
      </c>
      <c r="E124" t="s">
        <v>18</v>
      </c>
      <c r="F124" t="s">
        <v>67</v>
      </c>
      <c r="G124">
        <v>8</v>
      </c>
      <c r="H124" s="2">
        <v>3715.59</v>
      </c>
      <c r="I124" s="2">
        <f t="shared" si="11"/>
        <v>29724.720000000001</v>
      </c>
      <c r="J124" t="s">
        <v>15</v>
      </c>
      <c r="L124">
        <f t="shared" si="7"/>
        <v>2025</v>
      </c>
      <c r="M124" s="2">
        <f t="shared" si="8"/>
        <v>16518.980000000003</v>
      </c>
      <c r="N124">
        <f t="shared" si="9"/>
        <v>3</v>
      </c>
      <c r="O124" s="5">
        <f t="shared" si="10"/>
        <v>6</v>
      </c>
    </row>
    <row r="125" spans="1:15" x14ac:dyDescent="0.3">
      <c r="A125" t="s">
        <v>219</v>
      </c>
      <c r="B125" s="1">
        <v>45744</v>
      </c>
      <c r="C125" t="s">
        <v>210</v>
      </c>
      <c r="D125" t="s">
        <v>54</v>
      </c>
      <c r="E125" t="s">
        <v>24</v>
      </c>
      <c r="F125" t="s">
        <v>94</v>
      </c>
      <c r="G125">
        <v>1</v>
      </c>
      <c r="H125" s="2">
        <v>1630.22</v>
      </c>
      <c r="I125" s="2">
        <f t="shared" si="11"/>
        <v>1630.22</v>
      </c>
      <c r="J125" t="s">
        <v>20</v>
      </c>
      <c r="L125">
        <f t="shared" si="7"/>
        <v>2025</v>
      </c>
      <c r="M125" s="2">
        <f t="shared" si="8"/>
        <v>16162.068108108109</v>
      </c>
      <c r="N125">
        <f t="shared" si="9"/>
        <v>6</v>
      </c>
      <c r="O125" s="5">
        <f t="shared" si="10"/>
        <v>3</v>
      </c>
    </row>
    <row r="126" spans="1:15" x14ac:dyDescent="0.3">
      <c r="A126" t="s">
        <v>220</v>
      </c>
      <c r="B126" s="1">
        <v>45898</v>
      </c>
      <c r="C126" t="s">
        <v>129</v>
      </c>
      <c r="D126" t="s">
        <v>54</v>
      </c>
      <c r="E126" t="s">
        <v>38</v>
      </c>
      <c r="F126" t="s">
        <v>39</v>
      </c>
      <c r="G126">
        <v>6</v>
      </c>
      <c r="H126" s="2">
        <v>2954.81</v>
      </c>
      <c r="I126" s="2">
        <f t="shared" si="11"/>
        <v>17728.86</v>
      </c>
      <c r="J126" t="s">
        <v>15</v>
      </c>
      <c r="L126">
        <f t="shared" si="7"/>
        <v>2025</v>
      </c>
      <c r="M126" s="2">
        <f t="shared" si="8"/>
        <v>16565.730555555558</v>
      </c>
      <c r="N126">
        <f t="shared" si="9"/>
        <v>6</v>
      </c>
      <c r="O126" s="5">
        <f t="shared" si="10"/>
        <v>8</v>
      </c>
    </row>
    <row r="127" spans="1:15" x14ac:dyDescent="0.3">
      <c r="A127" t="s">
        <v>221</v>
      </c>
      <c r="B127" s="1">
        <v>45819</v>
      </c>
      <c r="C127" t="s">
        <v>137</v>
      </c>
      <c r="D127" t="s">
        <v>54</v>
      </c>
      <c r="E127" t="s">
        <v>38</v>
      </c>
      <c r="F127" t="s">
        <v>39</v>
      </c>
      <c r="G127">
        <v>7</v>
      </c>
      <c r="H127" s="2">
        <v>4674.78</v>
      </c>
      <c r="I127" s="2">
        <f t="shared" si="11"/>
        <v>32723.46</v>
      </c>
      <c r="J127" t="s">
        <v>26</v>
      </c>
      <c r="L127">
        <f t="shared" si="7"/>
        <v>2025</v>
      </c>
      <c r="M127" s="2">
        <f t="shared" si="8"/>
        <v>16532.498285714286</v>
      </c>
      <c r="N127">
        <f t="shared" si="9"/>
        <v>4</v>
      </c>
      <c r="O127" s="5">
        <f t="shared" si="10"/>
        <v>6</v>
      </c>
    </row>
    <row r="128" spans="1:15" x14ac:dyDescent="0.3">
      <c r="A128" t="s">
        <v>222</v>
      </c>
      <c r="B128" s="1">
        <v>45700</v>
      </c>
      <c r="C128" t="s">
        <v>83</v>
      </c>
      <c r="D128" t="s">
        <v>12</v>
      </c>
      <c r="E128" t="s">
        <v>24</v>
      </c>
      <c r="F128" t="s">
        <v>45</v>
      </c>
      <c r="G128">
        <v>4</v>
      </c>
      <c r="H128" s="2">
        <v>1686.1</v>
      </c>
      <c r="I128" s="2">
        <f t="shared" si="11"/>
        <v>6744.4</v>
      </c>
      <c r="J128" t="s">
        <v>73</v>
      </c>
      <c r="L128">
        <f t="shared" si="7"/>
        <v>2025</v>
      </c>
      <c r="M128" s="2">
        <f t="shared" si="8"/>
        <v>16056.293529411763</v>
      </c>
      <c r="N128">
        <f t="shared" si="9"/>
        <v>4</v>
      </c>
      <c r="O128" s="5">
        <f t="shared" si="10"/>
        <v>2</v>
      </c>
    </row>
    <row r="129" spans="1:15" x14ac:dyDescent="0.3">
      <c r="A129" t="s">
        <v>223</v>
      </c>
      <c r="B129" s="1">
        <v>45842</v>
      </c>
      <c r="C129" t="s">
        <v>81</v>
      </c>
      <c r="D129" t="s">
        <v>29</v>
      </c>
      <c r="E129" t="s">
        <v>38</v>
      </c>
      <c r="F129" t="s">
        <v>42</v>
      </c>
      <c r="G129">
        <v>7</v>
      </c>
      <c r="H129" s="2">
        <v>4103.51</v>
      </c>
      <c r="I129" s="2">
        <f t="shared" si="11"/>
        <v>28724.57</v>
      </c>
      <c r="J129" t="s">
        <v>73</v>
      </c>
      <c r="L129">
        <f t="shared" si="7"/>
        <v>2025</v>
      </c>
      <c r="M129" s="2">
        <f t="shared" si="8"/>
        <v>16338.472121212124</v>
      </c>
      <c r="N129">
        <f t="shared" si="9"/>
        <v>6</v>
      </c>
      <c r="O129" s="5">
        <f t="shared" si="10"/>
        <v>7</v>
      </c>
    </row>
    <row r="130" spans="1:15" x14ac:dyDescent="0.3">
      <c r="A130" t="s">
        <v>224</v>
      </c>
      <c r="B130" s="1">
        <v>45801</v>
      </c>
      <c r="C130" t="s">
        <v>44</v>
      </c>
      <c r="D130" t="s">
        <v>12</v>
      </c>
      <c r="E130" t="s">
        <v>18</v>
      </c>
      <c r="F130" t="s">
        <v>19</v>
      </c>
      <c r="G130">
        <v>5</v>
      </c>
      <c r="H130" s="2">
        <v>2665.12</v>
      </c>
      <c r="I130" s="2">
        <f t="shared" ref="I130:I161" si="12">G130*H130</f>
        <v>13325.599999999999</v>
      </c>
      <c r="J130" t="s">
        <v>15</v>
      </c>
      <c r="L130">
        <f t="shared" si="7"/>
        <v>2025</v>
      </c>
      <c r="M130" s="2">
        <f t="shared" si="8"/>
        <v>15951.4065625</v>
      </c>
      <c r="N130">
        <f t="shared" si="9"/>
        <v>7</v>
      </c>
      <c r="O130" s="5">
        <f t="shared" si="10"/>
        <v>5</v>
      </c>
    </row>
    <row r="131" spans="1:15" x14ac:dyDescent="0.3">
      <c r="A131" t="s">
        <v>225</v>
      </c>
      <c r="B131" s="1">
        <v>45832</v>
      </c>
      <c r="C131" t="s">
        <v>182</v>
      </c>
      <c r="D131" t="s">
        <v>12</v>
      </c>
      <c r="E131" t="s">
        <v>24</v>
      </c>
      <c r="F131" t="s">
        <v>45</v>
      </c>
      <c r="G131">
        <v>1</v>
      </c>
      <c r="H131" s="2">
        <v>997.48</v>
      </c>
      <c r="I131" s="2">
        <f t="shared" si="12"/>
        <v>997.48</v>
      </c>
      <c r="J131" t="s">
        <v>15</v>
      </c>
      <c r="L131">
        <f t="shared" ref="L131:L161" si="13">YEAR(B131)</f>
        <v>2025</v>
      </c>
      <c r="M131" s="2">
        <f t="shared" ref="M131:M161" si="14">AVERAGE(I131:I290)</f>
        <v>16036.109999999999</v>
      </c>
      <c r="N131">
        <f t="shared" ref="N131:N161" si="15">WEEKDAY(B131)</f>
        <v>3</v>
      </c>
      <c r="O131" s="5">
        <f t="shared" ref="O131:O161" si="16">MONTH(B131)</f>
        <v>6</v>
      </c>
    </row>
    <row r="132" spans="1:15" x14ac:dyDescent="0.3">
      <c r="A132" t="s">
        <v>226</v>
      </c>
      <c r="B132" s="1">
        <v>45797</v>
      </c>
      <c r="C132" t="s">
        <v>103</v>
      </c>
      <c r="D132" t="s">
        <v>54</v>
      </c>
      <c r="E132" t="s">
        <v>24</v>
      </c>
      <c r="F132" t="s">
        <v>120</v>
      </c>
      <c r="G132">
        <v>3</v>
      </c>
      <c r="H132" s="2">
        <v>226.19</v>
      </c>
      <c r="I132" s="2">
        <f t="shared" si="12"/>
        <v>678.56999999999994</v>
      </c>
      <c r="J132" t="s">
        <v>35</v>
      </c>
      <c r="L132">
        <f t="shared" si="13"/>
        <v>2025</v>
      </c>
      <c r="M132" s="2">
        <f t="shared" si="14"/>
        <v>16537.397666666668</v>
      </c>
      <c r="N132">
        <f t="shared" si="15"/>
        <v>3</v>
      </c>
      <c r="O132" s="5">
        <f t="shared" si="16"/>
        <v>5</v>
      </c>
    </row>
    <row r="133" spans="1:15" x14ac:dyDescent="0.3">
      <c r="A133" t="s">
        <v>227</v>
      </c>
      <c r="B133" s="1">
        <v>45721</v>
      </c>
      <c r="C133" t="s">
        <v>195</v>
      </c>
      <c r="D133" t="s">
        <v>54</v>
      </c>
      <c r="E133" t="s">
        <v>24</v>
      </c>
      <c r="F133" t="s">
        <v>120</v>
      </c>
      <c r="G133">
        <v>5</v>
      </c>
      <c r="H133" s="2">
        <v>4016.37</v>
      </c>
      <c r="I133" s="2">
        <f t="shared" si="12"/>
        <v>20081.849999999999</v>
      </c>
      <c r="J133" t="s">
        <v>20</v>
      </c>
      <c r="L133">
        <f t="shared" si="13"/>
        <v>2025</v>
      </c>
      <c r="M133" s="2">
        <f t="shared" si="14"/>
        <v>17084.253793103449</v>
      </c>
      <c r="N133">
        <f t="shared" si="15"/>
        <v>4</v>
      </c>
      <c r="O133" s="5">
        <f t="shared" si="16"/>
        <v>3</v>
      </c>
    </row>
    <row r="134" spans="1:15" x14ac:dyDescent="0.3">
      <c r="A134" t="s">
        <v>228</v>
      </c>
      <c r="B134" s="1">
        <v>45849</v>
      </c>
      <c r="C134" t="s">
        <v>17</v>
      </c>
      <c r="D134" t="s">
        <v>32</v>
      </c>
      <c r="E134" t="s">
        <v>18</v>
      </c>
      <c r="F134" t="s">
        <v>132</v>
      </c>
      <c r="G134">
        <v>1</v>
      </c>
      <c r="H134" s="2">
        <v>2227.5100000000002</v>
      </c>
      <c r="I134" s="2">
        <f t="shared" si="12"/>
        <v>2227.5100000000002</v>
      </c>
      <c r="J134" t="s">
        <v>73</v>
      </c>
      <c r="L134">
        <f t="shared" si="13"/>
        <v>2025</v>
      </c>
      <c r="M134" s="2">
        <f t="shared" si="14"/>
        <v>16977.196785714284</v>
      </c>
      <c r="N134">
        <f t="shared" si="15"/>
        <v>6</v>
      </c>
      <c r="O134" s="5">
        <f t="shared" si="16"/>
        <v>7</v>
      </c>
    </row>
    <row r="135" spans="1:15" x14ac:dyDescent="0.3">
      <c r="A135" t="s">
        <v>229</v>
      </c>
      <c r="B135" s="1">
        <v>45758</v>
      </c>
      <c r="C135" t="s">
        <v>60</v>
      </c>
      <c r="D135" t="s">
        <v>32</v>
      </c>
      <c r="E135" t="s">
        <v>33</v>
      </c>
      <c r="F135" t="s">
        <v>79</v>
      </c>
      <c r="G135">
        <v>6</v>
      </c>
      <c r="H135" s="2">
        <v>994.28</v>
      </c>
      <c r="I135" s="2">
        <f t="shared" si="12"/>
        <v>5965.68</v>
      </c>
      <c r="J135" t="s">
        <v>20</v>
      </c>
      <c r="L135">
        <f t="shared" si="13"/>
        <v>2025</v>
      </c>
      <c r="M135" s="2">
        <f t="shared" si="14"/>
        <v>17523.481481481482</v>
      </c>
      <c r="N135">
        <f t="shared" si="15"/>
        <v>6</v>
      </c>
      <c r="O135" s="5">
        <f t="shared" si="16"/>
        <v>4</v>
      </c>
    </row>
    <row r="136" spans="1:15" x14ac:dyDescent="0.3">
      <c r="A136" t="s">
        <v>230</v>
      </c>
      <c r="B136" s="1">
        <v>45995</v>
      </c>
      <c r="C136" t="s">
        <v>160</v>
      </c>
      <c r="D136" t="s">
        <v>29</v>
      </c>
      <c r="E136" t="s">
        <v>24</v>
      </c>
      <c r="F136" t="s">
        <v>94</v>
      </c>
      <c r="G136">
        <v>4</v>
      </c>
      <c r="H136" s="2">
        <v>366.01</v>
      </c>
      <c r="I136" s="2">
        <f t="shared" si="12"/>
        <v>1464.04</v>
      </c>
      <c r="J136" t="s">
        <v>26</v>
      </c>
      <c r="L136">
        <f t="shared" si="13"/>
        <v>2025</v>
      </c>
      <c r="M136" s="2">
        <f t="shared" si="14"/>
        <v>17968.012307692312</v>
      </c>
      <c r="N136">
        <f t="shared" si="15"/>
        <v>5</v>
      </c>
      <c r="O136" s="5">
        <f t="shared" si="16"/>
        <v>12</v>
      </c>
    </row>
    <row r="137" spans="1:15" x14ac:dyDescent="0.3">
      <c r="A137" t="s">
        <v>231</v>
      </c>
      <c r="B137" s="1">
        <v>45819</v>
      </c>
      <c r="C137" t="s">
        <v>90</v>
      </c>
      <c r="D137" t="s">
        <v>12</v>
      </c>
      <c r="E137" t="s">
        <v>13</v>
      </c>
      <c r="F137" t="s">
        <v>14</v>
      </c>
      <c r="G137">
        <v>2</v>
      </c>
      <c r="H137" s="2">
        <v>1459.1</v>
      </c>
      <c r="I137" s="2">
        <f t="shared" si="12"/>
        <v>2918.2</v>
      </c>
      <c r="J137" t="s">
        <v>26</v>
      </c>
      <c r="L137">
        <f t="shared" si="13"/>
        <v>2025</v>
      </c>
      <c r="M137" s="2">
        <f t="shared" si="14"/>
        <v>18628.171200000004</v>
      </c>
      <c r="N137">
        <f t="shared" si="15"/>
        <v>4</v>
      </c>
      <c r="O137" s="5">
        <f t="shared" si="16"/>
        <v>6</v>
      </c>
    </row>
    <row r="138" spans="1:15" x14ac:dyDescent="0.3">
      <c r="A138" t="s">
        <v>232</v>
      </c>
      <c r="B138" s="1">
        <v>45871</v>
      </c>
      <c r="C138" t="s">
        <v>147</v>
      </c>
      <c r="D138" t="s">
        <v>54</v>
      </c>
      <c r="E138" t="s">
        <v>24</v>
      </c>
      <c r="F138" t="s">
        <v>94</v>
      </c>
      <c r="G138">
        <v>8</v>
      </c>
      <c r="H138" s="2">
        <v>4046.19</v>
      </c>
      <c r="I138" s="2">
        <f t="shared" si="12"/>
        <v>32369.52</v>
      </c>
      <c r="J138" t="s">
        <v>15</v>
      </c>
      <c r="L138">
        <f t="shared" si="13"/>
        <v>2025</v>
      </c>
      <c r="M138" s="2">
        <f t="shared" si="14"/>
        <v>19282.753333333338</v>
      </c>
      <c r="N138">
        <f t="shared" si="15"/>
        <v>7</v>
      </c>
      <c r="O138" s="5">
        <f t="shared" si="16"/>
        <v>8</v>
      </c>
    </row>
    <row r="139" spans="1:15" x14ac:dyDescent="0.3">
      <c r="A139" t="s">
        <v>233</v>
      </c>
      <c r="B139" s="1">
        <v>45761</v>
      </c>
      <c r="C139" t="s">
        <v>81</v>
      </c>
      <c r="D139" t="s">
        <v>12</v>
      </c>
      <c r="E139" t="s">
        <v>18</v>
      </c>
      <c r="F139" t="s">
        <v>125</v>
      </c>
      <c r="G139">
        <v>10</v>
      </c>
      <c r="H139" s="2">
        <v>4562.5200000000004</v>
      </c>
      <c r="I139" s="2">
        <f t="shared" si="12"/>
        <v>45625.200000000004</v>
      </c>
      <c r="J139" t="s">
        <v>20</v>
      </c>
      <c r="L139">
        <f t="shared" si="13"/>
        <v>2025</v>
      </c>
      <c r="M139" s="2">
        <f t="shared" si="14"/>
        <v>18713.763478260869</v>
      </c>
      <c r="N139">
        <f t="shared" si="15"/>
        <v>2</v>
      </c>
      <c r="O139" s="5">
        <f t="shared" si="16"/>
        <v>4</v>
      </c>
    </row>
    <row r="140" spans="1:15" x14ac:dyDescent="0.3">
      <c r="A140" t="s">
        <v>234</v>
      </c>
      <c r="B140" s="1">
        <v>45699</v>
      </c>
      <c r="C140" t="s">
        <v>137</v>
      </c>
      <c r="D140" t="s">
        <v>12</v>
      </c>
      <c r="E140" t="s">
        <v>13</v>
      </c>
      <c r="F140" t="s">
        <v>51</v>
      </c>
      <c r="G140">
        <v>1</v>
      </c>
      <c r="H140" s="2">
        <v>3433.25</v>
      </c>
      <c r="I140" s="2">
        <f t="shared" si="12"/>
        <v>3433.25</v>
      </c>
      <c r="J140" t="s">
        <v>73</v>
      </c>
      <c r="L140">
        <f t="shared" si="13"/>
        <v>2025</v>
      </c>
      <c r="M140" s="2">
        <f t="shared" si="14"/>
        <v>17490.516363636361</v>
      </c>
      <c r="N140">
        <f t="shared" si="15"/>
        <v>3</v>
      </c>
      <c r="O140" s="5">
        <f t="shared" si="16"/>
        <v>2</v>
      </c>
    </row>
    <row r="141" spans="1:15" x14ac:dyDescent="0.3">
      <c r="A141" t="s">
        <v>235</v>
      </c>
      <c r="B141" s="1">
        <v>46005</v>
      </c>
      <c r="C141" t="s">
        <v>11</v>
      </c>
      <c r="D141" t="s">
        <v>32</v>
      </c>
      <c r="E141" t="s">
        <v>13</v>
      </c>
      <c r="F141" t="s">
        <v>155</v>
      </c>
      <c r="G141">
        <v>10</v>
      </c>
      <c r="H141" s="2">
        <v>4863.38</v>
      </c>
      <c r="I141" s="2">
        <f t="shared" si="12"/>
        <v>48633.8</v>
      </c>
      <c r="J141" t="s">
        <v>26</v>
      </c>
      <c r="L141">
        <f t="shared" si="13"/>
        <v>2025</v>
      </c>
      <c r="M141" s="2">
        <f t="shared" si="14"/>
        <v>18159.91</v>
      </c>
      <c r="N141">
        <f t="shared" si="15"/>
        <v>1</v>
      </c>
      <c r="O141" s="5">
        <f t="shared" si="16"/>
        <v>12</v>
      </c>
    </row>
    <row r="142" spans="1:15" x14ac:dyDescent="0.3">
      <c r="A142" t="s">
        <v>236</v>
      </c>
      <c r="B142" s="1">
        <v>45883</v>
      </c>
      <c r="C142" t="s">
        <v>81</v>
      </c>
      <c r="D142" t="s">
        <v>29</v>
      </c>
      <c r="E142" t="s">
        <v>18</v>
      </c>
      <c r="F142" t="s">
        <v>132</v>
      </c>
      <c r="G142">
        <v>6</v>
      </c>
      <c r="H142" s="2">
        <v>4679.07</v>
      </c>
      <c r="I142" s="2">
        <f t="shared" si="12"/>
        <v>28074.42</v>
      </c>
      <c r="J142" t="s">
        <v>73</v>
      </c>
      <c r="L142">
        <f t="shared" si="13"/>
        <v>2025</v>
      </c>
      <c r="M142" s="2">
        <f t="shared" si="14"/>
        <v>16636.215499999998</v>
      </c>
      <c r="N142">
        <f t="shared" si="15"/>
        <v>5</v>
      </c>
      <c r="O142" s="5">
        <f t="shared" si="16"/>
        <v>8</v>
      </c>
    </row>
    <row r="143" spans="1:15" x14ac:dyDescent="0.3">
      <c r="A143" t="s">
        <v>237</v>
      </c>
      <c r="B143" s="1">
        <v>45783</v>
      </c>
      <c r="C143" t="s">
        <v>60</v>
      </c>
      <c r="D143" t="s">
        <v>29</v>
      </c>
      <c r="E143" t="s">
        <v>24</v>
      </c>
      <c r="F143" t="s">
        <v>94</v>
      </c>
      <c r="G143">
        <v>2</v>
      </c>
      <c r="H143" s="2">
        <v>4361.42</v>
      </c>
      <c r="I143" s="2">
        <f t="shared" si="12"/>
        <v>8722.84</v>
      </c>
      <c r="J143" t="s">
        <v>35</v>
      </c>
      <c r="L143">
        <f t="shared" si="13"/>
        <v>2025</v>
      </c>
      <c r="M143" s="2">
        <f t="shared" si="14"/>
        <v>16034.204736842106</v>
      </c>
      <c r="N143">
        <f t="shared" si="15"/>
        <v>3</v>
      </c>
      <c r="O143" s="5">
        <f t="shared" si="16"/>
        <v>5</v>
      </c>
    </row>
    <row r="144" spans="1:15" x14ac:dyDescent="0.3">
      <c r="A144" t="s">
        <v>238</v>
      </c>
      <c r="B144" s="1">
        <v>45745</v>
      </c>
      <c r="C144" t="s">
        <v>11</v>
      </c>
      <c r="D144" t="s">
        <v>12</v>
      </c>
      <c r="E144" t="s">
        <v>13</v>
      </c>
      <c r="F144" t="s">
        <v>87</v>
      </c>
      <c r="G144">
        <v>9</v>
      </c>
      <c r="H144" s="2">
        <v>2990</v>
      </c>
      <c r="I144" s="2">
        <f t="shared" si="12"/>
        <v>26910</v>
      </c>
      <c r="J144" t="s">
        <v>20</v>
      </c>
      <c r="L144">
        <f t="shared" si="13"/>
        <v>2025</v>
      </c>
      <c r="M144" s="2">
        <f t="shared" si="14"/>
        <v>16440.391666666666</v>
      </c>
      <c r="N144">
        <f t="shared" si="15"/>
        <v>7</v>
      </c>
      <c r="O144" s="5">
        <f t="shared" si="16"/>
        <v>3</v>
      </c>
    </row>
    <row r="145" spans="1:15" x14ac:dyDescent="0.3">
      <c r="A145" t="s">
        <v>239</v>
      </c>
      <c r="B145" s="1">
        <v>45666</v>
      </c>
      <c r="C145" t="s">
        <v>50</v>
      </c>
      <c r="D145" t="s">
        <v>32</v>
      </c>
      <c r="E145" t="s">
        <v>38</v>
      </c>
      <c r="F145" t="s">
        <v>39</v>
      </c>
      <c r="G145">
        <v>10</v>
      </c>
      <c r="H145" s="2">
        <v>403.42</v>
      </c>
      <c r="I145" s="2">
        <f t="shared" si="12"/>
        <v>4034.2000000000003</v>
      </c>
      <c r="J145" t="s">
        <v>26</v>
      </c>
      <c r="L145">
        <f t="shared" si="13"/>
        <v>2025</v>
      </c>
      <c r="M145" s="2">
        <f t="shared" si="14"/>
        <v>15824.532352941176</v>
      </c>
      <c r="N145">
        <f t="shared" si="15"/>
        <v>5</v>
      </c>
      <c r="O145" s="5">
        <f t="shared" si="16"/>
        <v>1</v>
      </c>
    </row>
    <row r="146" spans="1:15" x14ac:dyDescent="0.3">
      <c r="A146" t="s">
        <v>240</v>
      </c>
      <c r="B146" s="1">
        <v>45759</v>
      </c>
      <c r="C146" t="s">
        <v>60</v>
      </c>
      <c r="D146" t="s">
        <v>23</v>
      </c>
      <c r="E146" t="s">
        <v>33</v>
      </c>
      <c r="F146" t="s">
        <v>186</v>
      </c>
      <c r="G146">
        <v>3</v>
      </c>
      <c r="H146" s="2">
        <v>3206.26</v>
      </c>
      <c r="I146" s="2">
        <f t="shared" si="12"/>
        <v>9618.7800000000007</v>
      </c>
      <c r="J146" t="s">
        <v>73</v>
      </c>
      <c r="L146">
        <f t="shared" si="13"/>
        <v>2025</v>
      </c>
      <c r="M146" s="2">
        <f t="shared" si="14"/>
        <v>16561.428125000002</v>
      </c>
      <c r="N146">
        <f t="shared" si="15"/>
        <v>7</v>
      </c>
      <c r="O146" s="5">
        <f t="shared" si="16"/>
        <v>4</v>
      </c>
    </row>
    <row r="147" spans="1:15" x14ac:dyDescent="0.3">
      <c r="A147" t="s">
        <v>241</v>
      </c>
      <c r="B147" s="1">
        <v>45836</v>
      </c>
      <c r="C147" t="s">
        <v>96</v>
      </c>
      <c r="D147" t="s">
        <v>32</v>
      </c>
      <c r="E147" t="s">
        <v>38</v>
      </c>
      <c r="F147" t="s">
        <v>39</v>
      </c>
      <c r="G147">
        <v>6</v>
      </c>
      <c r="H147" s="2">
        <v>3416.02</v>
      </c>
      <c r="I147" s="2">
        <f t="shared" si="12"/>
        <v>20496.12</v>
      </c>
      <c r="J147" t="s">
        <v>15</v>
      </c>
      <c r="L147">
        <f t="shared" si="13"/>
        <v>2025</v>
      </c>
      <c r="M147" s="2">
        <f t="shared" si="14"/>
        <v>17024.271333333334</v>
      </c>
      <c r="N147">
        <f t="shared" si="15"/>
        <v>7</v>
      </c>
      <c r="O147" s="5">
        <f t="shared" si="16"/>
        <v>6</v>
      </c>
    </row>
    <row r="148" spans="1:15" x14ac:dyDescent="0.3">
      <c r="A148" t="s">
        <v>242</v>
      </c>
      <c r="B148" s="1">
        <v>46000</v>
      </c>
      <c r="C148" t="s">
        <v>135</v>
      </c>
      <c r="D148" t="s">
        <v>23</v>
      </c>
      <c r="E148" t="s">
        <v>38</v>
      </c>
      <c r="F148" t="s">
        <v>142</v>
      </c>
      <c r="G148">
        <v>9</v>
      </c>
      <c r="H148" s="2">
        <v>3026.38</v>
      </c>
      <c r="I148" s="2">
        <f t="shared" si="12"/>
        <v>27237.420000000002</v>
      </c>
      <c r="J148" t="s">
        <v>73</v>
      </c>
      <c r="L148">
        <f t="shared" si="13"/>
        <v>2025</v>
      </c>
      <c r="M148" s="2">
        <f t="shared" si="14"/>
        <v>16776.282142857144</v>
      </c>
      <c r="N148">
        <f t="shared" si="15"/>
        <v>3</v>
      </c>
      <c r="O148" s="5">
        <f t="shared" si="16"/>
        <v>12</v>
      </c>
    </row>
    <row r="149" spans="1:15" x14ac:dyDescent="0.3">
      <c r="A149" t="s">
        <v>243</v>
      </c>
      <c r="B149" s="1">
        <v>46015</v>
      </c>
      <c r="C149" t="s">
        <v>96</v>
      </c>
      <c r="D149" t="s">
        <v>12</v>
      </c>
      <c r="E149" t="s">
        <v>18</v>
      </c>
      <c r="F149" t="s">
        <v>67</v>
      </c>
      <c r="G149">
        <v>5</v>
      </c>
      <c r="H149" s="2">
        <v>2377.86</v>
      </c>
      <c r="I149" s="2">
        <f t="shared" si="12"/>
        <v>11889.300000000001</v>
      </c>
      <c r="J149" t="s">
        <v>15</v>
      </c>
      <c r="L149">
        <f t="shared" si="13"/>
        <v>2025</v>
      </c>
      <c r="M149" s="2">
        <f t="shared" si="14"/>
        <v>15971.579230769234</v>
      </c>
      <c r="N149">
        <f t="shared" si="15"/>
        <v>4</v>
      </c>
      <c r="O149" s="5">
        <f t="shared" si="16"/>
        <v>12</v>
      </c>
    </row>
    <row r="150" spans="1:15" x14ac:dyDescent="0.3">
      <c r="A150" t="s">
        <v>244</v>
      </c>
      <c r="B150" s="1">
        <v>45768</v>
      </c>
      <c r="C150" t="s">
        <v>202</v>
      </c>
      <c r="D150" t="s">
        <v>23</v>
      </c>
      <c r="E150" t="s">
        <v>24</v>
      </c>
      <c r="F150" t="s">
        <v>45</v>
      </c>
      <c r="G150">
        <v>8</v>
      </c>
      <c r="H150" s="2">
        <v>1509.98</v>
      </c>
      <c r="I150" s="2">
        <f t="shared" si="12"/>
        <v>12079.84</v>
      </c>
      <c r="J150" t="s">
        <v>20</v>
      </c>
      <c r="L150">
        <f t="shared" si="13"/>
        <v>2025</v>
      </c>
      <c r="M150" s="2">
        <f t="shared" si="14"/>
        <v>16311.769166666667</v>
      </c>
      <c r="N150">
        <f t="shared" si="15"/>
        <v>2</v>
      </c>
      <c r="O150" s="5">
        <f t="shared" si="16"/>
        <v>4</v>
      </c>
    </row>
    <row r="151" spans="1:15" x14ac:dyDescent="0.3">
      <c r="A151" t="s">
        <v>245</v>
      </c>
      <c r="B151" s="1">
        <v>45665</v>
      </c>
      <c r="C151" t="s">
        <v>31</v>
      </c>
      <c r="D151" t="s">
        <v>12</v>
      </c>
      <c r="E151" t="s">
        <v>13</v>
      </c>
      <c r="F151" t="s">
        <v>51</v>
      </c>
      <c r="G151">
        <v>5</v>
      </c>
      <c r="H151" s="2">
        <v>2873.26</v>
      </c>
      <c r="I151" s="2">
        <f t="shared" si="12"/>
        <v>14366.300000000001</v>
      </c>
      <c r="J151" t="s">
        <v>15</v>
      </c>
      <c r="L151">
        <f t="shared" si="13"/>
        <v>2025</v>
      </c>
      <c r="M151" s="2">
        <f t="shared" si="14"/>
        <v>16696.490000000002</v>
      </c>
      <c r="N151">
        <f t="shared" si="15"/>
        <v>4</v>
      </c>
      <c r="O151" s="5">
        <f t="shared" si="16"/>
        <v>1</v>
      </c>
    </row>
    <row r="152" spans="1:15" x14ac:dyDescent="0.3">
      <c r="A152" t="s">
        <v>246</v>
      </c>
      <c r="B152" s="1">
        <v>45857</v>
      </c>
      <c r="C152" t="s">
        <v>60</v>
      </c>
      <c r="D152" t="s">
        <v>29</v>
      </c>
      <c r="E152" t="s">
        <v>13</v>
      </c>
      <c r="F152" t="s">
        <v>87</v>
      </c>
      <c r="G152">
        <v>9</v>
      </c>
      <c r="H152" s="2">
        <v>1954.3</v>
      </c>
      <c r="I152" s="2">
        <f t="shared" si="12"/>
        <v>17588.7</v>
      </c>
      <c r="J152" t="s">
        <v>15</v>
      </c>
      <c r="L152">
        <f t="shared" si="13"/>
        <v>2025</v>
      </c>
      <c r="M152" s="2">
        <f t="shared" si="14"/>
        <v>16929.509000000002</v>
      </c>
      <c r="N152">
        <f t="shared" si="15"/>
        <v>7</v>
      </c>
      <c r="O152" s="5">
        <f t="shared" si="16"/>
        <v>7</v>
      </c>
    </row>
    <row r="153" spans="1:15" x14ac:dyDescent="0.3">
      <c r="A153" t="s">
        <v>247</v>
      </c>
      <c r="B153" s="1">
        <v>45670</v>
      </c>
      <c r="C153" t="s">
        <v>60</v>
      </c>
      <c r="D153" t="s">
        <v>54</v>
      </c>
      <c r="E153" t="s">
        <v>18</v>
      </c>
      <c r="F153" t="s">
        <v>125</v>
      </c>
      <c r="G153">
        <v>10</v>
      </c>
      <c r="H153" s="2">
        <v>4416.79</v>
      </c>
      <c r="I153" s="2">
        <f t="shared" si="12"/>
        <v>44167.9</v>
      </c>
      <c r="J153" t="s">
        <v>20</v>
      </c>
      <c r="L153">
        <f t="shared" si="13"/>
        <v>2025</v>
      </c>
      <c r="M153" s="2">
        <f t="shared" si="14"/>
        <v>16856.265555555558</v>
      </c>
      <c r="N153">
        <f t="shared" si="15"/>
        <v>2</v>
      </c>
      <c r="O153" s="5">
        <f t="shared" si="16"/>
        <v>1</v>
      </c>
    </row>
    <row r="154" spans="1:15" x14ac:dyDescent="0.3">
      <c r="A154" t="s">
        <v>248</v>
      </c>
      <c r="B154" s="1">
        <v>45998</v>
      </c>
      <c r="C154" t="s">
        <v>60</v>
      </c>
      <c r="D154" t="s">
        <v>32</v>
      </c>
      <c r="E154" t="s">
        <v>13</v>
      </c>
      <c r="F154" t="s">
        <v>51</v>
      </c>
      <c r="G154">
        <v>8</v>
      </c>
      <c r="H154" s="2">
        <v>4973.5</v>
      </c>
      <c r="I154" s="2">
        <f t="shared" si="12"/>
        <v>39788</v>
      </c>
      <c r="J154" t="s">
        <v>26</v>
      </c>
      <c r="L154">
        <f t="shared" si="13"/>
        <v>2025</v>
      </c>
      <c r="M154" s="2">
        <f t="shared" si="14"/>
        <v>13442.311249999999</v>
      </c>
      <c r="N154">
        <f t="shared" si="15"/>
        <v>1</v>
      </c>
      <c r="O154" s="5">
        <f t="shared" si="16"/>
        <v>12</v>
      </c>
    </row>
    <row r="155" spans="1:15" x14ac:dyDescent="0.3">
      <c r="A155" t="s">
        <v>249</v>
      </c>
      <c r="B155" s="1">
        <v>45700</v>
      </c>
      <c r="C155" t="s">
        <v>182</v>
      </c>
      <c r="D155" t="s">
        <v>29</v>
      </c>
      <c r="E155" t="s">
        <v>13</v>
      </c>
      <c r="F155" t="s">
        <v>51</v>
      </c>
      <c r="G155">
        <v>6</v>
      </c>
      <c r="H155" s="2">
        <v>1334.63</v>
      </c>
      <c r="I155" s="2">
        <f t="shared" si="12"/>
        <v>8007.7800000000007</v>
      </c>
      <c r="J155" t="s">
        <v>20</v>
      </c>
      <c r="L155">
        <f t="shared" si="13"/>
        <v>2025</v>
      </c>
      <c r="M155" s="2">
        <f t="shared" si="14"/>
        <v>9678.6414285714291</v>
      </c>
      <c r="N155">
        <f t="shared" si="15"/>
        <v>4</v>
      </c>
      <c r="O155" s="5">
        <f t="shared" si="16"/>
        <v>2</v>
      </c>
    </row>
    <row r="156" spans="1:15" x14ac:dyDescent="0.3">
      <c r="A156" t="s">
        <v>250</v>
      </c>
      <c r="B156" s="1">
        <v>45710</v>
      </c>
      <c r="C156" t="s">
        <v>41</v>
      </c>
      <c r="D156" t="s">
        <v>54</v>
      </c>
      <c r="E156" t="s">
        <v>24</v>
      </c>
      <c r="F156" t="s">
        <v>94</v>
      </c>
      <c r="G156">
        <v>4</v>
      </c>
      <c r="H156" s="2">
        <v>3575.37</v>
      </c>
      <c r="I156" s="2">
        <f t="shared" si="12"/>
        <v>14301.48</v>
      </c>
      <c r="J156" t="s">
        <v>26</v>
      </c>
      <c r="L156">
        <f t="shared" si="13"/>
        <v>2025</v>
      </c>
      <c r="M156" s="2">
        <f t="shared" si="14"/>
        <v>9957.1183333333338</v>
      </c>
      <c r="N156">
        <f t="shared" si="15"/>
        <v>7</v>
      </c>
      <c r="O156" s="5">
        <f t="shared" si="16"/>
        <v>2</v>
      </c>
    </row>
    <row r="157" spans="1:15" x14ac:dyDescent="0.3">
      <c r="A157" t="s">
        <v>251</v>
      </c>
      <c r="B157" s="1">
        <v>45764</v>
      </c>
      <c r="C157" t="s">
        <v>22</v>
      </c>
      <c r="D157" t="s">
        <v>29</v>
      </c>
      <c r="E157" t="s">
        <v>18</v>
      </c>
      <c r="F157" t="s">
        <v>125</v>
      </c>
      <c r="G157">
        <v>5</v>
      </c>
      <c r="H157" s="2">
        <v>1209.42</v>
      </c>
      <c r="I157" s="2">
        <f t="shared" si="12"/>
        <v>6047.1</v>
      </c>
      <c r="J157" t="s">
        <v>73</v>
      </c>
      <c r="L157">
        <f t="shared" si="13"/>
        <v>2025</v>
      </c>
      <c r="M157" s="2">
        <f t="shared" si="14"/>
        <v>9088.2459999999992</v>
      </c>
      <c r="N157">
        <f t="shared" si="15"/>
        <v>5</v>
      </c>
      <c r="O157" s="5">
        <f t="shared" si="16"/>
        <v>4</v>
      </c>
    </row>
    <row r="158" spans="1:15" x14ac:dyDescent="0.3">
      <c r="A158" t="s">
        <v>252</v>
      </c>
      <c r="B158" s="1">
        <v>45788</v>
      </c>
      <c r="C158" t="s">
        <v>122</v>
      </c>
      <c r="D158" t="s">
        <v>12</v>
      </c>
      <c r="E158" t="s">
        <v>38</v>
      </c>
      <c r="F158" t="s">
        <v>142</v>
      </c>
      <c r="G158">
        <v>2</v>
      </c>
      <c r="H158" s="2">
        <v>555.45000000000005</v>
      </c>
      <c r="I158" s="2">
        <f t="shared" si="12"/>
        <v>1110.9000000000001</v>
      </c>
      <c r="J158" t="s">
        <v>15</v>
      </c>
      <c r="L158">
        <f t="shared" si="13"/>
        <v>2025</v>
      </c>
      <c r="M158" s="2">
        <f t="shared" si="14"/>
        <v>9848.5325000000012</v>
      </c>
      <c r="N158">
        <f t="shared" si="15"/>
        <v>1</v>
      </c>
      <c r="O158" s="5">
        <f t="shared" si="16"/>
        <v>5</v>
      </c>
    </row>
    <row r="159" spans="1:15" x14ac:dyDescent="0.3">
      <c r="A159" t="s">
        <v>253</v>
      </c>
      <c r="B159" s="1">
        <v>45930</v>
      </c>
      <c r="C159" t="s">
        <v>103</v>
      </c>
      <c r="D159" t="s">
        <v>29</v>
      </c>
      <c r="E159" t="s">
        <v>38</v>
      </c>
      <c r="F159" t="s">
        <v>42</v>
      </c>
      <c r="G159">
        <v>10</v>
      </c>
      <c r="H159" s="2">
        <v>2223.1799999999998</v>
      </c>
      <c r="I159" s="2">
        <f t="shared" si="12"/>
        <v>22231.8</v>
      </c>
      <c r="J159" t="s">
        <v>20</v>
      </c>
      <c r="L159">
        <f t="shared" si="13"/>
        <v>2025</v>
      </c>
      <c r="M159" s="2">
        <f t="shared" si="14"/>
        <v>12761.076666666666</v>
      </c>
      <c r="N159">
        <f t="shared" si="15"/>
        <v>3</v>
      </c>
      <c r="O159" s="5">
        <f t="shared" si="16"/>
        <v>9</v>
      </c>
    </row>
    <row r="160" spans="1:15" x14ac:dyDescent="0.3">
      <c r="A160" t="s">
        <v>254</v>
      </c>
      <c r="B160" s="1">
        <v>45712</v>
      </c>
      <c r="C160" t="s">
        <v>127</v>
      </c>
      <c r="D160" t="s">
        <v>54</v>
      </c>
      <c r="E160" t="s">
        <v>33</v>
      </c>
      <c r="F160" t="s">
        <v>48</v>
      </c>
      <c r="G160">
        <v>3</v>
      </c>
      <c r="H160" s="2">
        <v>1275.4100000000001</v>
      </c>
      <c r="I160" s="2">
        <f t="shared" si="12"/>
        <v>3826.2300000000005</v>
      </c>
      <c r="J160" t="s">
        <v>26</v>
      </c>
      <c r="L160">
        <f t="shared" si="13"/>
        <v>2025</v>
      </c>
      <c r="M160" s="2">
        <f t="shared" si="14"/>
        <v>8025.7150000000001</v>
      </c>
      <c r="N160">
        <f t="shared" si="15"/>
        <v>2</v>
      </c>
      <c r="O160" s="5">
        <f t="shared" si="16"/>
        <v>2</v>
      </c>
    </row>
    <row r="161" spans="1:15" x14ac:dyDescent="0.3">
      <c r="A161" t="s">
        <v>255</v>
      </c>
      <c r="B161" s="1">
        <v>45697</v>
      </c>
      <c r="C161" t="s">
        <v>195</v>
      </c>
      <c r="D161" t="s">
        <v>32</v>
      </c>
      <c r="E161" t="s">
        <v>38</v>
      </c>
      <c r="F161" t="s">
        <v>142</v>
      </c>
      <c r="G161">
        <v>5</v>
      </c>
      <c r="H161" s="2">
        <v>2445.04</v>
      </c>
      <c r="I161" s="2">
        <f t="shared" si="12"/>
        <v>12225.2</v>
      </c>
      <c r="J161" t="s">
        <v>26</v>
      </c>
      <c r="L161">
        <f t="shared" si="13"/>
        <v>2025</v>
      </c>
      <c r="M161" s="2">
        <f t="shared" si="14"/>
        <v>12225.2</v>
      </c>
      <c r="N161">
        <f t="shared" si="15"/>
        <v>1</v>
      </c>
      <c r="O161" s="5">
        <f t="shared" si="16"/>
        <v>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1"/>
  <sheetViews>
    <sheetView tabSelected="1" zoomScale="115" zoomScaleNormal="115" workbookViewId="0">
      <selection activeCell="C12" sqref="C12"/>
    </sheetView>
  </sheetViews>
  <sheetFormatPr defaultColWidth="8.6640625" defaultRowHeight="14.4" x14ac:dyDescent="0.3"/>
  <cols>
    <col min="1" max="1" width="3" bestFit="1" customWidth="1"/>
    <col min="2" max="2" width="117.44140625" bestFit="1" customWidth="1"/>
    <col min="3" max="3" width="26.21875" bestFit="1" customWidth="1"/>
  </cols>
  <sheetData>
    <row r="1" spans="1:3" x14ac:dyDescent="0.3">
      <c r="A1" s="4" t="s">
        <v>256</v>
      </c>
      <c r="B1" s="4" t="s">
        <v>257</v>
      </c>
      <c r="C1" s="4" t="s">
        <v>258</v>
      </c>
    </row>
    <row r="2" spans="1:3" x14ac:dyDescent="0.3">
      <c r="A2">
        <v>1</v>
      </c>
      <c r="B2" t="s">
        <v>259</v>
      </c>
      <c r="C2">
        <f>SUMIF(Data!L:L,"2025",Data!I:I)</f>
        <v>2141423</v>
      </c>
    </row>
    <row r="3" spans="1:3" x14ac:dyDescent="0.3">
      <c r="A3">
        <v>2</v>
      </c>
      <c r="B3" t="s">
        <v>260</v>
      </c>
      <c r="C3">
        <f>COUNTA(Data!A2:A161)</f>
        <v>160</v>
      </c>
    </row>
    <row r="4" spans="1:3" x14ac:dyDescent="0.3">
      <c r="A4">
        <v>3</v>
      </c>
      <c r="B4" t="s">
        <v>261</v>
      </c>
      <c r="C4">
        <f>AVERAGE(Data!I:I)</f>
        <v>13383.893749999999</v>
      </c>
    </row>
    <row r="5" spans="1:3" x14ac:dyDescent="0.3">
      <c r="A5">
        <v>4</v>
      </c>
      <c r="B5" t="s">
        <v>262</v>
      </c>
      <c r="C5">
        <f>MEDIAN(Data!I:I)</f>
        <v>10943.565000000001</v>
      </c>
    </row>
    <row r="6" spans="1:3" x14ac:dyDescent="0.3">
      <c r="A6">
        <v>5</v>
      </c>
      <c r="B6" t="s">
        <v>263</v>
      </c>
      <c r="C6" t="str" cm="1">
        <f t="array" ref="C6">INDEX(Data!J2:J161,MATCH(MAX(COUNTIF(Data!J2:J161,Data!J2:J161)),COUNTIF(Data!J2:J161,Data!J2:J161),0))</f>
        <v>Debit Card</v>
      </c>
    </row>
    <row r="7" spans="1:3" x14ac:dyDescent="0.3">
      <c r="A7">
        <v>6</v>
      </c>
      <c r="B7" t="s">
        <v>264</v>
      </c>
      <c r="C7">
        <f>_xlfn.STDEV.P(Data!I2:I161)</f>
        <v>10906.126392841023</v>
      </c>
    </row>
    <row r="8" spans="1:3" x14ac:dyDescent="0.3">
      <c r="A8">
        <v>7</v>
      </c>
      <c r="B8" t="s">
        <v>265</v>
      </c>
      <c r="C8" cm="1">
        <f t="array" ref="C8">SUM(LARGE(Data!I:I,_xlfn.SEQUENCE(10)))</f>
        <v>402173.98000000004</v>
      </c>
    </row>
    <row r="9" spans="1:3" x14ac:dyDescent="0.3">
      <c r="A9">
        <v>8</v>
      </c>
      <c r="B9" t="s">
        <v>266</v>
      </c>
      <c r="C9">
        <f>ROUND(AVERAGE(Data!H:H),0)</f>
        <v>2475</v>
      </c>
    </row>
    <row r="10" spans="1:3" x14ac:dyDescent="0.3">
      <c r="A10">
        <v>9</v>
      </c>
      <c r="B10" t="s">
        <v>267</v>
      </c>
      <c r="C10">
        <f>ROUNDDOWN(SUM(Data!I:I),-3)</f>
        <v>2141000</v>
      </c>
    </row>
    <row r="11" spans="1:3" x14ac:dyDescent="0.3">
      <c r="A11">
        <v>10</v>
      </c>
      <c r="B11" t="s">
        <v>268</v>
      </c>
      <c r="C11">
        <f>SUMIF(Data!N:N,"=2",Data!I:I)</f>
        <v>283428.41000000003</v>
      </c>
    </row>
    <row r="12" spans="1:3" x14ac:dyDescent="0.3">
      <c r="A12">
        <v>11</v>
      </c>
      <c r="B12" t="s">
        <v>269</v>
      </c>
      <c r="C12">
        <f>NETWORKDAYS(MIN(Data!B:B),MAX(Data!B:B))</f>
        <v>259</v>
      </c>
    </row>
    <row r="13" spans="1:3" x14ac:dyDescent="0.3">
      <c r="A13">
        <v>12</v>
      </c>
      <c r="B13" t="s">
        <v>270</v>
      </c>
      <c r="C13" t="str">
        <f>_xlfn.TEXTJOIN(",",TRUE,_xlfn.UNIQUE(Data!D2:D161))</f>
        <v>South,East,Central,West,North</v>
      </c>
    </row>
    <row r="14" spans="1:3" x14ac:dyDescent="0.3">
      <c r="A14">
        <v>13</v>
      </c>
      <c r="B14" t="s">
        <v>271</v>
      </c>
      <c r="C14">
        <f>SUMIF(Data!C:C,"*an*",Data!I:I)</f>
        <v>815765.34000000008</v>
      </c>
    </row>
    <row r="15" spans="1:3" x14ac:dyDescent="0.3">
      <c r="A15">
        <v>14</v>
      </c>
      <c r="B15" t="s">
        <v>272</v>
      </c>
      <c r="C15">
        <f>COUNTIF(Data!F:F,"W*")</f>
        <v>21</v>
      </c>
    </row>
    <row r="16" spans="1:3" x14ac:dyDescent="0.3">
      <c r="A16">
        <v>15</v>
      </c>
      <c r="B16" t="s">
        <v>273</v>
      </c>
      <c r="C16">
        <f>AVERAGEIF(Data!E:E,"Apparel",Data!G:G)</f>
        <v>5.7692307692307692</v>
      </c>
    </row>
    <row r="17" spans="1:6" x14ac:dyDescent="0.3">
      <c r="A17">
        <v>16</v>
      </c>
      <c r="B17" t="s">
        <v>274</v>
      </c>
      <c r="C17" cm="1">
        <f t="array" ref="C17">SUMPRODUCT((MOD(Data!I2:I161,1)=0)*1)</f>
        <v>5</v>
      </c>
    </row>
    <row r="18" spans="1:6" x14ac:dyDescent="0.3">
      <c r="A18">
        <v>17</v>
      </c>
      <c r="B18" t="s">
        <v>275</v>
      </c>
      <c r="C18" t="str">
        <f>TEXT(Data!B2,"dddd")</f>
        <v>Sunday</v>
      </c>
    </row>
    <row r="19" spans="1:6" x14ac:dyDescent="0.3">
      <c r="A19">
        <v>18</v>
      </c>
      <c r="B19" t="s">
        <v>276</v>
      </c>
      <c r="C19" cm="1">
        <f t="array" ref="C19">SUM(COUNTIFS(Data!L:L,"=2025",Data!O:O,{7,8,9}))</f>
        <v>39</v>
      </c>
    </row>
    <row r="20" spans="1:6" x14ac:dyDescent="0.3">
      <c r="A20">
        <v>19</v>
      </c>
      <c r="B20" t="s">
        <v>277</v>
      </c>
      <c r="C20" t="s">
        <v>23</v>
      </c>
      <c r="E20" t="str" cm="1">
        <f t="array" ref="E20:E26">_xlfn.UNIQUE(Data!D:D)</f>
        <v>Region</v>
      </c>
    </row>
    <row r="21" spans="1:6" x14ac:dyDescent="0.3">
      <c r="A21">
        <v>20</v>
      </c>
      <c r="B21" t="s">
        <v>278</v>
      </c>
      <c r="C21" t="str">
        <f>_xlfn.XLOOKUP(MIN(Data!I:I),Data!I:I,Data!C:C,"",0)</f>
        <v>Arjun Kapoor</v>
      </c>
      <c r="E21" t="str">
        <v>South</v>
      </c>
      <c r="F21">
        <f>SUMIF(Data!D:D,Formula_Practice!E21,Data!I:I)</f>
        <v>572700.80000000028</v>
      </c>
    </row>
    <row r="22" spans="1:6" x14ac:dyDescent="0.3">
      <c r="A22">
        <v>21</v>
      </c>
      <c r="B22" t="s">
        <v>279</v>
      </c>
      <c r="C22" s="6">
        <f>SUMIF(Data!J:J,"Credit Card",Data!I:I)/SUM(Data!I:I)</f>
        <v>0.16027742767309403</v>
      </c>
      <c r="E22" t="str">
        <v>East</v>
      </c>
      <c r="F22">
        <f>SUMIF(Data!D:D,Formula_Practice!E22,Data!I:I)</f>
        <v>238662.81000000006</v>
      </c>
    </row>
    <row r="23" spans="1:6" x14ac:dyDescent="0.3">
      <c r="A23">
        <v>22</v>
      </c>
      <c r="B23" t="s">
        <v>280</v>
      </c>
      <c r="C23" s="2">
        <f>SUM(Data!I2:I6)</f>
        <v>39207.049999999996</v>
      </c>
      <c r="E23" t="str">
        <v>Central</v>
      </c>
      <c r="F23">
        <f>SUMIF(Data!D:D,Formula_Practice!E23,Data!I:I)</f>
        <v>386301.12</v>
      </c>
    </row>
    <row r="24" spans="1:6" x14ac:dyDescent="0.3">
      <c r="A24">
        <v>23</v>
      </c>
      <c r="B24" t="s">
        <v>281</v>
      </c>
      <c r="C24">
        <f>F25-F21</f>
        <v>-69165.160000000382</v>
      </c>
      <c r="E24" t="str">
        <v>West</v>
      </c>
      <c r="F24">
        <f>SUMIF(Data!D:D,Formula_Practice!E24,Data!I:I)</f>
        <v>440222.63</v>
      </c>
    </row>
    <row r="25" spans="1:6" x14ac:dyDescent="0.3">
      <c r="A25">
        <v>24</v>
      </c>
      <c r="B25" t="s">
        <v>282</v>
      </c>
      <c r="C25" t="str">
        <f>IF(_xlfn.RANK.EQ(Data!I2,Data!I:I,0)&lt;=10,"True","False")</f>
        <v>False</v>
      </c>
      <c r="E25" t="str">
        <v>North</v>
      </c>
      <c r="F25">
        <f>SUMIF(Data!D:D,Formula_Practice!E25,Data!I:I)</f>
        <v>503535.6399999999</v>
      </c>
    </row>
    <row r="26" spans="1:6" x14ac:dyDescent="0.3">
      <c r="A26">
        <v>25</v>
      </c>
      <c r="B26" t="s">
        <v>283</v>
      </c>
      <c r="C26">
        <f>_xlfn.MODE.SNGL(Data!G:G)</f>
        <v>5</v>
      </c>
      <c r="D26">
        <f>COUNTIF(Data!G:G,"=5")</f>
        <v>23</v>
      </c>
      <c r="E26">
        <v>0</v>
      </c>
      <c r="F26">
        <f>SUMIF(Data!D:D,Formula_Practice!E26,Data!I:I)</f>
        <v>0</v>
      </c>
    </row>
    <row r="27" spans="1:6" x14ac:dyDescent="0.3">
      <c r="A27">
        <v>26</v>
      </c>
      <c r="B27" t="s">
        <v>284</v>
      </c>
      <c r="C27">
        <f>SUMIFS(Data!I:I,Data!E:E,"Electronics",Data!J:J,"Credit Card",Data!G:G,"&gt;3")</f>
        <v>83787.16</v>
      </c>
    </row>
    <row r="28" spans="1:6" x14ac:dyDescent="0.3">
      <c r="A28">
        <v>27</v>
      </c>
      <c r="B28" t="s">
        <v>285</v>
      </c>
      <c r="C28">
        <f>DAY(Data!B2)</f>
        <v>9</v>
      </c>
    </row>
    <row r="29" spans="1:6" x14ac:dyDescent="0.3">
      <c r="A29">
        <v>28</v>
      </c>
      <c r="B29" t="s">
        <v>286</v>
      </c>
      <c r="C29">
        <f>COUNTIF(Data!B:B,"&gt;"&amp;(MAX(Data!B:B)-30))</f>
        <v>16</v>
      </c>
    </row>
    <row r="31" spans="1:6" x14ac:dyDescent="0.3">
      <c r="B31" s="3" t="s">
        <v>287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Formula_Practice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Admin</cp:lastModifiedBy>
  <cp:revision>0</cp:revision>
  <dcterms:created xsi:type="dcterms:W3CDTF">2026-07-04T05:23:27Z</dcterms:created>
  <dcterms:modified xsi:type="dcterms:W3CDTF">2026-07-04T11:40:39Z</dcterms:modified>
  <dc:language>en-US</dc:language>
</cp:coreProperties>
</file>