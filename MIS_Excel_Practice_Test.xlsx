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6F90BFA-5EC4-448D-A5DD-6C5F74DA967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ata" sheetId="1" r:id="rId1"/>
    <sheet name="Advanced Excel Questions" sheetId="2" r:id="rId2"/>
  </sheets>
  <calcPr calcId="191029"/>
  <pivotCaches>
    <pivotCache cacheId="3" r:id="rId3"/>
    <pivotCache cacheId="1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1" i="1" l="1"/>
  <c r="S15" i="1"/>
  <c r="S9" i="1"/>
  <c r="S10" i="1"/>
  <c r="S6" i="1"/>
  <c r="S12" i="1"/>
  <c r="S8" i="1"/>
  <c r="S7" i="1"/>
  <c r="S14" i="1"/>
  <c r="S13" i="1"/>
  <c r="R6" i="1" a="1"/>
  <c r="R6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2" i="1"/>
  <c r="C13" i="2"/>
  <c r="C19" i="2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2" i="1"/>
  <c r="O3" i="1"/>
  <c r="O4" i="1"/>
  <c r="O5" i="1"/>
  <c r="R31" i="1" s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C5" i="2" s="1"/>
  <c r="C4" i="2"/>
  <c r="K2" i="1"/>
  <c r="C3" i="2" s="1"/>
  <c r="C2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<sst xmlns="http://schemas.openxmlformats.org/spreadsheetml/2006/main" count="325" uniqueCount="77">
  <si>
    <t>Order ID</t>
  </si>
  <si>
    <t>Order Date</t>
  </si>
  <si>
    <t>Product</t>
  </si>
  <si>
    <t>Category</t>
  </si>
  <si>
    <t>City</t>
  </si>
  <si>
    <t>Quantity</t>
  </si>
  <si>
    <t>Price</t>
  </si>
  <si>
    <t>Status</t>
  </si>
  <si>
    <t>Bluetooth Speaker</t>
  </si>
  <si>
    <t>Electronics</t>
  </si>
  <si>
    <t>Delhi</t>
  </si>
  <si>
    <t>Completed</t>
  </si>
  <si>
    <t>Kolkata</t>
  </si>
  <si>
    <t>Cancelled</t>
  </si>
  <si>
    <t>Wireless Mouse</t>
  </si>
  <si>
    <t>Table Fan</t>
  </si>
  <si>
    <t>Home</t>
  </si>
  <si>
    <t xml:space="preserve">  delhi </t>
  </si>
  <si>
    <t>Study Table</t>
  </si>
  <si>
    <t>Furniture</t>
  </si>
  <si>
    <t>Pune</t>
  </si>
  <si>
    <t>Hyderabad</t>
  </si>
  <si>
    <t>Pending</t>
  </si>
  <si>
    <t>LED Desk Lamp</t>
  </si>
  <si>
    <t>Mumbai</t>
  </si>
  <si>
    <t>Bengaluru</t>
  </si>
  <si>
    <t>Backpack</t>
  </si>
  <si>
    <t>Accessories</t>
  </si>
  <si>
    <t>Chennai</t>
  </si>
  <si>
    <t>Office Chair</t>
  </si>
  <si>
    <t>Yoga Mat</t>
  </si>
  <si>
    <t>Sports</t>
  </si>
  <si>
    <t>Notebook Set</t>
  </si>
  <si>
    <t>Stationery</t>
  </si>
  <si>
    <t>Water Bottle</t>
  </si>
  <si>
    <t>MUMBAI</t>
  </si>
  <si>
    <t>completed</t>
  </si>
  <si>
    <t xml:space="preserve">Bengaluru </t>
  </si>
  <si>
    <t xml:space="preserve">CANCELLED </t>
  </si>
  <si>
    <t>#</t>
  </si>
  <si>
    <t>Question</t>
  </si>
  <si>
    <t>Find the total revenue (Quantity x Price) for all orders.</t>
  </si>
  <si>
    <t>Find the total revenue for the 'Electronics' category only, using SUMIFS/SUMPRODUCT.</t>
  </si>
  <si>
    <t>Find the total number of orders placed from Delhi (watch out for spacing/case issues in the City column).</t>
  </si>
  <si>
    <t>Find total sales for Delhi in January only (two conditions: City and Month).</t>
  </si>
  <si>
    <t>Find the top 5 products by total revenue.</t>
  </si>
  <si>
    <t>Find all duplicate Order IDs in the data.</t>
  </si>
  <si>
    <t>Find all rows with missing values (blank Quantity, Product, or Status).</t>
  </si>
  <si>
    <t>Remove duplicate records and list how many duplicates were found.</t>
  </si>
  <si>
    <t>Standardize the City column so that values like 'delhi', ' Delhi ', 'DELHI' all read as 'Delhi'.</t>
  </si>
  <si>
    <t>Standardize the Status column so that 'completed', 'Completed', 'COMPLETED' all read the same.</t>
  </si>
  <si>
    <t>Add a calculated column 'Revenue' = Quantity x Price.</t>
  </si>
  <si>
    <t>Find the number of days between the earliest and latest Order Date.</t>
  </si>
  <si>
    <t>Create a Pivot Table showing total Revenue by Category.</t>
  </si>
  <si>
    <t>Create a Pivot Table showing total number of Orders by City.</t>
  </si>
  <si>
    <t>Create a Pivot Table showing count of Orders by Status (Completed / Pending / Cancelled).</t>
  </si>
  <si>
    <t>Using conditional formatting rules (describe them, no need to color), how would you highlight orders with negative Quantity?</t>
  </si>
  <si>
    <t>Write a formula to flag any row where Quantity is negative or blank as 'Check Data'.</t>
  </si>
  <si>
    <t>Write an XLOOKUP or INDEX+MATCH formula to find the Price of 'Office Chair'.</t>
  </si>
  <si>
    <t>Write a formula using TRIM and PROPER/UPPER to clean the City column.</t>
  </si>
  <si>
    <t>Summarize your findings in 3-4 bullet points as an MIS report would (e.g. highest revenue category, city with most orders, % cancelled orders).</t>
  </si>
  <si>
    <t>revenue</t>
  </si>
  <si>
    <t>done</t>
  </si>
  <si>
    <t>month</t>
  </si>
  <si>
    <t>duplicate</t>
  </si>
  <si>
    <t>standardize city</t>
  </si>
  <si>
    <t>standardize status</t>
  </si>
  <si>
    <t>Row Labels</t>
  </si>
  <si>
    <t>Grand Total</t>
  </si>
  <si>
    <t>Sum of revenue</t>
  </si>
  <si>
    <t>Count of Order ID</t>
  </si>
  <si>
    <t>check data</t>
  </si>
  <si>
    <t>31% cancelled orders</t>
  </si>
  <si>
    <t>Mumbai is with most orders</t>
  </si>
  <si>
    <t>Sports is the highest revenue category</t>
  </si>
  <si>
    <t>I go to conditional formatting option , choose values less than 0 and format them with red color fill.</t>
  </si>
  <si>
    <t>helper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</si>
</sst>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sz val="11"/>
      <color theme="1"/>
      <name val="Calibri"/>
      <family val="2"/>
      <scheme val="minor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165" fontId="2" fillId="0" borderId="0" xfId="0" applyNumberFormat="1" applyFont="1"/>
    <xf numFmtId="0" fontId="2" fillId="0" borderId="0" xfId="0" applyFont="1" applyAlignment="1">
      <alignment vertical="top" wrapText="1"/>
    </xf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2" borderId="0" xfId="0" applyFont="1" applyFill="1"/>
    <xf numFmtId="9" fontId="0" fillId="0" borderId="0" xfId="1" applyFont="1"/>
    <xf numFmtId="9" fontId="0" fillId="2" borderId="0" xfId="1" applyFont="1" applyFill="1"/>
  </cellXfs>
  <cellStyles count="2">
    <cellStyle name="Normal" xfId="0" builtinId="0"/>
    <cellStyle name="Percent" xfId="1" builtinId="5"/>
  </cellStyles>
  <dxfs count="2">
    <dxf>
      <fill>
        <patternFill>
          <bgColor rgb="FF99CCFF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99CC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67.871873379627" createdVersion="8" refreshedVersion="8" minRefreshableVersion="3" recordCount="60" xr:uid="{EAA9CBED-01A4-4295-BDEB-EE8D74598177}">
  <cacheSource type="worksheet">
    <worksheetSource ref="A1:K61" sheet="Data"/>
  </cacheSource>
  <cacheFields count="10">
    <cacheField name="Order ID" numFmtId="0">
      <sharedItems containsSemiMixedTypes="0" containsString="0" containsNumber="1" containsInteger="1" minValue="1001" maxValue="1060"/>
    </cacheField>
    <cacheField name="Order Date" numFmtId="165">
      <sharedItems containsSemiMixedTypes="0" containsNonDate="0" containsDate="1" containsString="0" minDate="2025-01-01T00:00:00" maxDate="2025-05-02T00:00:00"/>
    </cacheField>
    <cacheField name="Product" numFmtId="0">
      <sharedItems containsBlank="1"/>
    </cacheField>
    <cacheField name="Category" numFmtId="0">
      <sharedItems count="6">
        <s v="Electronics"/>
        <s v="Home"/>
        <s v="Furniture"/>
        <s v="Accessories"/>
        <s v="Sports"/>
        <s v="Stationery"/>
      </sharedItems>
    </cacheField>
    <cacheField name="City" numFmtId="0">
      <sharedItems/>
    </cacheField>
    <cacheField name="Quantity" numFmtId="0">
      <sharedItems containsString="0" containsBlank="1" containsNumber="1" containsInteger="1" minValue="-2" maxValue="5"/>
    </cacheField>
    <cacheField name="Price" numFmtId="0">
      <sharedItems containsSemiMixedTypes="0" containsString="0" containsNumber="1" containsInteger="1" minValue="249" maxValue="3499"/>
    </cacheField>
    <cacheField name="Status" numFmtId="0">
      <sharedItems containsBlank="1"/>
    </cacheField>
    <cacheField name="Field9" caption="Field9" numFmtId="0">
      <sharedItems containsNonDate="0" containsString="0" containsBlank="1"/>
    </cacheField>
    <cacheField name="revenue" numFmtId="0">
      <sharedItems containsSemiMixedTypes="0" containsString="0" containsNumber="1" containsInteger="1" minValue="-998" maxValue="174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67.873330671297" createdVersion="8" refreshedVersion="8" minRefreshableVersion="3" recordCount="60" xr:uid="{6B9F4375-158C-4D1C-A18F-5914F51405A5}">
  <cacheSource type="worksheet">
    <worksheetSource ref="A1:O61" sheet="Data"/>
  </cacheSource>
  <cacheFields count="14">
    <cacheField name="Order ID" numFmtId="0">
      <sharedItems containsSemiMixedTypes="0" containsString="0" containsNumber="1" containsInteger="1" minValue="1001" maxValue="1060"/>
    </cacheField>
    <cacheField name="Order Date" numFmtId="165">
      <sharedItems containsSemiMixedTypes="0" containsNonDate="0" containsDate="1" containsString="0" minDate="2025-01-01T00:00:00" maxDate="2025-05-02T00:00:00"/>
    </cacheField>
    <cacheField name="Product" numFmtId="0">
      <sharedItems containsBlank="1"/>
    </cacheField>
    <cacheField name="Category" numFmtId="0">
      <sharedItems/>
    </cacheField>
    <cacheField name="City" numFmtId="0">
      <sharedItems/>
    </cacheField>
    <cacheField name="Quantity" numFmtId="0">
      <sharedItems containsString="0" containsBlank="1" containsNumber="1" containsInteger="1" minValue="-2" maxValue="5"/>
    </cacheField>
    <cacheField name="Price" numFmtId="0">
      <sharedItems containsSemiMixedTypes="0" containsString="0" containsNumber="1" containsInteger="1" minValue="249" maxValue="3499"/>
    </cacheField>
    <cacheField name="Status" numFmtId="0">
      <sharedItems containsBlank="1"/>
    </cacheField>
    <cacheField name="Field9" caption="Field9" numFmtId="0">
      <sharedItems containsNonDate="0" containsString="0" containsBlank="1"/>
    </cacheField>
    <cacheField name="revenue" numFmtId="0">
      <sharedItems containsSemiMixedTypes="0" containsString="0" containsNumber="1" containsInteger="1" minValue="-998" maxValue="17495"/>
    </cacheField>
    <cacheField name="month" numFmtId="0">
      <sharedItems containsSemiMixedTypes="0" containsString="0" containsNumber="1" containsInteger="1" minValue="1" maxValue="5"/>
    </cacheField>
    <cacheField name="duplicate" numFmtId="0">
      <sharedItems/>
    </cacheField>
    <cacheField name="standardize city" numFmtId="0">
      <sharedItems count="7">
        <s v="Delhi"/>
        <s v="Kolkata"/>
        <s v="Pune"/>
        <s v="Hyderabad"/>
        <s v="Mumbai"/>
        <s v="Bengaluru"/>
        <s v="Chennai"/>
      </sharedItems>
    </cacheField>
    <cacheField name="standardize status" numFmtId="0">
      <sharedItems count="4">
        <s v="Completed"/>
        <s v="Cancelled"/>
        <s v="Pending"/>
        <s v="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001"/>
    <d v="2025-03-23T00:00:00"/>
    <s v="Bluetooth Speaker"/>
    <x v="0"/>
    <s v="Delhi"/>
    <n v="3"/>
    <n v="899"/>
    <s v="Completed"/>
    <m/>
    <n v="2697"/>
  </r>
  <r>
    <n v="1002"/>
    <d v="2025-01-18T00:00:00"/>
    <s v="Bluetooth Speaker"/>
    <x v="0"/>
    <s v="Kolkata"/>
    <n v="5"/>
    <n v="399"/>
    <s v="Cancelled"/>
    <m/>
    <n v="1995"/>
  </r>
  <r>
    <n v="1003"/>
    <d v="2025-02-24T00:00:00"/>
    <s v="Wireless Mouse"/>
    <x v="0"/>
    <s v="Delhi"/>
    <n v="1"/>
    <n v="899"/>
    <s v="Completed"/>
    <m/>
    <n v="899"/>
  </r>
  <r>
    <n v="1004"/>
    <d v="2025-03-06T00:00:00"/>
    <s v="Table Fan"/>
    <x v="1"/>
    <s v="  delhi "/>
    <n v="5"/>
    <n v="899"/>
    <s v="Cancelled"/>
    <m/>
    <n v="4495"/>
  </r>
  <r>
    <n v="1005"/>
    <d v="2025-03-25T00:00:00"/>
    <s v="Study Table"/>
    <x v="2"/>
    <s v="Pune"/>
    <n v="2"/>
    <n v="3499"/>
    <s v="Cancelled"/>
    <m/>
    <n v="6998"/>
  </r>
  <r>
    <n v="1006"/>
    <d v="2025-02-05T00:00:00"/>
    <s v="Wireless Mouse"/>
    <x v="0"/>
    <s v="Hyderabad"/>
    <n v="2"/>
    <n v="2499"/>
    <s v="Pending"/>
    <m/>
    <n v="4998"/>
  </r>
  <r>
    <n v="1007"/>
    <d v="2025-02-05T00:00:00"/>
    <s v="LED Desk Lamp"/>
    <x v="1"/>
    <s v="Mumbai"/>
    <n v="3"/>
    <n v="399"/>
    <s v="Completed"/>
    <m/>
    <n v="1197"/>
  </r>
  <r>
    <n v="1008"/>
    <d v="2025-02-18T00:00:00"/>
    <s v="Bluetooth Speaker"/>
    <x v="0"/>
    <s v="Bengaluru"/>
    <n v="3"/>
    <n v="1199"/>
    <s v="Completed"/>
    <m/>
    <n v="3597"/>
  </r>
  <r>
    <n v="1009"/>
    <d v="2025-04-04T00:00:00"/>
    <s v="Backpack"/>
    <x v="3"/>
    <s v="Chennai"/>
    <m/>
    <n v="2499"/>
    <s v="Completed"/>
    <m/>
    <n v="0"/>
  </r>
  <r>
    <n v="1010"/>
    <d v="2025-03-12T00:00:00"/>
    <s v="Office Chair"/>
    <x v="2"/>
    <s v="Hyderabad"/>
    <n v="5"/>
    <n v="1499"/>
    <s v="Cancelled"/>
    <m/>
    <n v="7495"/>
  </r>
  <r>
    <n v="1011"/>
    <d v="2025-01-25T00:00:00"/>
    <s v="Bluetooth Speaker"/>
    <x v="0"/>
    <s v="Delhi"/>
    <n v="2"/>
    <n v="1199"/>
    <s v="Completed"/>
    <m/>
    <n v="2398"/>
  </r>
  <r>
    <n v="1012"/>
    <d v="2025-04-20T00:00:00"/>
    <s v="Yoga Mat"/>
    <x v="4"/>
    <s v="Hyderabad"/>
    <n v="1"/>
    <n v="2499"/>
    <s v="Pending"/>
    <m/>
    <n v="2499"/>
  </r>
  <r>
    <n v="1013"/>
    <d v="2025-02-28T00:00:00"/>
    <s v="Notebook Set"/>
    <x v="5"/>
    <s v="Mumbai"/>
    <n v="3"/>
    <n v="1499"/>
    <s v="Completed"/>
    <m/>
    <n v="4497"/>
  </r>
  <r>
    <n v="1014"/>
    <d v="2025-03-27T00:00:00"/>
    <s v="Office Chair"/>
    <x v="2"/>
    <s v="Kolkata"/>
    <n v="1"/>
    <n v="499"/>
    <s v="Cancelled"/>
    <m/>
    <n v="499"/>
  </r>
  <r>
    <n v="1015"/>
    <d v="2025-04-04T00:00:00"/>
    <s v="Yoga Mat"/>
    <x v="4"/>
    <s v="Mumbai"/>
    <n v="4"/>
    <n v="2499"/>
    <s v="Pending"/>
    <m/>
    <n v="9996"/>
  </r>
  <r>
    <n v="1016"/>
    <d v="2025-04-29T00:00:00"/>
    <s v="Study Table"/>
    <x v="2"/>
    <s v="Mumbai"/>
    <n v="3"/>
    <n v="249"/>
    <m/>
    <m/>
    <n v="747"/>
  </r>
  <r>
    <n v="1017"/>
    <d v="2025-04-16T00:00:00"/>
    <s v="Wireless Mouse"/>
    <x v="0"/>
    <s v="Hyderabad"/>
    <n v="3"/>
    <n v="2499"/>
    <s v="Pending"/>
    <m/>
    <n v="7497"/>
  </r>
  <r>
    <n v="1018"/>
    <d v="2025-01-09T00:00:00"/>
    <s v="Yoga Mat"/>
    <x v="4"/>
    <s v="Chennai"/>
    <n v="3"/>
    <n v="899"/>
    <s v="Cancelled"/>
    <m/>
    <n v="2697"/>
  </r>
  <r>
    <n v="1019"/>
    <d v="2025-03-05T00:00:00"/>
    <s v="Water Bottle"/>
    <x v="4"/>
    <s v="Kolkata"/>
    <n v="4"/>
    <n v="499"/>
    <s v="Pending"/>
    <m/>
    <n v="1996"/>
  </r>
  <r>
    <n v="1020"/>
    <d v="2025-01-18T00:00:00"/>
    <s v="Yoga Mat"/>
    <x v="4"/>
    <s v="Kolkata"/>
    <n v="5"/>
    <n v="1199"/>
    <s v="Cancelled"/>
    <m/>
    <n v="5995"/>
  </r>
  <r>
    <n v="1021"/>
    <d v="2025-03-16T00:00:00"/>
    <s v="Water Bottle"/>
    <x v="4"/>
    <s v="Mumbai"/>
    <n v="4"/>
    <n v="1499"/>
    <s v="Completed"/>
    <m/>
    <n v="5996"/>
  </r>
  <r>
    <n v="1022"/>
    <d v="2025-01-18T00:00:00"/>
    <s v="Study Table"/>
    <x v="2"/>
    <s v="Pune"/>
    <n v="1"/>
    <n v="249"/>
    <s v="Completed"/>
    <m/>
    <n v="249"/>
  </r>
  <r>
    <n v="1023"/>
    <d v="2025-01-20T00:00:00"/>
    <s v="LED Desk Lamp"/>
    <x v="1"/>
    <s v="Hyderabad"/>
    <n v="4"/>
    <n v="399"/>
    <s v="Pending"/>
    <m/>
    <n v="1596"/>
  </r>
  <r>
    <n v="1024"/>
    <d v="2025-02-18T00:00:00"/>
    <s v="Table Fan"/>
    <x v="1"/>
    <s v="Pune"/>
    <n v="5"/>
    <n v="1199"/>
    <s v="Cancelled"/>
    <m/>
    <n v="5995"/>
  </r>
  <r>
    <n v="1025"/>
    <d v="2025-04-21T00:00:00"/>
    <s v="Wireless Mouse"/>
    <x v="0"/>
    <s v="Kolkata"/>
    <n v="1"/>
    <n v="1199"/>
    <s v="Cancelled"/>
    <m/>
    <n v="1199"/>
  </r>
  <r>
    <n v="1026"/>
    <d v="2025-02-13T00:00:00"/>
    <s v="Bluetooth Speaker"/>
    <x v="0"/>
    <s v="Bengaluru"/>
    <n v="-2"/>
    <n v="499"/>
    <s v="Pending"/>
    <m/>
    <n v="-998"/>
  </r>
  <r>
    <n v="1027"/>
    <d v="2025-01-01T00:00:00"/>
    <s v="Office Chair"/>
    <x v="2"/>
    <s v="Chennai"/>
    <n v="2"/>
    <n v="399"/>
    <s v="Cancelled"/>
    <m/>
    <n v="798"/>
  </r>
  <r>
    <n v="1028"/>
    <d v="2025-02-08T00:00:00"/>
    <s v="Study Table"/>
    <x v="2"/>
    <s v="Chennai"/>
    <n v="2"/>
    <n v="499"/>
    <s v="Pending"/>
    <m/>
    <n v="998"/>
  </r>
  <r>
    <n v="1029"/>
    <d v="2025-04-08T00:00:00"/>
    <s v="LED Desk Lamp"/>
    <x v="1"/>
    <s v="Chennai"/>
    <n v="5"/>
    <n v="249"/>
    <s v="Cancelled"/>
    <m/>
    <n v="1245"/>
  </r>
  <r>
    <n v="1030"/>
    <d v="2025-02-11T00:00:00"/>
    <s v="Backpack"/>
    <x v="3"/>
    <s v="Delhi"/>
    <n v="1"/>
    <n v="1499"/>
    <s v="Pending"/>
    <m/>
    <n v="1499"/>
  </r>
  <r>
    <n v="1031"/>
    <d v="2025-01-31T00:00:00"/>
    <s v="Wireless Mouse"/>
    <x v="0"/>
    <s v="Mumbai"/>
    <n v="5"/>
    <n v="399"/>
    <s v="Completed"/>
    <m/>
    <n v="1995"/>
  </r>
  <r>
    <n v="1032"/>
    <d v="2025-04-04T00:00:00"/>
    <s v="Backpack"/>
    <x v="3"/>
    <s v="Hyderabad"/>
    <n v="1"/>
    <n v="499"/>
    <s v="Completed"/>
    <m/>
    <n v="499"/>
  </r>
  <r>
    <n v="1033"/>
    <d v="2025-03-26T00:00:00"/>
    <s v="Backpack"/>
    <x v="3"/>
    <s v="Chennai"/>
    <n v="2"/>
    <n v="1199"/>
    <s v="Cancelled"/>
    <m/>
    <n v="2398"/>
  </r>
  <r>
    <n v="1034"/>
    <d v="2025-04-22T00:00:00"/>
    <s v="Table Fan"/>
    <x v="1"/>
    <s v="Pune"/>
    <n v="2"/>
    <n v="899"/>
    <s v="Cancelled"/>
    <m/>
    <n v="1798"/>
  </r>
  <r>
    <n v="1035"/>
    <d v="2025-02-09T00:00:00"/>
    <s v="Water Bottle"/>
    <x v="4"/>
    <s v="Kolkata"/>
    <n v="3"/>
    <n v="3499"/>
    <s v="Cancelled"/>
    <m/>
    <n v="10497"/>
  </r>
  <r>
    <n v="1036"/>
    <d v="2025-02-27T00:00:00"/>
    <s v="Bluetooth Speaker"/>
    <x v="0"/>
    <s v="Bengaluru "/>
    <n v="2"/>
    <n v="399"/>
    <s v="Pending"/>
    <m/>
    <n v="798"/>
  </r>
  <r>
    <n v="1037"/>
    <d v="2025-01-03T00:00:00"/>
    <s v="Table Fan"/>
    <x v="1"/>
    <s v="Chennai"/>
    <n v="2"/>
    <n v="899"/>
    <s v="Completed"/>
    <m/>
    <n v="1798"/>
  </r>
  <r>
    <n v="1038"/>
    <d v="2025-01-10T00:00:00"/>
    <s v="Wireless Mouse"/>
    <x v="0"/>
    <s v="Mumbai"/>
    <n v="1"/>
    <n v="249"/>
    <s v="Pending"/>
    <m/>
    <n v="249"/>
  </r>
  <r>
    <n v="1039"/>
    <d v="2025-01-10T00:00:00"/>
    <s v="Study Table"/>
    <x v="2"/>
    <s v="Mumbai"/>
    <n v="3"/>
    <n v="3499"/>
    <s v="Completed"/>
    <m/>
    <n v="10497"/>
  </r>
  <r>
    <n v="1040"/>
    <d v="2025-03-11T00:00:00"/>
    <s v="LED Desk Lamp"/>
    <x v="1"/>
    <s v="Kolkata"/>
    <n v="5"/>
    <n v="3499"/>
    <s v="Completed"/>
    <m/>
    <n v="17495"/>
  </r>
  <r>
    <n v="1041"/>
    <d v="2025-04-11T00:00:00"/>
    <m/>
    <x v="3"/>
    <s v="Hyderabad"/>
    <n v="4"/>
    <n v="899"/>
    <s v="Completed"/>
    <m/>
    <n v="3596"/>
  </r>
  <r>
    <n v="1042"/>
    <d v="2025-01-13T00:00:00"/>
    <s v="Water Bottle"/>
    <x v="4"/>
    <s v="Bengaluru"/>
    <n v="4"/>
    <n v="2499"/>
    <s v="Pending"/>
    <m/>
    <n v="9996"/>
  </r>
  <r>
    <n v="1043"/>
    <d v="2025-04-21T00:00:00"/>
    <s v="Wireless Mouse"/>
    <x v="0"/>
    <s v="Kolkata"/>
    <n v="1"/>
    <n v="249"/>
    <s v="Pending"/>
    <m/>
    <n v="249"/>
  </r>
  <r>
    <n v="1044"/>
    <d v="2025-04-04T00:00:00"/>
    <s v="Notebook Set"/>
    <x v="5"/>
    <s v="Hyderabad"/>
    <n v="1"/>
    <n v="899"/>
    <s v="Completed"/>
    <m/>
    <n v="899"/>
  </r>
  <r>
    <n v="1045"/>
    <d v="2025-01-25T00:00:00"/>
    <s v="Study Table"/>
    <x v="2"/>
    <s v="Pune"/>
    <n v="2"/>
    <n v="2499"/>
    <s v="Completed"/>
    <m/>
    <n v="4998"/>
  </r>
  <r>
    <n v="1046"/>
    <d v="2025-02-05T00:00:00"/>
    <s v="Backpack"/>
    <x v="3"/>
    <s v="Mumbai"/>
    <n v="1"/>
    <n v="3499"/>
    <s v="CANCELLED "/>
    <m/>
    <n v="3499"/>
  </r>
  <r>
    <n v="1047"/>
    <d v="2025-01-13T00:00:00"/>
    <s v="Wireless Mouse"/>
    <x v="0"/>
    <s v="Kolkata"/>
    <n v="5"/>
    <n v="249"/>
    <s v="Completed"/>
    <m/>
    <n v="1245"/>
  </r>
  <r>
    <n v="1048"/>
    <d v="2025-04-29T00:00:00"/>
    <s v="Yoga Mat"/>
    <x v="4"/>
    <s v="Mumbai"/>
    <n v="4"/>
    <n v="3499"/>
    <s v="Pending"/>
    <m/>
    <n v="13996"/>
  </r>
  <r>
    <n v="1049"/>
    <d v="2025-01-28T00:00:00"/>
    <s v="Water Bottle"/>
    <x v="4"/>
    <s v="Delhi"/>
    <n v="2"/>
    <n v="2499"/>
    <s v="Completed"/>
    <m/>
    <n v="4998"/>
  </r>
  <r>
    <n v="1050"/>
    <d v="2025-02-19T00:00:00"/>
    <s v="Office Chair"/>
    <x v="2"/>
    <s v="Hyderabad"/>
    <n v="4"/>
    <n v="1199"/>
    <s v="Pending"/>
    <m/>
    <n v="4796"/>
  </r>
  <r>
    <n v="1051"/>
    <d v="2025-03-31T00:00:00"/>
    <s v="Study Table"/>
    <x v="2"/>
    <s v="Kolkata"/>
    <n v="4"/>
    <n v="499"/>
    <s v="Completed"/>
    <m/>
    <n v="1996"/>
  </r>
  <r>
    <n v="1052"/>
    <d v="2025-02-07T00:00:00"/>
    <s v="Yoga Mat"/>
    <x v="4"/>
    <s v="Delhi"/>
    <n v="5"/>
    <n v="249"/>
    <s v="Cancelled"/>
    <m/>
    <n v="1245"/>
  </r>
  <r>
    <n v="1053"/>
    <d v="2025-02-10T00:00:00"/>
    <s v="Wireless Mouse"/>
    <x v="0"/>
    <s v="Delhi"/>
    <n v="5"/>
    <n v="3499"/>
    <s v="Cancelled"/>
    <m/>
    <n v="17495"/>
  </r>
  <r>
    <n v="1054"/>
    <d v="2025-04-28T00:00:00"/>
    <s v="Study Table"/>
    <x v="2"/>
    <s v="Mumbai"/>
    <n v="1"/>
    <n v="399"/>
    <s v="Completed"/>
    <m/>
    <n v="399"/>
  </r>
  <r>
    <n v="1055"/>
    <d v="2025-01-09T00:00:00"/>
    <s v="Table Fan"/>
    <x v="1"/>
    <s v="Delhi"/>
    <n v="2"/>
    <n v="2499"/>
    <s v="Completed"/>
    <m/>
    <n v="4998"/>
  </r>
  <r>
    <n v="1056"/>
    <d v="2025-05-01T00:00:00"/>
    <s v="Table Fan"/>
    <x v="1"/>
    <s v="Mumbai"/>
    <n v="5"/>
    <n v="249"/>
    <s v="Cancelled"/>
    <m/>
    <n v="1245"/>
  </r>
  <r>
    <n v="1057"/>
    <d v="2025-01-11T00:00:00"/>
    <s v="Water Bottle"/>
    <x v="4"/>
    <s v="Kolkata"/>
    <n v="5"/>
    <n v="1499"/>
    <s v="Pending"/>
    <m/>
    <n v="7495"/>
  </r>
  <r>
    <n v="1058"/>
    <d v="2025-01-27T00:00:00"/>
    <s v="Notebook Set"/>
    <x v="5"/>
    <s v="Mumbai"/>
    <n v="3"/>
    <n v="2499"/>
    <s v="Completed"/>
    <m/>
    <n v="7497"/>
  </r>
  <r>
    <n v="1059"/>
    <d v="2025-03-27T00:00:00"/>
    <s v="Office Chair"/>
    <x v="2"/>
    <s v="Pune"/>
    <n v="3"/>
    <n v="399"/>
    <s v="Completed"/>
    <m/>
    <n v="1197"/>
  </r>
  <r>
    <n v="1060"/>
    <d v="2025-02-28T00:00:00"/>
    <s v="Table Fan"/>
    <x v="1"/>
    <s v="Chennai"/>
    <n v="1"/>
    <n v="399"/>
    <s v="Cancelled"/>
    <m/>
    <n v="3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n v="1001"/>
    <d v="2025-03-23T00:00:00"/>
    <s v="Bluetooth Speaker"/>
    <s v="Electronics"/>
    <s v="Delhi"/>
    <n v="3"/>
    <n v="899"/>
    <s v="Completed"/>
    <m/>
    <n v="2697"/>
    <n v="3"/>
    <s v="Unique"/>
    <x v="0"/>
    <x v="0"/>
  </r>
  <r>
    <n v="1002"/>
    <d v="2025-01-18T00:00:00"/>
    <s v="Bluetooth Speaker"/>
    <s v="Electronics"/>
    <s v="Kolkata"/>
    <n v="5"/>
    <n v="399"/>
    <s v="Cancelled"/>
    <m/>
    <n v="1995"/>
    <n v="1"/>
    <s v="Unique"/>
    <x v="1"/>
    <x v="1"/>
  </r>
  <r>
    <n v="1003"/>
    <d v="2025-02-24T00:00:00"/>
    <s v="Wireless Mouse"/>
    <s v="Electronics"/>
    <s v="Delhi"/>
    <n v="1"/>
    <n v="899"/>
    <s v="Completed"/>
    <m/>
    <n v="899"/>
    <n v="2"/>
    <s v="Unique"/>
    <x v="0"/>
    <x v="0"/>
  </r>
  <r>
    <n v="1004"/>
    <d v="2025-03-06T00:00:00"/>
    <s v="Table Fan"/>
    <s v="Home"/>
    <s v="  delhi "/>
    <n v="5"/>
    <n v="899"/>
    <s v="Cancelled"/>
    <m/>
    <n v="4495"/>
    <n v="3"/>
    <s v="Unique"/>
    <x v="0"/>
    <x v="1"/>
  </r>
  <r>
    <n v="1005"/>
    <d v="2025-03-25T00:00:00"/>
    <s v="Study Table"/>
    <s v="Furniture"/>
    <s v="Pune"/>
    <n v="2"/>
    <n v="3499"/>
    <s v="Cancelled"/>
    <m/>
    <n v="6998"/>
    <n v="3"/>
    <s v="Unique"/>
    <x v="2"/>
    <x v="1"/>
  </r>
  <r>
    <n v="1006"/>
    <d v="2025-02-05T00:00:00"/>
    <s v="Wireless Mouse"/>
    <s v="Electronics"/>
    <s v="Hyderabad"/>
    <n v="2"/>
    <n v="2499"/>
    <s v="Pending"/>
    <m/>
    <n v="4998"/>
    <n v="2"/>
    <s v="Unique"/>
    <x v="3"/>
    <x v="2"/>
  </r>
  <r>
    <n v="1007"/>
    <d v="2025-02-05T00:00:00"/>
    <s v="LED Desk Lamp"/>
    <s v="Home"/>
    <s v="Mumbai"/>
    <n v="3"/>
    <n v="399"/>
    <s v="Completed"/>
    <m/>
    <n v="1197"/>
    <n v="2"/>
    <s v="Unique"/>
    <x v="4"/>
    <x v="0"/>
  </r>
  <r>
    <n v="1008"/>
    <d v="2025-02-18T00:00:00"/>
    <s v="Bluetooth Speaker"/>
    <s v="Electronics"/>
    <s v="Bengaluru"/>
    <n v="3"/>
    <n v="1199"/>
    <s v="Completed"/>
    <m/>
    <n v="3597"/>
    <n v="2"/>
    <s v="Unique"/>
    <x v="5"/>
    <x v="0"/>
  </r>
  <r>
    <n v="1009"/>
    <d v="2025-04-04T00:00:00"/>
    <s v="Backpack"/>
    <s v="Accessories"/>
    <s v="Chennai"/>
    <m/>
    <n v="2499"/>
    <s v="Completed"/>
    <m/>
    <n v="0"/>
    <n v="4"/>
    <s v="Unique"/>
    <x v="6"/>
    <x v="0"/>
  </r>
  <r>
    <n v="1010"/>
    <d v="2025-03-12T00:00:00"/>
    <s v="Office Chair"/>
    <s v="Furniture"/>
    <s v="Hyderabad"/>
    <n v="5"/>
    <n v="1499"/>
    <s v="Cancelled"/>
    <m/>
    <n v="7495"/>
    <n v="3"/>
    <s v="Unique"/>
    <x v="3"/>
    <x v="1"/>
  </r>
  <r>
    <n v="1011"/>
    <d v="2025-01-25T00:00:00"/>
    <s v="Bluetooth Speaker"/>
    <s v="Electronics"/>
    <s v="Delhi"/>
    <n v="2"/>
    <n v="1199"/>
    <s v="Completed"/>
    <m/>
    <n v="2398"/>
    <n v="1"/>
    <s v="Unique"/>
    <x v="0"/>
    <x v="0"/>
  </r>
  <r>
    <n v="1012"/>
    <d v="2025-04-20T00:00:00"/>
    <s v="Yoga Mat"/>
    <s v="Sports"/>
    <s v="Hyderabad"/>
    <n v="1"/>
    <n v="2499"/>
    <s v="Pending"/>
    <m/>
    <n v="2499"/>
    <n v="4"/>
    <s v="Unique"/>
    <x v="3"/>
    <x v="2"/>
  </r>
  <r>
    <n v="1013"/>
    <d v="2025-02-28T00:00:00"/>
    <s v="Notebook Set"/>
    <s v="Stationery"/>
    <s v="Mumbai"/>
    <n v="3"/>
    <n v="1499"/>
    <s v="Completed"/>
    <m/>
    <n v="4497"/>
    <n v="2"/>
    <s v="Unique"/>
    <x v="4"/>
    <x v="0"/>
  </r>
  <r>
    <n v="1014"/>
    <d v="2025-03-27T00:00:00"/>
    <s v="Office Chair"/>
    <s v="Furniture"/>
    <s v="Kolkata"/>
    <n v="1"/>
    <n v="499"/>
    <s v="Cancelled"/>
    <m/>
    <n v="499"/>
    <n v="3"/>
    <s v="Unique"/>
    <x v="1"/>
    <x v="1"/>
  </r>
  <r>
    <n v="1015"/>
    <d v="2025-04-04T00:00:00"/>
    <s v="Yoga Mat"/>
    <s v="Sports"/>
    <s v="Mumbai"/>
    <n v="4"/>
    <n v="2499"/>
    <s v="Pending"/>
    <m/>
    <n v="9996"/>
    <n v="4"/>
    <s v="Unique"/>
    <x v="4"/>
    <x v="2"/>
  </r>
  <r>
    <n v="1016"/>
    <d v="2025-04-29T00:00:00"/>
    <s v="Study Table"/>
    <s v="Furniture"/>
    <s v="Mumbai"/>
    <n v="3"/>
    <n v="249"/>
    <m/>
    <m/>
    <n v="747"/>
    <n v="4"/>
    <s v="Unique"/>
    <x v="4"/>
    <x v="3"/>
  </r>
  <r>
    <n v="1017"/>
    <d v="2025-04-16T00:00:00"/>
    <s v="Wireless Mouse"/>
    <s v="Electronics"/>
    <s v="Hyderabad"/>
    <n v="3"/>
    <n v="2499"/>
    <s v="Pending"/>
    <m/>
    <n v="7497"/>
    <n v="4"/>
    <s v="Unique"/>
    <x v="3"/>
    <x v="2"/>
  </r>
  <r>
    <n v="1018"/>
    <d v="2025-01-09T00:00:00"/>
    <s v="Yoga Mat"/>
    <s v="Sports"/>
    <s v="Chennai"/>
    <n v="3"/>
    <n v="899"/>
    <s v="Cancelled"/>
    <m/>
    <n v="2697"/>
    <n v="1"/>
    <s v="Unique"/>
    <x v="6"/>
    <x v="1"/>
  </r>
  <r>
    <n v="1019"/>
    <d v="2025-03-05T00:00:00"/>
    <s v="Water Bottle"/>
    <s v="Sports"/>
    <s v="Kolkata"/>
    <n v="4"/>
    <n v="499"/>
    <s v="Pending"/>
    <m/>
    <n v="1996"/>
    <n v="3"/>
    <s v="Unique"/>
    <x v="1"/>
    <x v="2"/>
  </r>
  <r>
    <n v="1020"/>
    <d v="2025-01-18T00:00:00"/>
    <s v="Yoga Mat"/>
    <s v="Sports"/>
    <s v="Kolkata"/>
    <n v="5"/>
    <n v="1199"/>
    <s v="Cancelled"/>
    <m/>
    <n v="5995"/>
    <n v="1"/>
    <s v="Unique"/>
    <x v="1"/>
    <x v="1"/>
  </r>
  <r>
    <n v="1021"/>
    <d v="2025-03-16T00:00:00"/>
    <s v="Water Bottle"/>
    <s v="Sports"/>
    <s v="Mumbai"/>
    <n v="4"/>
    <n v="1499"/>
    <s v="Completed"/>
    <m/>
    <n v="5996"/>
    <n v="3"/>
    <s v="Unique"/>
    <x v="4"/>
    <x v="0"/>
  </r>
  <r>
    <n v="1022"/>
    <d v="2025-01-18T00:00:00"/>
    <s v="Study Table"/>
    <s v="Furniture"/>
    <s v="Pune"/>
    <n v="1"/>
    <n v="249"/>
    <s v="Completed"/>
    <m/>
    <n v="249"/>
    <n v="1"/>
    <s v="Unique"/>
    <x v="2"/>
    <x v="0"/>
  </r>
  <r>
    <n v="1023"/>
    <d v="2025-01-20T00:00:00"/>
    <s v="LED Desk Lamp"/>
    <s v="Home"/>
    <s v="Hyderabad"/>
    <n v="4"/>
    <n v="399"/>
    <s v="Pending"/>
    <m/>
    <n v="1596"/>
    <n v="1"/>
    <s v="Unique"/>
    <x v="3"/>
    <x v="2"/>
  </r>
  <r>
    <n v="1024"/>
    <d v="2025-02-18T00:00:00"/>
    <s v="Table Fan"/>
    <s v="Home"/>
    <s v="Pune"/>
    <n v="5"/>
    <n v="1199"/>
    <s v="Cancelled"/>
    <m/>
    <n v="5995"/>
    <n v="2"/>
    <s v="Unique"/>
    <x v="2"/>
    <x v="1"/>
  </r>
  <r>
    <n v="1025"/>
    <d v="2025-04-21T00:00:00"/>
    <s v="Wireless Mouse"/>
    <s v="Electronics"/>
    <s v="Kolkata"/>
    <n v="1"/>
    <n v="1199"/>
    <s v="Cancelled"/>
    <m/>
    <n v="1199"/>
    <n v="4"/>
    <s v="Unique"/>
    <x v="1"/>
    <x v="1"/>
  </r>
  <r>
    <n v="1026"/>
    <d v="2025-02-13T00:00:00"/>
    <s v="Bluetooth Speaker"/>
    <s v="Electronics"/>
    <s v="Bengaluru"/>
    <n v="-2"/>
    <n v="499"/>
    <s v="Pending"/>
    <m/>
    <n v="-998"/>
    <n v="2"/>
    <s v="Unique"/>
    <x v="5"/>
    <x v="2"/>
  </r>
  <r>
    <n v="1027"/>
    <d v="2025-01-01T00:00:00"/>
    <s v="Office Chair"/>
    <s v="Furniture"/>
    <s v="Chennai"/>
    <n v="2"/>
    <n v="399"/>
    <s v="Cancelled"/>
    <m/>
    <n v="798"/>
    <n v="1"/>
    <s v="Unique"/>
    <x v="6"/>
    <x v="1"/>
  </r>
  <r>
    <n v="1028"/>
    <d v="2025-02-08T00:00:00"/>
    <s v="Study Table"/>
    <s v="Furniture"/>
    <s v="Chennai"/>
    <n v="2"/>
    <n v="499"/>
    <s v="Pending"/>
    <m/>
    <n v="998"/>
    <n v="2"/>
    <s v="Unique"/>
    <x v="6"/>
    <x v="2"/>
  </r>
  <r>
    <n v="1029"/>
    <d v="2025-04-08T00:00:00"/>
    <s v="LED Desk Lamp"/>
    <s v="Home"/>
    <s v="Chennai"/>
    <n v="5"/>
    <n v="249"/>
    <s v="Cancelled"/>
    <m/>
    <n v="1245"/>
    <n v="4"/>
    <s v="Unique"/>
    <x v="6"/>
    <x v="1"/>
  </r>
  <r>
    <n v="1030"/>
    <d v="2025-02-11T00:00:00"/>
    <s v="Backpack"/>
    <s v="Accessories"/>
    <s v="Delhi"/>
    <n v="1"/>
    <n v="1499"/>
    <s v="Pending"/>
    <m/>
    <n v="1499"/>
    <n v="2"/>
    <s v="Unique"/>
    <x v="0"/>
    <x v="2"/>
  </r>
  <r>
    <n v="1031"/>
    <d v="2025-01-31T00:00:00"/>
    <s v="Wireless Mouse"/>
    <s v="Electronics"/>
    <s v="Mumbai"/>
    <n v="5"/>
    <n v="399"/>
    <s v="Completed"/>
    <m/>
    <n v="1995"/>
    <n v="1"/>
    <s v="Unique"/>
    <x v="4"/>
    <x v="0"/>
  </r>
  <r>
    <n v="1032"/>
    <d v="2025-04-04T00:00:00"/>
    <s v="Backpack"/>
    <s v="Accessories"/>
    <s v="Hyderabad"/>
    <n v="1"/>
    <n v="499"/>
    <s v="Completed"/>
    <m/>
    <n v="499"/>
    <n v="4"/>
    <s v="Unique"/>
    <x v="3"/>
    <x v="0"/>
  </r>
  <r>
    <n v="1033"/>
    <d v="2025-03-26T00:00:00"/>
    <s v="Backpack"/>
    <s v="Accessories"/>
    <s v="Chennai"/>
    <n v="2"/>
    <n v="1199"/>
    <s v="Cancelled"/>
    <m/>
    <n v="2398"/>
    <n v="3"/>
    <s v="Unique"/>
    <x v="6"/>
    <x v="1"/>
  </r>
  <r>
    <n v="1034"/>
    <d v="2025-04-22T00:00:00"/>
    <s v="Table Fan"/>
    <s v="Home"/>
    <s v="Pune"/>
    <n v="2"/>
    <n v="899"/>
    <s v="Cancelled"/>
    <m/>
    <n v="1798"/>
    <n v="4"/>
    <s v="Unique"/>
    <x v="2"/>
    <x v="1"/>
  </r>
  <r>
    <n v="1035"/>
    <d v="2025-02-09T00:00:00"/>
    <s v="Water Bottle"/>
    <s v="Sports"/>
    <s v="Kolkata"/>
    <n v="3"/>
    <n v="3499"/>
    <s v="Cancelled"/>
    <m/>
    <n v="10497"/>
    <n v="2"/>
    <s v="Unique"/>
    <x v="1"/>
    <x v="1"/>
  </r>
  <r>
    <n v="1036"/>
    <d v="2025-02-27T00:00:00"/>
    <s v="Bluetooth Speaker"/>
    <s v="Electronics"/>
    <s v="Bengaluru "/>
    <n v="2"/>
    <n v="399"/>
    <s v="Pending"/>
    <m/>
    <n v="798"/>
    <n v="2"/>
    <s v="Unique"/>
    <x v="5"/>
    <x v="2"/>
  </r>
  <r>
    <n v="1037"/>
    <d v="2025-01-03T00:00:00"/>
    <s v="Table Fan"/>
    <s v="Home"/>
    <s v="Chennai"/>
    <n v="2"/>
    <n v="899"/>
    <s v="Completed"/>
    <m/>
    <n v="1798"/>
    <n v="1"/>
    <s v="Unique"/>
    <x v="6"/>
    <x v="0"/>
  </r>
  <r>
    <n v="1038"/>
    <d v="2025-01-10T00:00:00"/>
    <s v="Wireless Mouse"/>
    <s v="Electronics"/>
    <s v="Mumbai"/>
    <n v="1"/>
    <n v="249"/>
    <s v="Pending"/>
    <m/>
    <n v="249"/>
    <n v="1"/>
    <s v="Unique"/>
    <x v="4"/>
    <x v="2"/>
  </r>
  <r>
    <n v="1039"/>
    <d v="2025-01-10T00:00:00"/>
    <s v="Study Table"/>
    <s v="Furniture"/>
    <s v="Mumbai"/>
    <n v="3"/>
    <n v="3499"/>
    <s v="Completed"/>
    <m/>
    <n v="10497"/>
    <n v="1"/>
    <s v="Unique"/>
    <x v="4"/>
    <x v="0"/>
  </r>
  <r>
    <n v="1040"/>
    <d v="2025-03-11T00:00:00"/>
    <s v="LED Desk Lamp"/>
    <s v="Home"/>
    <s v="Kolkata"/>
    <n v="5"/>
    <n v="3499"/>
    <s v="Completed"/>
    <m/>
    <n v="17495"/>
    <n v="3"/>
    <s v="Unique"/>
    <x v="1"/>
    <x v="0"/>
  </r>
  <r>
    <n v="1041"/>
    <d v="2025-04-11T00:00:00"/>
    <m/>
    <s v="Accessories"/>
    <s v="Hyderabad"/>
    <n v="4"/>
    <n v="899"/>
    <s v="Completed"/>
    <m/>
    <n v="3596"/>
    <n v="4"/>
    <s v="Unique"/>
    <x v="3"/>
    <x v="0"/>
  </r>
  <r>
    <n v="1042"/>
    <d v="2025-01-13T00:00:00"/>
    <s v="Water Bottle"/>
    <s v="Sports"/>
    <s v="Bengaluru"/>
    <n v="4"/>
    <n v="2499"/>
    <s v="Pending"/>
    <m/>
    <n v="9996"/>
    <n v="1"/>
    <s v="Unique"/>
    <x v="5"/>
    <x v="2"/>
  </r>
  <r>
    <n v="1043"/>
    <d v="2025-04-21T00:00:00"/>
    <s v="Wireless Mouse"/>
    <s v="Electronics"/>
    <s v="Kolkata"/>
    <n v="1"/>
    <n v="249"/>
    <s v="Pending"/>
    <m/>
    <n v="249"/>
    <n v="4"/>
    <s v="Unique"/>
    <x v="1"/>
    <x v="2"/>
  </r>
  <r>
    <n v="1044"/>
    <d v="2025-04-04T00:00:00"/>
    <s v="Notebook Set"/>
    <s v="Stationery"/>
    <s v="Hyderabad"/>
    <n v="1"/>
    <n v="899"/>
    <s v="Completed"/>
    <m/>
    <n v="899"/>
    <n v="4"/>
    <s v="Unique"/>
    <x v="3"/>
    <x v="0"/>
  </r>
  <r>
    <n v="1045"/>
    <d v="2025-01-25T00:00:00"/>
    <s v="Study Table"/>
    <s v="Furniture"/>
    <s v="Pune"/>
    <n v="2"/>
    <n v="2499"/>
    <s v="Completed"/>
    <m/>
    <n v="4998"/>
    <n v="1"/>
    <s v="Unique"/>
    <x v="2"/>
    <x v="0"/>
  </r>
  <r>
    <n v="1046"/>
    <d v="2025-02-05T00:00:00"/>
    <s v="Backpack"/>
    <s v="Accessories"/>
    <s v="Mumbai"/>
    <n v="1"/>
    <n v="3499"/>
    <s v="CANCELLED "/>
    <m/>
    <n v="3499"/>
    <n v="2"/>
    <s v="Unique"/>
    <x v="4"/>
    <x v="1"/>
  </r>
  <r>
    <n v="1047"/>
    <d v="2025-01-13T00:00:00"/>
    <s v="Wireless Mouse"/>
    <s v="Electronics"/>
    <s v="Kolkata"/>
    <n v="5"/>
    <n v="249"/>
    <s v="Completed"/>
    <m/>
    <n v="1245"/>
    <n v="1"/>
    <s v="Unique"/>
    <x v="1"/>
    <x v="0"/>
  </r>
  <r>
    <n v="1048"/>
    <d v="2025-04-29T00:00:00"/>
    <s v="Yoga Mat"/>
    <s v="Sports"/>
    <s v="Mumbai"/>
    <n v="4"/>
    <n v="3499"/>
    <s v="Pending"/>
    <m/>
    <n v="13996"/>
    <n v="4"/>
    <s v="Unique"/>
    <x v="4"/>
    <x v="2"/>
  </r>
  <r>
    <n v="1049"/>
    <d v="2025-01-28T00:00:00"/>
    <s v="Water Bottle"/>
    <s v="Sports"/>
    <s v="Delhi"/>
    <n v="2"/>
    <n v="2499"/>
    <s v="Completed"/>
    <m/>
    <n v="4998"/>
    <n v="1"/>
    <s v="Unique"/>
    <x v="0"/>
    <x v="0"/>
  </r>
  <r>
    <n v="1050"/>
    <d v="2025-02-19T00:00:00"/>
    <s v="Office Chair"/>
    <s v="Furniture"/>
    <s v="Hyderabad"/>
    <n v="4"/>
    <n v="1199"/>
    <s v="Pending"/>
    <m/>
    <n v="4796"/>
    <n v="2"/>
    <s v="Unique"/>
    <x v="3"/>
    <x v="2"/>
  </r>
  <r>
    <n v="1051"/>
    <d v="2025-03-31T00:00:00"/>
    <s v="Study Table"/>
    <s v="Furniture"/>
    <s v="Kolkata"/>
    <n v="4"/>
    <n v="499"/>
    <s v="Completed"/>
    <m/>
    <n v="1996"/>
    <n v="3"/>
    <s v="Unique"/>
    <x v="1"/>
    <x v="0"/>
  </r>
  <r>
    <n v="1052"/>
    <d v="2025-02-07T00:00:00"/>
    <s v="Yoga Mat"/>
    <s v="Sports"/>
    <s v="Delhi"/>
    <n v="5"/>
    <n v="249"/>
    <s v="Cancelled"/>
    <m/>
    <n v="1245"/>
    <n v="2"/>
    <s v="Unique"/>
    <x v="0"/>
    <x v="1"/>
  </r>
  <r>
    <n v="1053"/>
    <d v="2025-02-10T00:00:00"/>
    <s v="Wireless Mouse"/>
    <s v="Electronics"/>
    <s v="Delhi"/>
    <n v="5"/>
    <n v="3499"/>
    <s v="Cancelled"/>
    <m/>
    <n v="17495"/>
    <n v="2"/>
    <s v="Unique"/>
    <x v="0"/>
    <x v="1"/>
  </r>
  <r>
    <n v="1054"/>
    <d v="2025-04-28T00:00:00"/>
    <s v="Study Table"/>
    <s v="Furniture"/>
    <s v="Mumbai"/>
    <n v="1"/>
    <n v="399"/>
    <s v="Completed"/>
    <m/>
    <n v="399"/>
    <n v="4"/>
    <s v="Unique"/>
    <x v="4"/>
    <x v="0"/>
  </r>
  <r>
    <n v="1055"/>
    <d v="2025-01-09T00:00:00"/>
    <s v="Table Fan"/>
    <s v="Home"/>
    <s v="Delhi"/>
    <n v="2"/>
    <n v="2499"/>
    <s v="Completed"/>
    <m/>
    <n v="4998"/>
    <n v="1"/>
    <s v="Unique"/>
    <x v="0"/>
    <x v="0"/>
  </r>
  <r>
    <n v="1056"/>
    <d v="2025-05-01T00:00:00"/>
    <s v="Table Fan"/>
    <s v="Home"/>
    <s v="Mumbai"/>
    <n v="5"/>
    <n v="249"/>
    <s v="Cancelled"/>
    <m/>
    <n v="1245"/>
    <n v="5"/>
    <s v="Unique"/>
    <x v="4"/>
    <x v="1"/>
  </r>
  <r>
    <n v="1057"/>
    <d v="2025-01-11T00:00:00"/>
    <s v="Water Bottle"/>
    <s v="Sports"/>
    <s v="Kolkata"/>
    <n v="5"/>
    <n v="1499"/>
    <s v="Pending"/>
    <m/>
    <n v="7495"/>
    <n v="1"/>
    <s v="Unique"/>
    <x v="1"/>
    <x v="2"/>
  </r>
  <r>
    <n v="1058"/>
    <d v="2025-01-27T00:00:00"/>
    <s v="Notebook Set"/>
    <s v="Stationery"/>
    <s v="Mumbai"/>
    <n v="3"/>
    <n v="2499"/>
    <s v="Completed"/>
    <m/>
    <n v="7497"/>
    <n v="1"/>
    <s v="Unique"/>
    <x v="4"/>
    <x v="0"/>
  </r>
  <r>
    <n v="1059"/>
    <d v="2025-03-27T00:00:00"/>
    <s v="Office Chair"/>
    <s v="Furniture"/>
    <s v="Pune"/>
    <n v="3"/>
    <n v="399"/>
    <s v="Completed"/>
    <m/>
    <n v="1197"/>
    <n v="3"/>
    <s v="Unique"/>
    <x v="2"/>
    <x v="0"/>
  </r>
  <r>
    <n v="1060"/>
    <d v="2025-02-28T00:00:00"/>
    <s v="Table Fan"/>
    <s v="Home"/>
    <s v="Chennai"/>
    <n v="1"/>
    <n v="399"/>
    <s v="Cancelled"/>
    <m/>
    <n v="399"/>
    <n v="2"/>
    <s v="Unique"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DE3402-1452-4F8C-BD55-9EA70AED0616}" name="PivotTable5" cacheId="1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Q21:R25" firstHeaderRow="1" firstDataRow="1" firstDataCol="1"/>
  <pivotFields count="14">
    <pivotField dataField="1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h="1" x="3"/>
        <item x="1"/>
        <item x="0"/>
        <item x="2"/>
        <item t="default"/>
      </items>
    </pivotField>
  </pivotFields>
  <rowFields count="1">
    <field x="13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921A4C-4925-4A24-8421-6686794DD29A}" name="PivotTable3" cacheId="1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Q35:R43" firstHeaderRow="1" firstDataRow="1" firstDataCol="1"/>
  <pivotFields count="14">
    <pivotField dataField="1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8">
        <item x="5"/>
        <item x="6"/>
        <item x="0"/>
        <item x="3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2"/>
  </rowFields>
  <rowItems count="8">
    <i>
      <x v="5"/>
    </i>
    <i>
      <x v="4"/>
    </i>
    <i>
      <x v="2"/>
    </i>
    <i>
      <x v="3"/>
    </i>
    <i>
      <x v="1"/>
    </i>
    <i>
      <x v="6"/>
    </i>
    <i>
      <x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59B22F-463B-4A1E-8032-D6052CC34B7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46:R53" firstHeaderRow="1" firstDataRow="1" firstDataCol="1"/>
  <pivotFields count="10">
    <pivotField showAll="0"/>
    <pivotField numFmtId="165" showAll="0"/>
    <pivotField showAll="0"/>
    <pivotField axis="axisRow" showAll="0" sortType="descending">
      <items count="7">
        <item x="3"/>
        <item x="0"/>
        <item x="2"/>
        <item x="1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7">
    <i>
      <x v="4"/>
    </i>
    <i>
      <x v="1"/>
    </i>
    <i>
      <x v="3"/>
    </i>
    <i>
      <x v="2"/>
    </i>
    <i>
      <x v="5"/>
    </i>
    <i>
      <x/>
    </i>
    <i t="grand">
      <x/>
    </i>
  </rowItems>
  <colItems count="1">
    <i/>
  </colItems>
  <dataFields count="1">
    <dataField name="Sum of revenu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3"/>
  <sheetViews>
    <sheetView zoomScale="115" zoomScaleNormal="115" workbookViewId="0">
      <pane ySplit="1" topLeftCell="A2" activePane="bottomLeft" state="frozen"/>
      <selection pane="bottomLeft" activeCell="F11" sqref="F11"/>
    </sheetView>
  </sheetViews>
  <sheetFormatPr defaultRowHeight="14.4" x14ac:dyDescent="0.3"/>
  <cols>
    <col min="1" max="1" width="9.109375" bestFit="1" customWidth="1"/>
    <col min="2" max="2" width="13.109375" bestFit="1" customWidth="1"/>
    <col min="3" max="3" width="17.6640625" bestFit="1" customWidth="1"/>
    <col min="4" max="4" width="12.109375" bestFit="1" customWidth="1"/>
    <col min="5" max="5" width="10.77734375" bestFit="1" customWidth="1"/>
    <col min="6" max="6" width="9.21875" bestFit="1" customWidth="1"/>
    <col min="7" max="7" width="6" bestFit="1" customWidth="1"/>
    <col min="8" max="8" width="13.5546875" bestFit="1" customWidth="1"/>
    <col min="13" max="13" width="9.88671875" bestFit="1" customWidth="1"/>
    <col min="14" max="14" width="16.44140625" bestFit="1" customWidth="1"/>
    <col min="15" max="15" width="19.109375" bestFit="1" customWidth="1"/>
    <col min="16" max="16" width="11.5546875" bestFit="1" customWidth="1"/>
    <col min="17" max="17" width="12.5546875" bestFit="1" customWidth="1"/>
    <col min="18" max="18" width="16.109375" bestFit="1" customWidth="1"/>
    <col min="20" max="20" width="16.109375" bestFit="1" customWidth="1"/>
  </cols>
  <sheetData>
    <row r="1" spans="1:2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J1" s="8" t="s">
        <v>76</v>
      </c>
      <c r="K1" s="4" t="s">
        <v>61</v>
      </c>
      <c r="L1" s="4" t="s">
        <v>63</v>
      </c>
      <c r="M1" s="4" t="s">
        <v>64</v>
      </c>
      <c r="N1" s="4" t="s">
        <v>65</v>
      </c>
      <c r="O1" s="4" t="s">
        <v>66</v>
      </c>
      <c r="P1" s="8" t="s">
        <v>71</v>
      </c>
    </row>
    <row r="2" spans="1:20" x14ac:dyDescent="0.3">
      <c r="A2" s="1">
        <v>1001</v>
      </c>
      <c r="B2" s="2">
        <v>45739</v>
      </c>
      <c r="C2" s="1" t="s">
        <v>8</v>
      </c>
      <c r="D2" s="1" t="s">
        <v>9</v>
      </c>
      <c r="E2" s="1" t="s">
        <v>10</v>
      </c>
      <c r="F2" s="1">
        <v>3</v>
      </c>
      <c r="G2" s="1">
        <v>899</v>
      </c>
      <c r="H2" s="1" t="s">
        <v>11</v>
      </c>
      <c r="J2">
        <f>SUMIF(C2:C63,C2,K2:K63)</f>
        <v>10487</v>
      </c>
      <c r="K2">
        <f>F2*G2</f>
        <v>2697</v>
      </c>
      <c r="L2">
        <f>MONTH(B2)</f>
        <v>3</v>
      </c>
      <c r="M2" t="str">
        <f>IF(COUNTIF($A$2:$A$63,A2)&gt;1,"Duplicate","Unique")</f>
        <v>Unique</v>
      </c>
      <c r="N2" t="str">
        <f>PROPER(TRIM(E2))</f>
        <v>Delhi</v>
      </c>
      <c r="O2" t="str">
        <f>PROPER(TRIM(H2))</f>
        <v>Completed</v>
      </c>
      <c r="P2" t="str">
        <f>IF(OR(F2&lt;0,F2=""),"Check Data","")</f>
        <v/>
      </c>
    </row>
    <row r="3" spans="1:20" x14ac:dyDescent="0.3">
      <c r="A3" s="1">
        <v>1002</v>
      </c>
      <c r="B3" s="2">
        <v>45675</v>
      </c>
      <c r="C3" s="1" t="s">
        <v>8</v>
      </c>
      <c r="D3" s="1" t="s">
        <v>9</v>
      </c>
      <c r="E3" s="1" t="s">
        <v>12</v>
      </c>
      <c r="F3" s="1">
        <v>5</v>
      </c>
      <c r="G3" s="1">
        <v>399</v>
      </c>
      <c r="H3" s="1" t="s">
        <v>13</v>
      </c>
      <c r="J3">
        <f t="shared" ref="J3:J63" si="0">SUMIF(C3:C64,C3,K3:K64)</f>
        <v>7790</v>
      </c>
      <c r="K3">
        <f t="shared" ref="K3:K63" si="1">F3*G3</f>
        <v>1995</v>
      </c>
      <c r="L3">
        <f t="shared" ref="L3:L63" si="2">MONTH(B3)</f>
        <v>1</v>
      </c>
      <c r="M3" t="str">
        <f t="shared" ref="M3:M63" si="3">IF(COUNTIF($A$2:$A$63,A3)&gt;1,"Duplicate","Unique")</f>
        <v>Unique</v>
      </c>
      <c r="N3" t="str">
        <f t="shared" ref="N3:N63" si="4">PROPER(TRIM(E3))</f>
        <v>Kolkata</v>
      </c>
      <c r="O3" t="str">
        <f t="shared" ref="O3:O63" si="5">PROPER(TRIM(H3))</f>
        <v>Cancelled</v>
      </c>
      <c r="P3" t="str">
        <f t="shared" ref="P3:P63" si="6">IF(OR(F3&lt;0,F3=""),"Check Data","")</f>
        <v/>
      </c>
    </row>
    <row r="4" spans="1:20" x14ac:dyDescent="0.3">
      <c r="A4" s="1">
        <v>1003</v>
      </c>
      <c r="B4" s="2">
        <v>45712</v>
      </c>
      <c r="C4" s="1" t="s">
        <v>14</v>
      </c>
      <c r="D4" s="1" t="s">
        <v>9</v>
      </c>
      <c r="E4" s="1" t="s">
        <v>10</v>
      </c>
      <c r="F4" s="1">
        <v>1</v>
      </c>
      <c r="G4" s="1">
        <v>899</v>
      </c>
      <c r="H4" s="1" t="s">
        <v>11</v>
      </c>
      <c r="J4">
        <f t="shared" si="0"/>
        <v>35826</v>
      </c>
      <c r="K4">
        <f t="shared" si="1"/>
        <v>899</v>
      </c>
      <c r="L4">
        <f t="shared" si="2"/>
        <v>2</v>
      </c>
      <c r="M4" t="str">
        <f t="shared" si="3"/>
        <v>Unique</v>
      </c>
      <c r="N4" t="str">
        <f t="shared" si="4"/>
        <v>Delhi</v>
      </c>
      <c r="O4" t="str">
        <f t="shared" si="5"/>
        <v>Completed</v>
      </c>
      <c r="P4" t="str">
        <f t="shared" si="6"/>
        <v/>
      </c>
    </row>
    <row r="5" spans="1:20" x14ac:dyDescent="0.3">
      <c r="A5" s="1">
        <v>1004</v>
      </c>
      <c r="B5" s="2">
        <v>45722</v>
      </c>
      <c r="C5" s="1" t="s">
        <v>15</v>
      </c>
      <c r="D5" s="1" t="s">
        <v>16</v>
      </c>
      <c r="E5" s="1" t="s">
        <v>17</v>
      </c>
      <c r="F5" s="1">
        <v>5</v>
      </c>
      <c r="G5" s="1">
        <v>899</v>
      </c>
      <c r="H5" s="1" t="s">
        <v>13</v>
      </c>
      <c r="J5">
        <f t="shared" si="0"/>
        <v>20728</v>
      </c>
      <c r="K5">
        <f t="shared" si="1"/>
        <v>4495</v>
      </c>
      <c r="L5">
        <f t="shared" si="2"/>
        <v>3</v>
      </c>
      <c r="M5" t="str">
        <f t="shared" si="3"/>
        <v>Unique</v>
      </c>
      <c r="N5" t="str">
        <f t="shared" si="4"/>
        <v>Delhi</v>
      </c>
      <c r="O5" t="str">
        <f t="shared" si="5"/>
        <v>Cancelled</v>
      </c>
      <c r="P5" t="str">
        <f t="shared" si="6"/>
        <v/>
      </c>
    </row>
    <row r="6" spans="1:20" x14ac:dyDescent="0.3">
      <c r="A6" s="1">
        <v>1005</v>
      </c>
      <c r="B6" s="2">
        <v>45741</v>
      </c>
      <c r="C6" s="1" t="s">
        <v>18</v>
      </c>
      <c r="D6" s="1" t="s">
        <v>19</v>
      </c>
      <c r="E6" s="1" t="s">
        <v>20</v>
      </c>
      <c r="F6" s="1">
        <v>2</v>
      </c>
      <c r="G6" s="1">
        <v>3499</v>
      </c>
      <c r="H6" s="1" t="s">
        <v>13</v>
      </c>
      <c r="J6">
        <f t="shared" si="0"/>
        <v>26882</v>
      </c>
      <c r="K6">
        <f t="shared" si="1"/>
        <v>6998</v>
      </c>
      <c r="L6">
        <f t="shared" si="2"/>
        <v>3</v>
      </c>
      <c r="M6" t="str">
        <f t="shared" si="3"/>
        <v>Unique</v>
      </c>
      <c r="N6" t="str">
        <f t="shared" si="4"/>
        <v>Pune</v>
      </c>
      <c r="O6" t="str">
        <f t="shared" si="5"/>
        <v>Cancelled</v>
      </c>
      <c r="P6" t="str">
        <f t="shared" si="6"/>
        <v/>
      </c>
      <c r="R6" t="str" cm="1">
        <f t="array" ref="R6:R15">_xlfn.UNIQUE(C2:C41)</f>
        <v>Bluetooth Speaker</v>
      </c>
      <c r="S6">
        <f>SUMIF($C$2:$C$63, R6, $K$2:$K$63)</f>
        <v>10487</v>
      </c>
      <c r="T6" t="s">
        <v>26</v>
      </c>
    </row>
    <row r="7" spans="1:20" x14ac:dyDescent="0.3">
      <c r="A7" s="1">
        <v>1006</v>
      </c>
      <c r="B7" s="2">
        <v>45693</v>
      </c>
      <c r="C7" s="1" t="s">
        <v>14</v>
      </c>
      <c r="D7" s="1" t="s">
        <v>9</v>
      </c>
      <c r="E7" s="1" t="s">
        <v>21</v>
      </c>
      <c r="F7" s="1">
        <v>2</v>
      </c>
      <c r="G7" s="1">
        <v>2499</v>
      </c>
      <c r="H7" s="1" t="s">
        <v>22</v>
      </c>
      <c r="J7">
        <f t="shared" si="0"/>
        <v>34927</v>
      </c>
      <c r="K7">
        <f t="shared" si="1"/>
        <v>4998</v>
      </c>
      <c r="L7">
        <f t="shared" si="2"/>
        <v>2</v>
      </c>
      <c r="M7" t="str">
        <f t="shared" si="3"/>
        <v>Unique</v>
      </c>
      <c r="N7" t="str">
        <f t="shared" si="4"/>
        <v>Hyderabad</v>
      </c>
      <c r="O7" t="str">
        <f t="shared" si="5"/>
        <v>Pending</v>
      </c>
      <c r="P7" t="str">
        <f t="shared" si="6"/>
        <v/>
      </c>
      <c r="R7" t="str">
        <v>Wireless Mouse</v>
      </c>
      <c r="S7">
        <f>SUMIF($C$2:$C$63, R7, $K$2:$K$63)</f>
        <v>35826</v>
      </c>
      <c r="T7" t="s">
        <v>32</v>
      </c>
    </row>
    <row r="8" spans="1:20" x14ac:dyDescent="0.3">
      <c r="A8" s="1">
        <v>1007</v>
      </c>
      <c r="B8" s="2">
        <v>45693</v>
      </c>
      <c r="C8" s="1" t="s">
        <v>23</v>
      </c>
      <c r="D8" s="1" t="s">
        <v>16</v>
      </c>
      <c r="E8" s="1" t="s">
        <v>24</v>
      </c>
      <c r="F8" s="1">
        <v>3</v>
      </c>
      <c r="G8" s="1">
        <v>399</v>
      </c>
      <c r="H8" s="1" t="s">
        <v>11</v>
      </c>
      <c r="J8">
        <f t="shared" si="0"/>
        <v>21533</v>
      </c>
      <c r="K8">
        <f t="shared" si="1"/>
        <v>1197</v>
      </c>
      <c r="L8">
        <f t="shared" si="2"/>
        <v>2</v>
      </c>
      <c r="M8" t="str">
        <f t="shared" si="3"/>
        <v>Unique</v>
      </c>
      <c r="N8" t="str">
        <f t="shared" si="4"/>
        <v>Mumbai</v>
      </c>
      <c r="O8" t="str">
        <f t="shared" si="5"/>
        <v>Completed</v>
      </c>
      <c r="P8" t="str">
        <f t="shared" si="6"/>
        <v/>
      </c>
      <c r="R8" t="str">
        <v>Table Fan</v>
      </c>
      <c r="S8">
        <f>SUMIF($C$2:$C$63, R8, $K$2:$K$63)</f>
        <v>20728</v>
      </c>
      <c r="T8" t="s">
        <v>30</v>
      </c>
    </row>
    <row r="9" spans="1:20" x14ac:dyDescent="0.3">
      <c r="A9" s="1">
        <v>1008</v>
      </c>
      <c r="B9" s="2">
        <v>45706</v>
      </c>
      <c r="C9" s="1" t="s">
        <v>8</v>
      </c>
      <c r="D9" s="1" t="s">
        <v>9</v>
      </c>
      <c r="E9" s="1" t="s">
        <v>25</v>
      </c>
      <c r="F9" s="1">
        <v>3</v>
      </c>
      <c r="G9" s="1">
        <v>1199</v>
      </c>
      <c r="H9" s="1" t="s">
        <v>11</v>
      </c>
      <c r="J9">
        <f t="shared" si="0"/>
        <v>5795</v>
      </c>
      <c r="K9">
        <f t="shared" si="1"/>
        <v>3597</v>
      </c>
      <c r="L9">
        <f t="shared" si="2"/>
        <v>2</v>
      </c>
      <c r="M9" t="str">
        <f t="shared" si="3"/>
        <v>Unique</v>
      </c>
      <c r="N9" t="str">
        <f t="shared" si="4"/>
        <v>Bengaluru</v>
      </c>
      <c r="O9" t="str">
        <f t="shared" si="5"/>
        <v>Completed</v>
      </c>
      <c r="P9" t="str">
        <f t="shared" si="6"/>
        <v/>
      </c>
      <c r="R9" t="str">
        <v>Study Table</v>
      </c>
      <c r="S9">
        <f>SUMIF($C$2:$C$63, R9, $K$2:$K$63)</f>
        <v>26882</v>
      </c>
      <c r="T9" t="s">
        <v>18</v>
      </c>
    </row>
    <row r="10" spans="1:20" x14ac:dyDescent="0.3">
      <c r="A10" s="1">
        <v>1009</v>
      </c>
      <c r="B10" s="2">
        <v>45751</v>
      </c>
      <c r="C10" s="1" t="s">
        <v>26</v>
      </c>
      <c r="D10" s="1" t="s">
        <v>27</v>
      </c>
      <c r="E10" s="1" t="s">
        <v>28</v>
      </c>
      <c r="G10" s="1">
        <v>2499</v>
      </c>
      <c r="H10" s="1" t="s">
        <v>11</v>
      </c>
      <c r="J10">
        <f t="shared" si="0"/>
        <v>7895</v>
      </c>
      <c r="K10">
        <f t="shared" si="1"/>
        <v>0</v>
      </c>
      <c r="L10">
        <f t="shared" si="2"/>
        <v>4</v>
      </c>
      <c r="M10" t="str">
        <f t="shared" si="3"/>
        <v>Unique</v>
      </c>
      <c r="N10" t="str">
        <f t="shared" si="4"/>
        <v>Chennai</v>
      </c>
      <c r="O10" t="str">
        <f t="shared" si="5"/>
        <v>Completed</v>
      </c>
      <c r="P10" t="str">
        <f t="shared" si="6"/>
        <v>Check Data</v>
      </c>
      <c r="R10" t="str">
        <v>LED Desk Lamp</v>
      </c>
      <c r="S10">
        <f>SUMIF($C$2:$C$63, R10, $K$2:$K$63)</f>
        <v>21533</v>
      </c>
      <c r="T10" t="s">
        <v>23</v>
      </c>
    </row>
    <row r="11" spans="1:20" x14ac:dyDescent="0.3">
      <c r="A11" s="1">
        <v>1010</v>
      </c>
      <c r="B11" s="2">
        <v>45728</v>
      </c>
      <c r="C11" s="1" t="s">
        <v>29</v>
      </c>
      <c r="D11" s="1" t="s">
        <v>19</v>
      </c>
      <c r="E11" s="1" t="s">
        <v>21</v>
      </c>
      <c r="F11" s="1">
        <v>5</v>
      </c>
      <c r="G11" s="1">
        <v>1499</v>
      </c>
      <c r="H11" s="1" t="s">
        <v>13</v>
      </c>
      <c r="J11">
        <f t="shared" si="0"/>
        <v>14785</v>
      </c>
      <c r="K11">
        <f t="shared" si="1"/>
        <v>7495</v>
      </c>
      <c r="L11">
        <f t="shared" si="2"/>
        <v>3</v>
      </c>
      <c r="M11" t="str">
        <f t="shared" si="3"/>
        <v>Unique</v>
      </c>
      <c r="N11" t="str">
        <f t="shared" si="4"/>
        <v>Hyderabad</v>
      </c>
      <c r="O11" t="str">
        <f t="shared" si="5"/>
        <v>Cancelled</v>
      </c>
      <c r="P11" t="str">
        <f t="shared" si="6"/>
        <v/>
      </c>
      <c r="R11" t="str">
        <v>Backpack</v>
      </c>
      <c r="S11">
        <f>SUMIF($C$2:$C$63, R11, $K$2:$K$63)</f>
        <v>7895</v>
      </c>
      <c r="T11" t="s">
        <v>14</v>
      </c>
    </row>
    <row r="12" spans="1:20" x14ac:dyDescent="0.3">
      <c r="A12" s="1">
        <v>1011</v>
      </c>
      <c r="B12" s="2">
        <v>45682</v>
      </c>
      <c r="C12" s="1" t="s">
        <v>8</v>
      </c>
      <c r="D12" s="1" t="s">
        <v>9</v>
      </c>
      <c r="E12" s="1" t="s">
        <v>10</v>
      </c>
      <c r="F12" s="1">
        <v>2</v>
      </c>
      <c r="G12" s="1">
        <v>1199</v>
      </c>
      <c r="H12" s="1" t="s">
        <v>11</v>
      </c>
      <c r="J12">
        <f t="shared" si="0"/>
        <v>2198</v>
      </c>
      <c r="K12">
        <f t="shared" si="1"/>
        <v>2398</v>
      </c>
      <c r="L12">
        <f t="shared" si="2"/>
        <v>1</v>
      </c>
      <c r="M12" t="str">
        <f t="shared" si="3"/>
        <v>Unique</v>
      </c>
      <c r="N12" t="str">
        <f t="shared" si="4"/>
        <v>Delhi</v>
      </c>
      <c r="O12" t="str">
        <f t="shared" si="5"/>
        <v>Completed</v>
      </c>
      <c r="P12" t="str">
        <f t="shared" si="6"/>
        <v/>
      </c>
      <c r="R12" t="str">
        <v>Office Chair</v>
      </c>
      <c r="S12">
        <f>SUMIF($C$2:$C$63, R12, $K$2:$K$63)</f>
        <v>14785</v>
      </c>
      <c r="T12" t="s">
        <v>29</v>
      </c>
    </row>
    <row r="13" spans="1:20" x14ac:dyDescent="0.3">
      <c r="A13" s="1">
        <v>1012</v>
      </c>
      <c r="B13" s="2">
        <v>45767</v>
      </c>
      <c r="C13" s="1" t="s">
        <v>30</v>
      </c>
      <c r="D13" s="1" t="s">
        <v>31</v>
      </c>
      <c r="E13" s="1" t="s">
        <v>21</v>
      </c>
      <c r="F13" s="1">
        <v>1</v>
      </c>
      <c r="G13" s="1">
        <v>2499</v>
      </c>
      <c r="H13" s="1" t="s">
        <v>22</v>
      </c>
      <c r="J13">
        <f t="shared" si="0"/>
        <v>36428</v>
      </c>
      <c r="K13">
        <f t="shared" si="1"/>
        <v>2499</v>
      </c>
      <c r="L13">
        <f t="shared" si="2"/>
        <v>4</v>
      </c>
      <c r="M13" t="str">
        <f t="shared" si="3"/>
        <v>Unique</v>
      </c>
      <c r="N13" t="str">
        <f t="shared" si="4"/>
        <v>Hyderabad</v>
      </c>
      <c r="O13" t="str">
        <f t="shared" si="5"/>
        <v>Pending</v>
      </c>
      <c r="P13" t="str">
        <f t="shared" si="6"/>
        <v/>
      </c>
      <c r="R13" t="str">
        <v>Yoga Mat</v>
      </c>
      <c r="S13">
        <f>SUMIF($C$2:$C$63, R13, $K$2:$K$63)</f>
        <v>36428</v>
      </c>
      <c r="T13" t="s">
        <v>8</v>
      </c>
    </row>
    <row r="14" spans="1:20" x14ac:dyDescent="0.3">
      <c r="A14" s="1">
        <v>1013</v>
      </c>
      <c r="B14" s="2">
        <v>45716</v>
      </c>
      <c r="C14" s="1" t="s">
        <v>32</v>
      </c>
      <c r="D14" s="1" t="s">
        <v>33</v>
      </c>
      <c r="E14" s="1" t="s">
        <v>24</v>
      </c>
      <c r="F14" s="1">
        <v>3</v>
      </c>
      <c r="G14" s="1">
        <v>1499</v>
      </c>
      <c r="H14" s="1" t="s">
        <v>11</v>
      </c>
      <c r="J14">
        <f t="shared" si="0"/>
        <v>12893</v>
      </c>
      <c r="K14">
        <f t="shared" si="1"/>
        <v>4497</v>
      </c>
      <c r="L14">
        <f t="shared" si="2"/>
        <v>2</v>
      </c>
      <c r="M14" t="str">
        <f t="shared" si="3"/>
        <v>Unique</v>
      </c>
      <c r="N14" t="str">
        <f t="shared" si="4"/>
        <v>Mumbai</v>
      </c>
      <c r="O14" t="str">
        <f t="shared" si="5"/>
        <v>Completed</v>
      </c>
      <c r="P14" t="str">
        <f t="shared" si="6"/>
        <v/>
      </c>
      <c r="R14" t="str">
        <v>Notebook Set</v>
      </c>
      <c r="S14">
        <f>SUMIF($C$2:$C$63, R14, $K$2:$K$63)</f>
        <v>12893</v>
      </c>
      <c r="T14" t="s">
        <v>34</v>
      </c>
    </row>
    <row r="15" spans="1:20" x14ac:dyDescent="0.3">
      <c r="A15" s="1">
        <v>1014</v>
      </c>
      <c r="B15" s="2">
        <v>45743</v>
      </c>
      <c r="C15" s="1" t="s">
        <v>29</v>
      </c>
      <c r="D15" s="1" t="s">
        <v>19</v>
      </c>
      <c r="E15" s="1" t="s">
        <v>12</v>
      </c>
      <c r="F15" s="1">
        <v>1</v>
      </c>
      <c r="G15" s="1">
        <v>499</v>
      </c>
      <c r="H15" s="1" t="s">
        <v>13</v>
      </c>
      <c r="J15">
        <f t="shared" si="0"/>
        <v>7290</v>
      </c>
      <c r="K15">
        <f t="shared" si="1"/>
        <v>499</v>
      </c>
      <c r="L15">
        <f t="shared" si="2"/>
        <v>3</v>
      </c>
      <c r="M15" t="str">
        <f t="shared" si="3"/>
        <v>Unique</v>
      </c>
      <c r="N15" t="str">
        <f t="shared" si="4"/>
        <v>Kolkata</v>
      </c>
      <c r="O15" t="str">
        <f t="shared" si="5"/>
        <v>Cancelled</v>
      </c>
      <c r="P15" t="str">
        <f t="shared" si="6"/>
        <v/>
      </c>
      <c r="R15" t="str">
        <v>Water Bottle</v>
      </c>
      <c r="S15">
        <f>SUMIF($C$2:$C$63, R15, $K$2:$K$63)</f>
        <v>40978</v>
      </c>
      <c r="T15" t="s">
        <v>15</v>
      </c>
    </row>
    <row r="16" spans="1:20" x14ac:dyDescent="0.3">
      <c r="A16" s="1">
        <v>1015</v>
      </c>
      <c r="B16" s="2">
        <v>45751</v>
      </c>
      <c r="C16" s="1" t="s">
        <v>30</v>
      </c>
      <c r="D16" s="1" t="s">
        <v>31</v>
      </c>
      <c r="E16" s="1" t="s">
        <v>24</v>
      </c>
      <c r="F16" s="1">
        <v>4</v>
      </c>
      <c r="G16" s="1">
        <v>2499</v>
      </c>
      <c r="H16" s="1" t="s">
        <v>22</v>
      </c>
      <c r="J16">
        <f t="shared" si="0"/>
        <v>33929</v>
      </c>
      <c r="K16">
        <f t="shared" si="1"/>
        <v>9996</v>
      </c>
      <c r="L16">
        <f t="shared" si="2"/>
        <v>4</v>
      </c>
      <c r="M16" t="str">
        <f t="shared" si="3"/>
        <v>Unique</v>
      </c>
      <c r="N16" t="str">
        <f t="shared" si="4"/>
        <v>Mumbai</v>
      </c>
      <c r="O16" t="str">
        <f t="shared" si="5"/>
        <v>Pending</v>
      </c>
      <c r="P16" t="str">
        <f t="shared" si="6"/>
        <v/>
      </c>
    </row>
    <row r="17" spans="1:19" x14ac:dyDescent="0.3">
      <c r="A17" s="1">
        <v>1016</v>
      </c>
      <c r="B17" s="2">
        <v>45776</v>
      </c>
      <c r="C17" s="1" t="s">
        <v>18</v>
      </c>
      <c r="D17" s="1" t="s">
        <v>19</v>
      </c>
      <c r="E17" s="1" t="s">
        <v>24</v>
      </c>
      <c r="F17" s="1">
        <v>3</v>
      </c>
      <c r="G17" s="1">
        <v>249</v>
      </c>
      <c r="J17">
        <f t="shared" si="0"/>
        <v>19884</v>
      </c>
      <c r="K17">
        <f t="shared" si="1"/>
        <v>747</v>
      </c>
      <c r="L17">
        <f t="shared" si="2"/>
        <v>4</v>
      </c>
      <c r="M17" t="str">
        <f t="shared" si="3"/>
        <v>Unique</v>
      </c>
      <c r="N17" t="str">
        <f t="shared" si="4"/>
        <v>Mumbai</v>
      </c>
      <c r="O17" t="str">
        <f t="shared" si="5"/>
        <v/>
      </c>
      <c r="P17" t="str">
        <f t="shared" si="6"/>
        <v/>
      </c>
    </row>
    <row r="18" spans="1:19" x14ac:dyDescent="0.3">
      <c r="A18" s="1">
        <v>1017</v>
      </c>
      <c r="B18" s="2">
        <v>45763</v>
      </c>
      <c r="C18" s="1" t="s">
        <v>14</v>
      </c>
      <c r="D18" s="1" t="s">
        <v>9</v>
      </c>
      <c r="E18" s="1" t="s">
        <v>21</v>
      </c>
      <c r="F18" s="1">
        <v>3</v>
      </c>
      <c r="G18" s="1">
        <v>2499</v>
      </c>
      <c r="H18" s="1" t="s">
        <v>22</v>
      </c>
      <c r="J18">
        <f t="shared" si="0"/>
        <v>29929</v>
      </c>
      <c r="K18">
        <f t="shared" si="1"/>
        <v>7497</v>
      </c>
      <c r="L18">
        <f t="shared" si="2"/>
        <v>4</v>
      </c>
      <c r="M18" t="str">
        <f t="shared" si="3"/>
        <v>Unique</v>
      </c>
      <c r="N18" t="str">
        <f t="shared" si="4"/>
        <v>Hyderabad</v>
      </c>
      <c r="O18" t="str">
        <f t="shared" si="5"/>
        <v>Pending</v>
      </c>
      <c r="P18" t="str">
        <f t="shared" si="6"/>
        <v/>
      </c>
    </row>
    <row r="19" spans="1:19" x14ac:dyDescent="0.3">
      <c r="A19" s="1">
        <v>1018</v>
      </c>
      <c r="B19" s="2">
        <v>45666</v>
      </c>
      <c r="C19" s="1" t="s">
        <v>30</v>
      </c>
      <c r="D19" s="1" t="s">
        <v>31</v>
      </c>
      <c r="E19" s="1" t="s">
        <v>28</v>
      </c>
      <c r="F19" s="1">
        <v>3</v>
      </c>
      <c r="G19" s="1">
        <v>899</v>
      </c>
      <c r="H19" s="1" t="s">
        <v>13</v>
      </c>
      <c r="J19">
        <f t="shared" si="0"/>
        <v>23933</v>
      </c>
      <c r="K19">
        <f t="shared" si="1"/>
        <v>2697</v>
      </c>
      <c r="L19">
        <f t="shared" si="2"/>
        <v>1</v>
      </c>
      <c r="M19" t="str">
        <f t="shared" si="3"/>
        <v>Unique</v>
      </c>
      <c r="N19" t="str">
        <f t="shared" si="4"/>
        <v>Chennai</v>
      </c>
      <c r="O19" t="str">
        <f t="shared" si="5"/>
        <v>Cancelled</v>
      </c>
      <c r="P19" t="str">
        <f t="shared" si="6"/>
        <v/>
      </c>
    </row>
    <row r="20" spans="1:19" x14ac:dyDescent="0.3">
      <c r="A20" s="1">
        <v>1019</v>
      </c>
      <c r="B20" s="2">
        <v>45721</v>
      </c>
      <c r="C20" s="1" t="s">
        <v>34</v>
      </c>
      <c r="D20" s="1" t="s">
        <v>31</v>
      </c>
      <c r="E20" s="1" t="s">
        <v>12</v>
      </c>
      <c r="F20" s="1">
        <v>4</v>
      </c>
      <c r="G20" s="1">
        <v>499</v>
      </c>
      <c r="H20" s="1" t="s">
        <v>22</v>
      </c>
      <c r="J20">
        <f t="shared" si="0"/>
        <v>40978</v>
      </c>
      <c r="K20">
        <f t="shared" si="1"/>
        <v>1996</v>
      </c>
      <c r="L20">
        <f t="shared" si="2"/>
        <v>3</v>
      </c>
      <c r="M20" t="str">
        <f t="shared" si="3"/>
        <v>Unique</v>
      </c>
      <c r="N20" t="str">
        <f t="shared" si="4"/>
        <v>Kolkata</v>
      </c>
      <c r="O20" t="str">
        <f t="shared" si="5"/>
        <v>Pending</v>
      </c>
      <c r="P20" t="str">
        <f t="shared" si="6"/>
        <v/>
      </c>
    </row>
    <row r="21" spans="1:19" x14ac:dyDescent="0.3">
      <c r="A21" s="1">
        <v>1020</v>
      </c>
      <c r="B21" s="2">
        <v>45675</v>
      </c>
      <c r="C21" s="1" t="s">
        <v>30</v>
      </c>
      <c r="D21" s="1" t="s">
        <v>31</v>
      </c>
      <c r="E21" s="1" t="s">
        <v>12</v>
      </c>
      <c r="F21" s="1">
        <v>5</v>
      </c>
      <c r="G21" s="1">
        <v>1199</v>
      </c>
      <c r="H21" s="1" t="s">
        <v>13</v>
      </c>
      <c r="J21">
        <f t="shared" si="0"/>
        <v>21236</v>
      </c>
      <c r="K21">
        <f t="shared" si="1"/>
        <v>5995</v>
      </c>
      <c r="L21">
        <f t="shared" si="2"/>
        <v>1</v>
      </c>
      <c r="M21" t="str">
        <f t="shared" si="3"/>
        <v>Unique</v>
      </c>
      <c r="N21" t="str">
        <f t="shared" si="4"/>
        <v>Kolkata</v>
      </c>
      <c r="O21" t="str">
        <f t="shared" si="5"/>
        <v>Cancelled</v>
      </c>
      <c r="P21" t="str">
        <f t="shared" si="6"/>
        <v/>
      </c>
      <c r="Q21" s="5" t="s">
        <v>67</v>
      </c>
      <c r="R21" t="s">
        <v>70</v>
      </c>
    </row>
    <row r="22" spans="1:19" x14ac:dyDescent="0.3">
      <c r="A22" s="1">
        <v>1021</v>
      </c>
      <c r="B22" s="2">
        <v>45732</v>
      </c>
      <c r="C22" s="1" t="s">
        <v>34</v>
      </c>
      <c r="D22" s="1" t="s">
        <v>31</v>
      </c>
      <c r="E22" s="1" t="s">
        <v>35</v>
      </c>
      <c r="F22" s="1">
        <v>4</v>
      </c>
      <c r="G22" s="1">
        <v>1499</v>
      </c>
      <c r="H22" s="1" t="s">
        <v>11</v>
      </c>
      <c r="J22">
        <f t="shared" si="0"/>
        <v>38982</v>
      </c>
      <c r="K22">
        <f t="shared" si="1"/>
        <v>5996</v>
      </c>
      <c r="L22">
        <f t="shared" si="2"/>
        <v>3</v>
      </c>
      <c r="M22" t="str">
        <f t="shared" si="3"/>
        <v>Unique</v>
      </c>
      <c r="N22" t="str">
        <f t="shared" si="4"/>
        <v>Mumbai</v>
      </c>
      <c r="O22" t="str">
        <f t="shared" si="5"/>
        <v>Completed</v>
      </c>
      <c r="P22" t="str">
        <f t="shared" si="6"/>
        <v/>
      </c>
      <c r="Q22" s="6" t="s">
        <v>13</v>
      </c>
      <c r="R22" s="7">
        <v>19</v>
      </c>
    </row>
    <row r="23" spans="1:19" x14ac:dyDescent="0.3">
      <c r="A23" s="1">
        <v>1022</v>
      </c>
      <c r="B23" s="2">
        <v>45675</v>
      </c>
      <c r="C23" s="1" t="s">
        <v>18</v>
      </c>
      <c r="D23" s="1" t="s">
        <v>19</v>
      </c>
      <c r="E23" s="1" t="s">
        <v>20</v>
      </c>
      <c r="F23" s="1">
        <v>1</v>
      </c>
      <c r="G23" s="1">
        <v>249</v>
      </c>
      <c r="H23" s="1" t="s">
        <v>11</v>
      </c>
      <c r="J23">
        <f t="shared" si="0"/>
        <v>19137</v>
      </c>
      <c r="K23">
        <f t="shared" si="1"/>
        <v>249</v>
      </c>
      <c r="L23">
        <f t="shared" si="2"/>
        <v>1</v>
      </c>
      <c r="M23" t="str">
        <f t="shared" si="3"/>
        <v>Unique</v>
      </c>
      <c r="N23" t="str">
        <f t="shared" si="4"/>
        <v>Pune</v>
      </c>
      <c r="O23" t="str">
        <f t="shared" si="5"/>
        <v>Completed</v>
      </c>
      <c r="P23" t="str">
        <f t="shared" si="6"/>
        <v/>
      </c>
      <c r="Q23" s="6" t="s">
        <v>11</v>
      </c>
      <c r="R23" s="7">
        <v>24</v>
      </c>
    </row>
    <row r="24" spans="1:19" x14ac:dyDescent="0.3">
      <c r="A24" s="1">
        <v>1023</v>
      </c>
      <c r="B24" s="2">
        <v>45677</v>
      </c>
      <c r="C24" s="1" t="s">
        <v>23</v>
      </c>
      <c r="D24" s="1" t="s">
        <v>16</v>
      </c>
      <c r="E24" s="1" t="s">
        <v>21</v>
      </c>
      <c r="F24" s="1">
        <v>4</v>
      </c>
      <c r="G24" s="1">
        <v>399</v>
      </c>
      <c r="H24" s="1" t="s">
        <v>22</v>
      </c>
      <c r="J24">
        <f t="shared" si="0"/>
        <v>20336</v>
      </c>
      <c r="K24">
        <f t="shared" si="1"/>
        <v>1596</v>
      </c>
      <c r="L24">
        <f t="shared" si="2"/>
        <v>1</v>
      </c>
      <c r="M24" t="str">
        <f t="shared" si="3"/>
        <v>Unique</v>
      </c>
      <c r="N24" t="str">
        <f t="shared" si="4"/>
        <v>Hyderabad</v>
      </c>
      <c r="O24" t="str">
        <f t="shared" si="5"/>
        <v>Pending</v>
      </c>
      <c r="P24" t="str">
        <f t="shared" si="6"/>
        <v/>
      </c>
      <c r="Q24" s="6" t="s">
        <v>22</v>
      </c>
      <c r="R24" s="7">
        <v>16</v>
      </c>
    </row>
    <row r="25" spans="1:19" x14ac:dyDescent="0.3">
      <c r="A25" s="1">
        <v>1024</v>
      </c>
      <c r="B25" s="2">
        <v>45706</v>
      </c>
      <c r="C25" s="1" t="s">
        <v>15</v>
      </c>
      <c r="D25" s="1" t="s">
        <v>16</v>
      </c>
      <c r="E25" s="1" t="s">
        <v>20</v>
      </c>
      <c r="F25" s="1">
        <v>5</v>
      </c>
      <c r="G25" s="1">
        <v>1199</v>
      </c>
      <c r="H25" s="1" t="s">
        <v>13</v>
      </c>
      <c r="J25">
        <f t="shared" si="0"/>
        <v>16233</v>
      </c>
      <c r="K25">
        <f t="shared" si="1"/>
        <v>5995</v>
      </c>
      <c r="L25">
        <f t="shared" si="2"/>
        <v>2</v>
      </c>
      <c r="M25" t="str">
        <f t="shared" si="3"/>
        <v>Unique</v>
      </c>
      <c r="N25" t="str">
        <f t="shared" si="4"/>
        <v>Pune</v>
      </c>
      <c r="O25" t="str">
        <f t="shared" si="5"/>
        <v>Cancelled</v>
      </c>
      <c r="P25" t="str">
        <f t="shared" si="6"/>
        <v/>
      </c>
      <c r="Q25" s="6" t="s">
        <v>68</v>
      </c>
      <c r="R25" s="7">
        <v>59</v>
      </c>
    </row>
    <row r="26" spans="1:19" x14ac:dyDescent="0.3">
      <c r="A26" s="1">
        <v>1025</v>
      </c>
      <c r="B26" s="2">
        <v>45768</v>
      </c>
      <c r="C26" s="1" t="s">
        <v>14</v>
      </c>
      <c r="D26" s="1" t="s">
        <v>9</v>
      </c>
      <c r="E26" s="1" t="s">
        <v>12</v>
      </c>
      <c r="F26" s="1">
        <v>1</v>
      </c>
      <c r="G26" s="1">
        <v>1199</v>
      </c>
      <c r="H26" s="1" t="s">
        <v>13</v>
      </c>
      <c r="J26">
        <f t="shared" si="0"/>
        <v>22432</v>
      </c>
      <c r="K26">
        <f t="shared" si="1"/>
        <v>1199</v>
      </c>
      <c r="L26">
        <f t="shared" si="2"/>
        <v>4</v>
      </c>
      <c r="M26" t="str">
        <f t="shared" si="3"/>
        <v>Unique</v>
      </c>
      <c r="N26" t="str">
        <f t="shared" si="4"/>
        <v>Kolkata</v>
      </c>
      <c r="O26" t="str">
        <f t="shared" si="5"/>
        <v>Cancelled</v>
      </c>
      <c r="P26" t="str">
        <f t="shared" si="6"/>
        <v/>
      </c>
    </row>
    <row r="27" spans="1:19" x14ac:dyDescent="0.3">
      <c r="A27" s="1">
        <v>1026</v>
      </c>
      <c r="B27" s="2">
        <v>45701</v>
      </c>
      <c r="C27" s="1" t="s">
        <v>8</v>
      </c>
      <c r="D27" s="1" t="s">
        <v>9</v>
      </c>
      <c r="E27" s="1" t="s">
        <v>25</v>
      </c>
      <c r="F27" s="1">
        <v>-2</v>
      </c>
      <c r="G27" s="1">
        <v>499</v>
      </c>
      <c r="H27" s="1" t="s">
        <v>22</v>
      </c>
      <c r="J27">
        <f t="shared" si="0"/>
        <v>-200</v>
      </c>
      <c r="K27">
        <f t="shared" si="1"/>
        <v>-998</v>
      </c>
      <c r="L27">
        <f t="shared" si="2"/>
        <v>2</v>
      </c>
      <c r="M27" t="str">
        <f t="shared" si="3"/>
        <v>Unique</v>
      </c>
      <c r="N27" t="str">
        <f t="shared" si="4"/>
        <v>Bengaluru</v>
      </c>
      <c r="O27" t="str">
        <f t="shared" si="5"/>
        <v>Pending</v>
      </c>
      <c r="P27" t="str">
        <f t="shared" si="6"/>
        <v>Check Data</v>
      </c>
    </row>
    <row r="28" spans="1:19" x14ac:dyDescent="0.3">
      <c r="A28" s="1">
        <v>1027</v>
      </c>
      <c r="B28" s="2">
        <v>45658</v>
      </c>
      <c r="C28" s="1" t="s">
        <v>29</v>
      </c>
      <c r="D28" s="1" t="s">
        <v>19</v>
      </c>
      <c r="E28" s="1" t="s">
        <v>28</v>
      </c>
      <c r="F28" s="1">
        <v>2</v>
      </c>
      <c r="G28" s="1">
        <v>399</v>
      </c>
      <c r="H28" s="1" t="s">
        <v>13</v>
      </c>
      <c r="J28">
        <f t="shared" si="0"/>
        <v>6791</v>
      </c>
      <c r="K28">
        <f t="shared" si="1"/>
        <v>798</v>
      </c>
      <c r="L28">
        <f t="shared" si="2"/>
        <v>1</v>
      </c>
      <c r="M28" t="str">
        <f t="shared" si="3"/>
        <v>Unique</v>
      </c>
      <c r="N28" t="str">
        <f t="shared" si="4"/>
        <v>Chennai</v>
      </c>
      <c r="O28" t="str">
        <f t="shared" si="5"/>
        <v>Cancelled</v>
      </c>
      <c r="P28" t="str">
        <f t="shared" si="6"/>
        <v/>
      </c>
      <c r="S28" s="9"/>
    </row>
    <row r="29" spans="1:19" x14ac:dyDescent="0.3">
      <c r="A29" s="1">
        <v>1028</v>
      </c>
      <c r="B29" s="2">
        <v>45696</v>
      </c>
      <c r="C29" s="1" t="s">
        <v>18</v>
      </c>
      <c r="D29" s="1" t="s">
        <v>19</v>
      </c>
      <c r="E29" s="1" t="s">
        <v>28</v>
      </c>
      <c r="F29" s="1">
        <v>2</v>
      </c>
      <c r="G29" s="1">
        <v>499</v>
      </c>
      <c r="H29" s="1" t="s">
        <v>22</v>
      </c>
      <c r="J29">
        <f t="shared" si="0"/>
        <v>18888</v>
      </c>
      <c r="K29">
        <f t="shared" si="1"/>
        <v>998</v>
      </c>
      <c r="L29">
        <f t="shared" si="2"/>
        <v>2</v>
      </c>
      <c r="M29" t="str">
        <f t="shared" si="3"/>
        <v>Unique</v>
      </c>
      <c r="N29" t="str">
        <f t="shared" si="4"/>
        <v>Chennai</v>
      </c>
      <c r="O29" t="str">
        <f t="shared" si="5"/>
        <v>Pending</v>
      </c>
      <c r="P29" t="str">
        <f t="shared" si="6"/>
        <v/>
      </c>
    </row>
    <row r="30" spans="1:19" x14ac:dyDescent="0.3">
      <c r="A30" s="1">
        <v>1029</v>
      </c>
      <c r="B30" s="2">
        <v>45755</v>
      </c>
      <c r="C30" s="1" t="s">
        <v>23</v>
      </c>
      <c r="D30" s="1" t="s">
        <v>16</v>
      </c>
      <c r="E30" s="1" t="s">
        <v>28</v>
      </c>
      <c r="F30" s="1">
        <v>5</v>
      </c>
      <c r="G30" s="1">
        <v>249</v>
      </c>
      <c r="H30" s="1" t="s">
        <v>13</v>
      </c>
      <c r="J30">
        <f t="shared" si="0"/>
        <v>18740</v>
      </c>
      <c r="K30">
        <f t="shared" si="1"/>
        <v>1245</v>
      </c>
      <c r="L30">
        <f t="shared" si="2"/>
        <v>4</v>
      </c>
      <c r="M30" t="str">
        <f t="shared" si="3"/>
        <v>Unique</v>
      </c>
      <c r="N30" t="str">
        <f t="shared" si="4"/>
        <v>Chennai</v>
      </c>
      <c r="O30" t="str">
        <f t="shared" si="5"/>
        <v>Cancelled</v>
      </c>
      <c r="P30" t="str">
        <f t="shared" si="6"/>
        <v/>
      </c>
    </row>
    <row r="31" spans="1:19" x14ac:dyDescent="0.3">
      <c r="A31" s="1">
        <v>1030</v>
      </c>
      <c r="B31" s="2">
        <v>45699</v>
      </c>
      <c r="C31" s="1" t="s">
        <v>26</v>
      </c>
      <c r="D31" s="1" t="s">
        <v>27</v>
      </c>
      <c r="E31" s="1" t="s">
        <v>10</v>
      </c>
      <c r="F31" s="1">
        <v>1</v>
      </c>
      <c r="G31" s="1">
        <v>1499</v>
      </c>
      <c r="H31" s="1" t="s">
        <v>22</v>
      </c>
      <c r="J31">
        <f t="shared" si="0"/>
        <v>7895</v>
      </c>
      <c r="K31">
        <f t="shared" si="1"/>
        <v>1499</v>
      </c>
      <c r="L31">
        <f t="shared" si="2"/>
        <v>2</v>
      </c>
      <c r="M31" t="str">
        <f t="shared" si="3"/>
        <v>Unique</v>
      </c>
      <c r="N31" t="str">
        <f t="shared" si="4"/>
        <v>Delhi</v>
      </c>
      <c r="O31" t="str">
        <f t="shared" si="5"/>
        <v>Pending</v>
      </c>
      <c r="P31" t="str">
        <f t="shared" si="6"/>
        <v/>
      </c>
      <c r="R31" s="10">
        <f>COUNTIF(O2:O63,"Cancelled")/COUNTA(O2:O63)</f>
        <v>0.30645161290322581</v>
      </c>
    </row>
    <row r="32" spans="1:19" x14ac:dyDescent="0.3">
      <c r="A32" s="1">
        <v>1031</v>
      </c>
      <c r="B32" s="2">
        <v>45688</v>
      </c>
      <c r="C32" s="1" t="s">
        <v>14</v>
      </c>
      <c r="D32" s="1" t="s">
        <v>9</v>
      </c>
      <c r="E32" s="1" t="s">
        <v>24</v>
      </c>
      <c r="F32" s="1">
        <v>5</v>
      </c>
      <c r="G32" s="1">
        <v>399</v>
      </c>
      <c r="H32" s="1" t="s">
        <v>36</v>
      </c>
      <c r="J32">
        <f t="shared" si="0"/>
        <v>21233</v>
      </c>
      <c r="K32">
        <f t="shared" si="1"/>
        <v>1995</v>
      </c>
      <c r="L32">
        <f t="shared" si="2"/>
        <v>1</v>
      </c>
      <c r="M32" t="str">
        <f t="shared" si="3"/>
        <v>Unique</v>
      </c>
      <c r="N32" t="str">
        <f t="shared" si="4"/>
        <v>Mumbai</v>
      </c>
      <c r="O32" t="str">
        <f t="shared" si="5"/>
        <v>Completed</v>
      </c>
      <c r="P32" t="str">
        <f t="shared" si="6"/>
        <v/>
      </c>
    </row>
    <row r="33" spans="1:18" x14ac:dyDescent="0.3">
      <c r="A33" s="1">
        <v>1032</v>
      </c>
      <c r="B33" s="2">
        <v>45751</v>
      </c>
      <c r="C33" s="1" t="s">
        <v>26</v>
      </c>
      <c r="D33" s="1" t="s">
        <v>27</v>
      </c>
      <c r="E33" s="1" t="s">
        <v>21</v>
      </c>
      <c r="F33" s="1">
        <v>1</v>
      </c>
      <c r="G33" s="1">
        <v>499</v>
      </c>
      <c r="H33" s="1" t="s">
        <v>11</v>
      </c>
      <c r="J33">
        <f t="shared" si="0"/>
        <v>6396</v>
      </c>
      <c r="K33">
        <f t="shared" si="1"/>
        <v>499</v>
      </c>
      <c r="L33">
        <f t="shared" si="2"/>
        <v>4</v>
      </c>
      <c r="M33" t="str">
        <f t="shared" si="3"/>
        <v>Unique</v>
      </c>
      <c r="N33" t="str">
        <f t="shared" si="4"/>
        <v>Hyderabad</v>
      </c>
      <c r="O33" t="str">
        <f t="shared" si="5"/>
        <v>Completed</v>
      </c>
      <c r="P33" t="str">
        <f t="shared" si="6"/>
        <v/>
      </c>
    </row>
    <row r="34" spans="1:18" x14ac:dyDescent="0.3">
      <c r="A34" s="1">
        <v>1033</v>
      </c>
      <c r="B34" s="2">
        <v>45742</v>
      </c>
      <c r="C34" s="1" t="s">
        <v>26</v>
      </c>
      <c r="D34" s="1" t="s">
        <v>27</v>
      </c>
      <c r="E34" s="1" t="s">
        <v>28</v>
      </c>
      <c r="F34" s="1">
        <v>2</v>
      </c>
      <c r="G34" s="1">
        <v>1199</v>
      </c>
      <c r="H34" s="1" t="s">
        <v>13</v>
      </c>
      <c r="J34">
        <f t="shared" si="0"/>
        <v>5897</v>
      </c>
      <c r="K34">
        <f t="shared" si="1"/>
        <v>2398</v>
      </c>
      <c r="L34">
        <f t="shared" si="2"/>
        <v>3</v>
      </c>
      <c r="M34" t="str">
        <f t="shared" si="3"/>
        <v>Unique</v>
      </c>
      <c r="N34" t="str">
        <f t="shared" si="4"/>
        <v>Chennai</v>
      </c>
      <c r="O34" t="str">
        <f t="shared" si="5"/>
        <v>Cancelled</v>
      </c>
      <c r="P34" t="str">
        <f t="shared" si="6"/>
        <v/>
      </c>
    </row>
    <row r="35" spans="1:18" x14ac:dyDescent="0.3">
      <c r="A35" s="1">
        <v>1034</v>
      </c>
      <c r="B35" s="2">
        <v>45769</v>
      </c>
      <c r="C35" s="1" t="s">
        <v>15</v>
      </c>
      <c r="D35" s="1" t="s">
        <v>16</v>
      </c>
      <c r="E35" s="1" t="s">
        <v>20</v>
      </c>
      <c r="F35" s="1">
        <v>2</v>
      </c>
      <c r="G35" s="1">
        <v>899</v>
      </c>
      <c r="H35" s="1" t="s">
        <v>13</v>
      </c>
      <c r="J35">
        <f t="shared" si="0"/>
        <v>10238</v>
      </c>
      <c r="K35">
        <f t="shared" si="1"/>
        <v>1798</v>
      </c>
      <c r="L35">
        <f t="shared" si="2"/>
        <v>4</v>
      </c>
      <c r="M35" t="str">
        <f t="shared" si="3"/>
        <v>Unique</v>
      </c>
      <c r="N35" t="str">
        <f t="shared" si="4"/>
        <v>Pune</v>
      </c>
      <c r="O35" t="str">
        <f t="shared" si="5"/>
        <v>Cancelled</v>
      </c>
      <c r="P35" t="str">
        <f t="shared" si="6"/>
        <v/>
      </c>
      <c r="Q35" s="5" t="s">
        <v>67</v>
      </c>
      <c r="R35" t="s">
        <v>70</v>
      </c>
    </row>
    <row r="36" spans="1:18" x14ac:dyDescent="0.3">
      <c r="A36" s="1">
        <v>1035</v>
      </c>
      <c r="B36" s="2">
        <v>45697</v>
      </c>
      <c r="C36" s="1" t="s">
        <v>34</v>
      </c>
      <c r="D36" s="1" t="s">
        <v>31</v>
      </c>
      <c r="E36" s="1" t="s">
        <v>12</v>
      </c>
      <c r="F36" s="1">
        <v>3</v>
      </c>
      <c r="G36" s="1">
        <v>3499</v>
      </c>
      <c r="H36" s="1" t="s">
        <v>13</v>
      </c>
      <c r="J36">
        <f t="shared" si="0"/>
        <v>32986</v>
      </c>
      <c r="K36">
        <f t="shared" si="1"/>
        <v>10497</v>
      </c>
      <c r="L36">
        <f t="shared" si="2"/>
        <v>2</v>
      </c>
      <c r="M36" t="str">
        <f t="shared" si="3"/>
        <v>Unique</v>
      </c>
      <c r="N36" t="str">
        <f t="shared" si="4"/>
        <v>Kolkata</v>
      </c>
      <c r="O36" t="str">
        <f t="shared" si="5"/>
        <v>Cancelled</v>
      </c>
      <c r="P36" t="str">
        <f t="shared" si="6"/>
        <v/>
      </c>
      <c r="Q36" s="6" t="s">
        <v>24</v>
      </c>
      <c r="R36" s="7">
        <v>13</v>
      </c>
    </row>
    <row r="37" spans="1:18" x14ac:dyDescent="0.3">
      <c r="A37" s="1">
        <v>1036</v>
      </c>
      <c r="B37" s="2">
        <v>45715</v>
      </c>
      <c r="C37" s="1" t="s">
        <v>8</v>
      </c>
      <c r="D37" s="1" t="s">
        <v>9</v>
      </c>
      <c r="E37" s="1" t="s">
        <v>37</v>
      </c>
      <c r="F37" s="1">
        <v>2</v>
      </c>
      <c r="G37" s="1">
        <v>399</v>
      </c>
      <c r="H37" s="1" t="s">
        <v>22</v>
      </c>
      <c r="J37">
        <f t="shared" si="0"/>
        <v>798</v>
      </c>
      <c r="K37">
        <f t="shared" si="1"/>
        <v>798</v>
      </c>
      <c r="L37">
        <f t="shared" si="2"/>
        <v>2</v>
      </c>
      <c r="M37" t="str">
        <f t="shared" si="3"/>
        <v>Unique</v>
      </c>
      <c r="N37" t="str">
        <f t="shared" si="4"/>
        <v>Bengaluru</v>
      </c>
      <c r="O37" t="str">
        <f t="shared" si="5"/>
        <v>Pending</v>
      </c>
      <c r="P37" t="str">
        <f t="shared" si="6"/>
        <v/>
      </c>
      <c r="Q37" s="6" t="s">
        <v>12</v>
      </c>
      <c r="R37" s="7">
        <v>11</v>
      </c>
    </row>
    <row r="38" spans="1:18" x14ac:dyDescent="0.3">
      <c r="A38" s="1">
        <v>1037</v>
      </c>
      <c r="B38" s="2">
        <v>45660</v>
      </c>
      <c r="C38" s="1" t="s">
        <v>15</v>
      </c>
      <c r="D38" s="1" t="s">
        <v>16</v>
      </c>
      <c r="E38" s="1" t="s">
        <v>28</v>
      </c>
      <c r="F38" s="1">
        <v>2</v>
      </c>
      <c r="G38" s="1">
        <v>899</v>
      </c>
      <c r="H38" s="1" t="s">
        <v>11</v>
      </c>
      <c r="J38">
        <f t="shared" si="0"/>
        <v>8440</v>
      </c>
      <c r="K38">
        <f t="shared" si="1"/>
        <v>1798</v>
      </c>
      <c r="L38">
        <f t="shared" si="2"/>
        <v>1</v>
      </c>
      <c r="M38" t="str">
        <f t="shared" si="3"/>
        <v>Unique</v>
      </c>
      <c r="N38" t="str">
        <f t="shared" si="4"/>
        <v>Chennai</v>
      </c>
      <c r="O38" t="str">
        <f t="shared" si="5"/>
        <v>Completed</v>
      </c>
      <c r="P38" t="str">
        <f t="shared" si="6"/>
        <v/>
      </c>
      <c r="Q38" s="6" t="s">
        <v>10</v>
      </c>
      <c r="R38" s="7">
        <v>9</v>
      </c>
    </row>
    <row r="39" spans="1:18" x14ac:dyDescent="0.3">
      <c r="A39" s="1">
        <v>1038</v>
      </c>
      <c r="B39" s="2">
        <v>45667</v>
      </c>
      <c r="C39" s="1" t="s">
        <v>14</v>
      </c>
      <c r="D39" s="1" t="s">
        <v>9</v>
      </c>
      <c r="E39" s="1" t="s">
        <v>24</v>
      </c>
      <c r="F39" s="1">
        <v>1</v>
      </c>
      <c r="G39" s="1">
        <v>249</v>
      </c>
      <c r="H39" s="1" t="s">
        <v>22</v>
      </c>
      <c r="J39">
        <f t="shared" si="0"/>
        <v>19238</v>
      </c>
      <c r="K39">
        <f t="shared" si="1"/>
        <v>249</v>
      </c>
      <c r="L39">
        <f t="shared" si="2"/>
        <v>1</v>
      </c>
      <c r="M39" t="str">
        <f t="shared" si="3"/>
        <v>Unique</v>
      </c>
      <c r="N39" t="str">
        <f t="shared" si="4"/>
        <v>Mumbai</v>
      </c>
      <c r="O39" t="str">
        <f t="shared" si="5"/>
        <v>Pending</v>
      </c>
      <c r="P39" t="str">
        <f t="shared" si="6"/>
        <v/>
      </c>
      <c r="Q39" s="6" t="s">
        <v>21</v>
      </c>
      <c r="R39" s="7">
        <v>9</v>
      </c>
    </row>
    <row r="40" spans="1:18" x14ac:dyDescent="0.3">
      <c r="A40" s="1">
        <v>1039</v>
      </c>
      <c r="B40" s="2">
        <v>45667</v>
      </c>
      <c r="C40" s="1" t="s">
        <v>18</v>
      </c>
      <c r="D40" s="1" t="s">
        <v>19</v>
      </c>
      <c r="E40" s="1" t="s">
        <v>24</v>
      </c>
      <c r="F40" s="1">
        <v>3</v>
      </c>
      <c r="G40" s="1">
        <v>3499</v>
      </c>
      <c r="H40" s="1" t="s">
        <v>11</v>
      </c>
      <c r="J40">
        <f t="shared" si="0"/>
        <v>17890</v>
      </c>
      <c r="K40">
        <f t="shared" si="1"/>
        <v>10497</v>
      </c>
      <c r="L40">
        <f t="shared" si="2"/>
        <v>1</v>
      </c>
      <c r="M40" t="str">
        <f t="shared" si="3"/>
        <v>Unique</v>
      </c>
      <c r="N40" t="str">
        <f t="shared" si="4"/>
        <v>Mumbai</v>
      </c>
      <c r="O40" t="str">
        <f t="shared" si="5"/>
        <v>Completed</v>
      </c>
      <c r="P40" t="str">
        <f t="shared" si="6"/>
        <v/>
      </c>
      <c r="Q40" s="6" t="s">
        <v>28</v>
      </c>
      <c r="R40" s="7">
        <v>8</v>
      </c>
    </row>
    <row r="41" spans="1:18" x14ac:dyDescent="0.3">
      <c r="A41" s="1">
        <v>1040</v>
      </c>
      <c r="B41" s="2">
        <v>45727</v>
      </c>
      <c r="C41" s="1" t="s">
        <v>23</v>
      </c>
      <c r="D41" s="1" t="s">
        <v>16</v>
      </c>
      <c r="E41" s="1" t="s">
        <v>12</v>
      </c>
      <c r="F41" s="1">
        <v>5</v>
      </c>
      <c r="G41" s="1">
        <v>3499</v>
      </c>
      <c r="H41" s="1" t="s">
        <v>11</v>
      </c>
      <c r="J41">
        <f t="shared" si="0"/>
        <v>17495</v>
      </c>
      <c r="K41">
        <f t="shared" si="1"/>
        <v>17495</v>
      </c>
      <c r="L41">
        <f t="shared" si="2"/>
        <v>3</v>
      </c>
      <c r="M41" t="str">
        <f t="shared" si="3"/>
        <v>Unique</v>
      </c>
      <c r="N41" t="str">
        <f t="shared" si="4"/>
        <v>Kolkata</v>
      </c>
      <c r="O41" t="str">
        <f t="shared" si="5"/>
        <v>Completed</v>
      </c>
      <c r="P41" t="str">
        <f t="shared" si="6"/>
        <v/>
      </c>
      <c r="Q41" s="6" t="s">
        <v>20</v>
      </c>
      <c r="R41" s="7">
        <v>6</v>
      </c>
    </row>
    <row r="42" spans="1:18" x14ac:dyDescent="0.3">
      <c r="A42" s="1">
        <v>1041</v>
      </c>
      <c r="B42" s="2">
        <v>45758</v>
      </c>
      <c r="D42" s="1" t="s">
        <v>27</v>
      </c>
      <c r="E42" s="1" t="s">
        <v>21</v>
      </c>
      <c r="F42" s="1">
        <v>4</v>
      </c>
      <c r="G42" s="1">
        <v>899</v>
      </c>
      <c r="H42" s="1" t="s">
        <v>11</v>
      </c>
      <c r="J42">
        <f t="shared" si="0"/>
        <v>0</v>
      </c>
      <c r="K42">
        <f t="shared" si="1"/>
        <v>3596</v>
      </c>
      <c r="L42">
        <f t="shared" si="2"/>
        <v>4</v>
      </c>
      <c r="M42" t="str">
        <f t="shared" si="3"/>
        <v>Unique</v>
      </c>
      <c r="N42" t="str">
        <f t="shared" si="4"/>
        <v>Hyderabad</v>
      </c>
      <c r="O42" t="str">
        <f t="shared" si="5"/>
        <v>Completed</v>
      </c>
      <c r="P42" t="str">
        <f t="shared" si="6"/>
        <v/>
      </c>
      <c r="Q42" s="6" t="s">
        <v>25</v>
      </c>
      <c r="R42" s="7">
        <v>4</v>
      </c>
    </row>
    <row r="43" spans="1:18" x14ac:dyDescent="0.3">
      <c r="A43" s="1">
        <v>1042</v>
      </c>
      <c r="B43" s="2">
        <v>45670</v>
      </c>
      <c r="C43" s="1" t="s">
        <v>34</v>
      </c>
      <c r="D43" s="1" t="s">
        <v>31</v>
      </c>
      <c r="E43" s="1" t="s">
        <v>25</v>
      </c>
      <c r="F43" s="1">
        <v>4</v>
      </c>
      <c r="G43" s="1">
        <v>2499</v>
      </c>
      <c r="H43" s="1" t="s">
        <v>22</v>
      </c>
      <c r="J43">
        <f t="shared" si="0"/>
        <v>22489</v>
      </c>
      <c r="K43">
        <f t="shared" si="1"/>
        <v>9996</v>
      </c>
      <c r="L43">
        <f t="shared" si="2"/>
        <v>1</v>
      </c>
      <c r="M43" t="str">
        <f t="shared" si="3"/>
        <v>Unique</v>
      </c>
      <c r="N43" t="str">
        <f t="shared" si="4"/>
        <v>Bengaluru</v>
      </c>
      <c r="O43" t="str">
        <f t="shared" si="5"/>
        <v>Pending</v>
      </c>
      <c r="P43" t="str">
        <f t="shared" si="6"/>
        <v/>
      </c>
      <c r="Q43" s="6" t="s">
        <v>68</v>
      </c>
      <c r="R43" s="7">
        <v>60</v>
      </c>
    </row>
    <row r="44" spans="1:18" x14ac:dyDescent="0.3">
      <c r="A44" s="1">
        <v>1043</v>
      </c>
      <c r="B44" s="2">
        <v>45768</v>
      </c>
      <c r="C44" s="1" t="s">
        <v>14</v>
      </c>
      <c r="D44" s="1" t="s">
        <v>9</v>
      </c>
      <c r="E44" s="1" t="s">
        <v>12</v>
      </c>
      <c r="F44" s="1">
        <v>1</v>
      </c>
      <c r="G44" s="1">
        <v>249</v>
      </c>
      <c r="H44" s="1" t="s">
        <v>22</v>
      </c>
      <c r="J44">
        <f t="shared" si="0"/>
        <v>18989</v>
      </c>
      <c r="K44">
        <f t="shared" si="1"/>
        <v>249</v>
      </c>
      <c r="L44">
        <f t="shared" si="2"/>
        <v>4</v>
      </c>
      <c r="M44" t="str">
        <f t="shared" si="3"/>
        <v>Unique</v>
      </c>
      <c r="N44" t="str">
        <f t="shared" si="4"/>
        <v>Kolkata</v>
      </c>
      <c r="O44" t="str">
        <f t="shared" si="5"/>
        <v>Pending</v>
      </c>
      <c r="P44" t="str">
        <f t="shared" si="6"/>
        <v/>
      </c>
    </row>
    <row r="45" spans="1:18" x14ac:dyDescent="0.3">
      <c r="A45" s="1">
        <v>1044</v>
      </c>
      <c r="B45" s="2">
        <v>45751</v>
      </c>
      <c r="C45" s="1" t="s">
        <v>32</v>
      </c>
      <c r="D45" s="1" t="s">
        <v>33</v>
      </c>
      <c r="E45" s="1" t="s">
        <v>21</v>
      </c>
      <c r="F45" s="1">
        <v>1</v>
      </c>
      <c r="G45" s="1">
        <v>899</v>
      </c>
      <c r="H45" s="1" t="s">
        <v>11</v>
      </c>
      <c r="J45">
        <f t="shared" si="0"/>
        <v>8396</v>
      </c>
      <c r="K45">
        <f t="shared" si="1"/>
        <v>899</v>
      </c>
      <c r="L45">
        <f t="shared" si="2"/>
        <v>4</v>
      </c>
      <c r="M45" t="str">
        <f t="shared" si="3"/>
        <v>Unique</v>
      </c>
      <c r="N45" t="str">
        <f t="shared" si="4"/>
        <v>Hyderabad</v>
      </c>
      <c r="O45" t="str">
        <f t="shared" si="5"/>
        <v>Completed</v>
      </c>
      <c r="P45" t="str">
        <f t="shared" si="6"/>
        <v/>
      </c>
    </row>
    <row r="46" spans="1:18" x14ac:dyDescent="0.3">
      <c r="A46" s="1">
        <v>1045</v>
      </c>
      <c r="B46" s="2">
        <v>45682</v>
      </c>
      <c r="C46" s="1" t="s">
        <v>18</v>
      </c>
      <c r="D46" s="1" t="s">
        <v>19</v>
      </c>
      <c r="E46" s="1" t="s">
        <v>20</v>
      </c>
      <c r="F46" s="1">
        <v>2</v>
      </c>
      <c r="G46" s="1">
        <v>2499</v>
      </c>
      <c r="H46" s="1" t="s">
        <v>11</v>
      </c>
      <c r="J46">
        <f t="shared" si="0"/>
        <v>7393</v>
      </c>
      <c r="K46">
        <f t="shared" si="1"/>
        <v>4998</v>
      </c>
      <c r="L46">
        <f t="shared" si="2"/>
        <v>1</v>
      </c>
      <c r="M46" t="str">
        <f t="shared" si="3"/>
        <v>Unique</v>
      </c>
      <c r="N46" t="str">
        <f t="shared" si="4"/>
        <v>Pune</v>
      </c>
      <c r="O46" t="str">
        <f t="shared" si="5"/>
        <v>Completed</v>
      </c>
      <c r="P46" t="str">
        <f t="shared" si="6"/>
        <v/>
      </c>
      <c r="Q46" s="5" t="s">
        <v>67</v>
      </c>
      <c r="R46" t="s">
        <v>69</v>
      </c>
    </row>
    <row r="47" spans="1:18" x14ac:dyDescent="0.3">
      <c r="A47" s="1">
        <v>1046</v>
      </c>
      <c r="B47" s="2">
        <v>45693</v>
      </c>
      <c r="C47" s="1" t="s">
        <v>26</v>
      </c>
      <c r="D47" s="1" t="s">
        <v>27</v>
      </c>
      <c r="E47" s="1" t="s">
        <v>24</v>
      </c>
      <c r="F47" s="1">
        <v>1</v>
      </c>
      <c r="G47" s="1">
        <v>3499</v>
      </c>
      <c r="H47" s="1" t="s">
        <v>38</v>
      </c>
      <c r="J47">
        <f t="shared" si="0"/>
        <v>3499</v>
      </c>
      <c r="K47">
        <f t="shared" si="1"/>
        <v>3499</v>
      </c>
      <c r="L47">
        <f t="shared" si="2"/>
        <v>2</v>
      </c>
      <c r="M47" t="str">
        <f t="shared" si="3"/>
        <v>Unique</v>
      </c>
      <c r="N47" t="str">
        <f t="shared" si="4"/>
        <v>Mumbai</v>
      </c>
      <c r="O47" t="str">
        <f t="shared" si="5"/>
        <v>Cancelled</v>
      </c>
      <c r="P47" t="str">
        <f t="shared" si="6"/>
        <v/>
      </c>
      <c r="Q47" s="6" t="s">
        <v>31</v>
      </c>
      <c r="R47" s="7">
        <v>77406</v>
      </c>
    </row>
    <row r="48" spans="1:18" x14ac:dyDescent="0.3">
      <c r="A48" s="1">
        <v>1047</v>
      </c>
      <c r="B48" s="2">
        <v>45670</v>
      </c>
      <c r="C48" s="1" t="s">
        <v>14</v>
      </c>
      <c r="D48" s="1" t="s">
        <v>9</v>
      </c>
      <c r="E48" s="1" t="s">
        <v>12</v>
      </c>
      <c r="F48" s="1">
        <v>5</v>
      </c>
      <c r="G48" s="1">
        <v>249</v>
      </c>
      <c r="H48" s="1" t="s">
        <v>11</v>
      </c>
      <c r="J48">
        <f t="shared" si="0"/>
        <v>18740</v>
      </c>
      <c r="K48">
        <f t="shared" si="1"/>
        <v>1245</v>
      </c>
      <c r="L48">
        <f t="shared" si="2"/>
        <v>1</v>
      </c>
      <c r="M48" t="str">
        <f t="shared" si="3"/>
        <v>Unique</v>
      </c>
      <c r="N48" t="str">
        <f t="shared" si="4"/>
        <v>Kolkata</v>
      </c>
      <c r="O48" t="str">
        <f t="shared" si="5"/>
        <v>Completed</v>
      </c>
      <c r="P48" t="str">
        <f t="shared" si="6"/>
        <v/>
      </c>
      <c r="Q48" s="6" t="s">
        <v>9</v>
      </c>
      <c r="R48" s="7">
        <v>46313</v>
      </c>
    </row>
    <row r="49" spans="1:18" x14ac:dyDescent="0.3">
      <c r="A49" s="1">
        <v>1048</v>
      </c>
      <c r="B49" s="2">
        <v>45776</v>
      </c>
      <c r="C49" s="1" t="s">
        <v>30</v>
      </c>
      <c r="D49" s="1" t="s">
        <v>31</v>
      </c>
      <c r="E49" s="1" t="s">
        <v>24</v>
      </c>
      <c r="F49" s="1">
        <v>4</v>
      </c>
      <c r="G49" s="1">
        <v>3499</v>
      </c>
      <c r="H49" s="1" t="s">
        <v>22</v>
      </c>
      <c r="J49">
        <f t="shared" si="0"/>
        <v>15241</v>
      </c>
      <c r="K49">
        <f t="shared" si="1"/>
        <v>13996</v>
      </c>
      <c r="L49">
        <f t="shared" si="2"/>
        <v>4</v>
      </c>
      <c r="M49" t="str">
        <f t="shared" si="3"/>
        <v>Unique</v>
      </c>
      <c r="N49" t="str">
        <f t="shared" si="4"/>
        <v>Mumbai</v>
      </c>
      <c r="O49" t="str">
        <f t="shared" si="5"/>
        <v>Pending</v>
      </c>
      <c r="P49" t="str">
        <f t="shared" si="6"/>
        <v/>
      </c>
      <c r="Q49" s="6" t="s">
        <v>16</v>
      </c>
      <c r="R49" s="7">
        <v>42261</v>
      </c>
    </row>
    <row r="50" spans="1:18" x14ac:dyDescent="0.3">
      <c r="A50" s="1">
        <v>1049</v>
      </c>
      <c r="B50" s="2">
        <v>45685</v>
      </c>
      <c r="C50" s="1" t="s">
        <v>34</v>
      </c>
      <c r="D50" s="1" t="s">
        <v>31</v>
      </c>
      <c r="E50" s="1" t="s">
        <v>10</v>
      </c>
      <c r="F50" s="1">
        <v>2</v>
      </c>
      <c r="G50" s="1">
        <v>2499</v>
      </c>
      <c r="H50" s="1" t="s">
        <v>11</v>
      </c>
      <c r="J50">
        <f t="shared" si="0"/>
        <v>12493</v>
      </c>
      <c r="K50">
        <f t="shared" si="1"/>
        <v>4998</v>
      </c>
      <c r="L50">
        <f t="shared" si="2"/>
        <v>1</v>
      </c>
      <c r="M50" t="str">
        <f t="shared" si="3"/>
        <v>Unique</v>
      </c>
      <c r="N50" t="str">
        <f t="shared" si="4"/>
        <v>Delhi</v>
      </c>
      <c r="O50" t="str">
        <f t="shared" si="5"/>
        <v>Completed</v>
      </c>
      <c r="P50" t="str">
        <f t="shared" si="6"/>
        <v/>
      </c>
      <c r="Q50" s="6" t="s">
        <v>19</v>
      </c>
      <c r="R50" s="7">
        <v>41667</v>
      </c>
    </row>
    <row r="51" spans="1:18" x14ac:dyDescent="0.3">
      <c r="A51" s="1">
        <v>1050</v>
      </c>
      <c r="B51" s="2">
        <v>45707</v>
      </c>
      <c r="C51" s="1" t="s">
        <v>29</v>
      </c>
      <c r="D51" s="1" t="s">
        <v>19</v>
      </c>
      <c r="E51" s="1" t="s">
        <v>21</v>
      </c>
      <c r="F51" s="1">
        <v>4</v>
      </c>
      <c r="G51" s="1">
        <v>1199</v>
      </c>
      <c r="H51" s="1" t="s">
        <v>22</v>
      </c>
      <c r="J51">
        <f t="shared" si="0"/>
        <v>5993</v>
      </c>
      <c r="K51">
        <f t="shared" si="1"/>
        <v>4796</v>
      </c>
      <c r="L51">
        <f t="shared" si="2"/>
        <v>2</v>
      </c>
      <c r="M51" t="str">
        <f t="shared" si="3"/>
        <v>Unique</v>
      </c>
      <c r="N51" t="str">
        <f t="shared" si="4"/>
        <v>Hyderabad</v>
      </c>
      <c r="O51" t="str">
        <f t="shared" si="5"/>
        <v>Pending</v>
      </c>
      <c r="P51" t="str">
        <f t="shared" si="6"/>
        <v/>
      </c>
      <c r="Q51" s="6" t="s">
        <v>33</v>
      </c>
      <c r="R51" s="7">
        <v>12893</v>
      </c>
    </row>
    <row r="52" spans="1:18" x14ac:dyDescent="0.3">
      <c r="A52" s="1">
        <v>1051</v>
      </c>
      <c r="B52" s="2">
        <v>45747</v>
      </c>
      <c r="C52" s="1" t="s">
        <v>18</v>
      </c>
      <c r="D52" s="1" t="s">
        <v>19</v>
      </c>
      <c r="E52" s="1" t="s">
        <v>12</v>
      </c>
      <c r="F52" s="1">
        <v>4</v>
      </c>
      <c r="G52" s="1">
        <v>499</v>
      </c>
      <c r="H52" s="1" t="s">
        <v>11</v>
      </c>
      <c r="J52">
        <f t="shared" si="0"/>
        <v>2395</v>
      </c>
      <c r="K52">
        <f t="shared" si="1"/>
        <v>1996</v>
      </c>
      <c r="L52">
        <f t="shared" si="2"/>
        <v>3</v>
      </c>
      <c r="M52" t="str">
        <f t="shared" si="3"/>
        <v>Unique</v>
      </c>
      <c r="N52" t="str">
        <f t="shared" si="4"/>
        <v>Kolkata</v>
      </c>
      <c r="O52" t="str">
        <f t="shared" si="5"/>
        <v>Completed</v>
      </c>
      <c r="P52" t="str">
        <f t="shared" si="6"/>
        <v/>
      </c>
      <c r="Q52" s="6" t="s">
        <v>27</v>
      </c>
      <c r="R52" s="7">
        <v>11491</v>
      </c>
    </row>
    <row r="53" spans="1:18" x14ac:dyDescent="0.3">
      <c r="A53" s="1">
        <v>1052</v>
      </c>
      <c r="B53" s="2">
        <v>45695</v>
      </c>
      <c r="C53" s="1" t="s">
        <v>30</v>
      </c>
      <c r="D53" s="1" t="s">
        <v>31</v>
      </c>
      <c r="E53" s="1" t="s">
        <v>10</v>
      </c>
      <c r="F53" s="1">
        <v>5</v>
      </c>
      <c r="G53" s="1">
        <v>249</v>
      </c>
      <c r="H53" s="1" t="s">
        <v>13</v>
      </c>
      <c r="J53">
        <f t="shared" si="0"/>
        <v>1245</v>
      </c>
      <c r="K53">
        <f t="shared" si="1"/>
        <v>1245</v>
      </c>
      <c r="L53">
        <f t="shared" si="2"/>
        <v>2</v>
      </c>
      <c r="M53" t="str">
        <f t="shared" si="3"/>
        <v>Unique</v>
      </c>
      <c r="N53" t="str">
        <f t="shared" si="4"/>
        <v>Delhi</v>
      </c>
      <c r="O53" t="str">
        <f t="shared" si="5"/>
        <v>Cancelled</v>
      </c>
      <c r="P53" t="str">
        <f t="shared" si="6"/>
        <v/>
      </c>
      <c r="Q53" s="6" t="s">
        <v>68</v>
      </c>
      <c r="R53" s="7">
        <v>232031</v>
      </c>
    </row>
    <row r="54" spans="1:18" x14ac:dyDescent="0.3">
      <c r="A54" s="1">
        <v>1053</v>
      </c>
      <c r="B54" s="2">
        <v>45698</v>
      </c>
      <c r="C54" s="1" t="s">
        <v>14</v>
      </c>
      <c r="D54" s="1" t="s">
        <v>9</v>
      </c>
      <c r="E54" s="1" t="s">
        <v>10</v>
      </c>
      <c r="F54" s="1">
        <v>5</v>
      </c>
      <c r="G54" s="1">
        <v>3499</v>
      </c>
      <c r="H54" s="1" t="s">
        <v>13</v>
      </c>
      <c r="J54">
        <f t="shared" si="0"/>
        <v>17495</v>
      </c>
      <c r="K54">
        <f t="shared" si="1"/>
        <v>17495</v>
      </c>
      <c r="L54">
        <f t="shared" si="2"/>
        <v>2</v>
      </c>
      <c r="M54" t="str">
        <f t="shared" si="3"/>
        <v>Unique</v>
      </c>
      <c r="N54" t="str">
        <f t="shared" si="4"/>
        <v>Delhi</v>
      </c>
      <c r="O54" t="str">
        <f t="shared" si="5"/>
        <v>Cancelled</v>
      </c>
      <c r="P54" t="str">
        <f t="shared" si="6"/>
        <v/>
      </c>
    </row>
    <row r="55" spans="1:18" x14ac:dyDescent="0.3">
      <c r="A55" s="1">
        <v>1054</v>
      </c>
      <c r="B55" s="2">
        <v>45775</v>
      </c>
      <c r="C55" s="1" t="s">
        <v>18</v>
      </c>
      <c r="D55" s="1" t="s">
        <v>19</v>
      </c>
      <c r="E55" s="1" t="s">
        <v>24</v>
      </c>
      <c r="F55" s="1">
        <v>1</v>
      </c>
      <c r="G55" s="1">
        <v>399</v>
      </c>
      <c r="H55" s="1" t="s">
        <v>11</v>
      </c>
      <c r="J55">
        <f t="shared" si="0"/>
        <v>399</v>
      </c>
      <c r="K55">
        <f t="shared" si="1"/>
        <v>399</v>
      </c>
      <c r="L55">
        <f t="shared" si="2"/>
        <v>4</v>
      </c>
      <c r="M55" t="str">
        <f t="shared" si="3"/>
        <v>Unique</v>
      </c>
      <c r="N55" t="str">
        <f t="shared" si="4"/>
        <v>Mumbai</v>
      </c>
      <c r="O55" t="str">
        <f t="shared" si="5"/>
        <v>Completed</v>
      </c>
      <c r="P55" t="str">
        <f t="shared" si="6"/>
        <v/>
      </c>
    </row>
    <row r="56" spans="1:18" x14ac:dyDescent="0.3">
      <c r="A56" s="1">
        <v>1055</v>
      </c>
      <c r="B56" s="2">
        <v>45666</v>
      </c>
      <c r="C56" s="1" t="s">
        <v>15</v>
      </c>
      <c r="D56" s="1" t="s">
        <v>16</v>
      </c>
      <c r="E56" s="1" t="s">
        <v>10</v>
      </c>
      <c r="F56" s="1">
        <v>2</v>
      </c>
      <c r="G56" s="1">
        <v>2499</v>
      </c>
      <c r="H56" s="1" t="s">
        <v>11</v>
      </c>
      <c r="J56">
        <f t="shared" si="0"/>
        <v>6642</v>
      </c>
      <c r="K56">
        <f t="shared" si="1"/>
        <v>4998</v>
      </c>
      <c r="L56">
        <f t="shared" si="2"/>
        <v>1</v>
      </c>
      <c r="M56" t="str">
        <f t="shared" si="3"/>
        <v>Unique</v>
      </c>
      <c r="N56" t="str">
        <f t="shared" si="4"/>
        <v>Delhi</v>
      </c>
      <c r="O56" t="str">
        <f t="shared" si="5"/>
        <v>Completed</v>
      </c>
      <c r="P56" t="str">
        <f t="shared" si="6"/>
        <v/>
      </c>
    </row>
    <row r="57" spans="1:18" x14ac:dyDescent="0.3">
      <c r="A57" s="1">
        <v>1056</v>
      </c>
      <c r="B57" s="2">
        <v>45778</v>
      </c>
      <c r="C57" s="1" t="s">
        <v>15</v>
      </c>
      <c r="D57" s="1" t="s">
        <v>16</v>
      </c>
      <c r="E57" s="1" t="s">
        <v>24</v>
      </c>
      <c r="F57" s="1">
        <v>5</v>
      </c>
      <c r="G57" s="1">
        <v>249</v>
      </c>
      <c r="H57" s="1" t="s">
        <v>13</v>
      </c>
      <c r="J57">
        <f t="shared" si="0"/>
        <v>1644</v>
      </c>
      <c r="K57">
        <f t="shared" si="1"/>
        <v>1245</v>
      </c>
      <c r="L57">
        <f t="shared" si="2"/>
        <v>5</v>
      </c>
      <c r="M57" t="str">
        <f t="shared" si="3"/>
        <v>Unique</v>
      </c>
      <c r="N57" t="str">
        <f t="shared" si="4"/>
        <v>Mumbai</v>
      </c>
      <c r="O57" t="str">
        <f t="shared" si="5"/>
        <v>Cancelled</v>
      </c>
      <c r="P57" t="str">
        <f t="shared" si="6"/>
        <v/>
      </c>
    </row>
    <row r="58" spans="1:18" x14ac:dyDescent="0.3">
      <c r="A58" s="1">
        <v>1057</v>
      </c>
      <c r="B58" s="2">
        <v>45668</v>
      </c>
      <c r="C58" s="1" t="s">
        <v>34</v>
      </c>
      <c r="D58" s="1" t="s">
        <v>31</v>
      </c>
      <c r="E58" s="1" t="s">
        <v>12</v>
      </c>
      <c r="F58" s="1">
        <v>5</v>
      </c>
      <c r="G58" s="1">
        <v>1499</v>
      </c>
      <c r="H58" s="1" t="s">
        <v>22</v>
      </c>
      <c r="J58">
        <f t="shared" si="0"/>
        <v>7495</v>
      </c>
      <c r="K58">
        <f t="shared" si="1"/>
        <v>7495</v>
      </c>
      <c r="L58">
        <f t="shared" si="2"/>
        <v>1</v>
      </c>
      <c r="M58" t="str">
        <f t="shared" si="3"/>
        <v>Unique</v>
      </c>
      <c r="N58" t="str">
        <f t="shared" si="4"/>
        <v>Kolkata</v>
      </c>
      <c r="O58" t="str">
        <f t="shared" si="5"/>
        <v>Pending</v>
      </c>
      <c r="P58" t="str">
        <f t="shared" si="6"/>
        <v/>
      </c>
    </row>
    <row r="59" spans="1:18" x14ac:dyDescent="0.3">
      <c r="A59" s="1">
        <v>1058</v>
      </c>
      <c r="B59" s="2">
        <v>45684</v>
      </c>
      <c r="C59" s="1" t="s">
        <v>32</v>
      </c>
      <c r="D59" s="1" t="s">
        <v>33</v>
      </c>
      <c r="E59" s="1" t="s">
        <v>24</v>
      </c>
      <c r="F59" s="1">
        <v>3</v>
      </c>
      <c r="G59" s="1">
        <v>2499</v>
      </c>
      <c r="H59" s="1" t="s">
        <v>11</v>
      </c>
      <c r="J59">
        <f t="shared" si="0"/>
        <v>7497</v>
      </c>
      <c r="K59">
        <f t="shared" si="1"/>
        <v>7497</v>
      </c>
      <c r="L59">
        <f t="shared" si="2"/>
        <v>1</v>
      </c>
      <c r="M59" t="str">
        <f t="shared" si="3"/>
        <v>Unique</v>
      </c>
      <c r="N59" t="str">
        <f t="shared" si="4"/>
        <v>Mumbai</v>
      </c>
      <c r="O59" t="str">
        <f t="shared" si="5"/>
        <v>Completed</v>
      </c>
      <c r="P59" t="str">
        <f t="shared" si="6"/>
        <v/>
      </c>
    </row>
    <row r="60" spans="1:18" x14ac:dyDescent="0.3">
      <c r="A60" s="1">
        <v>1059</v>
      </c>
      <c r="B60" s="2">
        <v>45743</v>
      </c>
      <c r="C60" s="1" t="s">
        <v>29</v>
      </c>
      <c r="D60" s="1" t="s">
        <v>19</v>
      </c>
      <c r="E60" s="1" t="s">
        <v>20</v>
      </c>
      <c r="F60" s="1">
        <v>3</v>
      </c>
      <c r="G60" s="1">
        <v>399</v>
      </c>
      <c r="H60" s="1" t="s">
        <v>11</v>
      </c>
      <c r="J60">
        <f t="shared" si="0"/>
        <v>1197</v>
      </c>
      <c r="K60">
        <f t="shared" si="1"/>
        <v>1197</v>
      </c>
      <c r="L60">
        <f t="shared" si="2"/>
        <v>3</v>
      </c>
      <c r="M60" t="str">
        <f t="shared" si="3"/>
        <v>Unique</v>
      </c>
      <c r="N60" t="str">
        <f t="shared" si="4"/>
        <v>Pune</v>
      </c>
      <c r="O60" t="str">
        <f t="shared" si="5"/>
        <v>Completed</v>
      </c>
      <c r="P60" t="str">
        <f t="shared" si="6"/>
        <v/>
      </c>
    </row>
    <row r="61" spans="1:18" x14ac:dyDescent="0.3">
      <c r="A61" s="1">
        <v>1060</v>
      </c>
      <c r="B61" s="2">
        <v>45716</v>
      </c>
      <c r="C61" s="1" t="s">
        <v>15</v>
      </c>
      <c r="D61" s="1" t="s">
        <v>16</v>
      </c>
      <c r="E61" s="1" t="s">
        <v>28</v>
      </c>
      <c r="F61" s="1">
        <v>1</v>
      </c>
      <c r="G61" s="1">
        <v>399</v>
      </c>
      <c r="H61" s="1" t="s">
        <v>13</v>
      </c>
      <c r="J61">
        <f t="shared" si="0"/>
        <v>399</v>
      </c>
      <c r="K61">
        <f t="shared" si="1"/>
        <v>399</v>
      </c>
      <c r="L61">
        <f t="shared" si="2"/>
        <v>2</v>
      </c>
      <c r="M61" t="str">
        <f t="shared" si="3"/>
        <v>Unique</v>
      </c>
      <c r="N61" t="str">
        <f t="shared" si="4"/>
        <v>Chennai</v>
      </c>
      <c r="O61" t="str">
        <f t="shared" si="5"/>
        <v>Cancelled</v>
      </c>
      <c r="P61" t="str">
        <f t="shared" si="6"/>
        <v/>
      </c>
    </row>
    <row r="62" spans="1:18" x14ac:dyDescent="0.3">
      <c r="J62">
        <f t="shared" si="0"/>
        <v>0</v>
      </c>
      <c r="K62">
        <f t="shared" si="1"/>
        <v>0</v>
      </c>
      <c r="L62">
        <f t="shared" si="2"/>
        <v>1</v>
      </c>
      <c r="M62" t="str">
        <f t="shared" si="3"/>
        <v>Unique</v>
      </c>
      <c r="N62" t="str">
        <f t="shared" si="4"/>
        <v/>
      </c>
      <c r="O62" t="str">
        <f t="shared" si="5"/>
        <v/>
      </c>
      <c r="P62" t="str">
        <f t="shared" si="6"/>
        <v>Check Data</v>
      </c>
    </row>
    <row r="63" spans="1:18" x14ac:dyDescent="0.3">
      <c r="J63">
        <f t="shared" si="0"/>
        <v>0</v>
      </c>
      <c r="K63">
        <f t="shared" si="1"/>
        <v>0</v>
      </c>
      <c r="L63">
        <f t="shared" si="2"/>
        <v>1</v>
      </c>
      <c r="M63" t="str">
        <f t="shared" si="3"/>
        <v>Unique</v>
      </c>
      <c r="N63" t="str">
        <f t="shared" si="4"/>
        <v/>
      </c>
      <c r="O63" t="str">
        <f t="shared" si="5"/>
        <v/>
      </c>
      <c r="P63" t="str">
        <f t="shared" si="6"/>
        <v>Check Data</v>
      </c>
    </row>
  </sheetData>
  <sortState xmlns:xlrd2="http://schemas.microsoft.com/office/spreadsheetml/2017/richdata2" ref="S6:T15">
    <sortCondition descending="1" ref="S6:S15"/>
  </sortState>
  <conditionalFormatting sqref="F2:F61">
    <cfRule type="cellIs" dxfId="1" priority="2" operator="lessThan">
      <formula>0</formula>
    </cfRule>
  </conditionalFormatting>
  <conditionalFormatting sqref="C2:C61 F2:F61 H2:H61">
    <cfRule type="containsBlanks" dxfId="0" priority="1">
      <formula>LEN(TRIM(C2))=0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tabSelected="1" zoomScale="115" zoomScaleNormal="115" workbookViewId="0">
      <pane ySplit="1" topLeftCell="A2" activePane="bottomLeft" state="frozen"/>
      <selection pane="bottomLeft" activeCell="E12" sqref="E12"/>
    </sheetView>
  </sheetViews>
  <sheetFormatPr defaultRowHeight="14.4" x14ac:dyDescent="0.3"/>
  <cols>
    <col min="1" max="1" width="3.21875" bestFit="1" customWidth="1"/>
    <col min="2" max="2" width="94.33203125" bestFit="1" customWidth="1"/>
    <col min="3" max="3" width="18.77734375" bestFit="1" customWidth="1"/>
    <col min="4" max="4" width="13.5546875" bestFit="1" customWidth="1"/>
    <col min="5" max="5" width="8.77734375" bestFit="1" customWidth="1"/>
    <col min="6" max="7" width="11.5546875" bestFit="1" customWidth="1"/>
  </cols>
  <sheetData>
    <row r="1" spans="1:3" x14ac:dyDescent="0.3">
      <c r="A1" s="4" t="s">
        <v>39</v>
      </c>
      <c r="B1" s="4" t="s">
        <v>40</v>
      </c>
    </row>
    <row r="2" spans="1:3" x14ac:dyDescent="0.3">
      <c r="A2" s="1">
        <v>1</v>
      </c>
      <c r="B2" s="3" t="s">
        <v>41</v>
      </c>
      <c r="C2">
        <f>SUM(Data!K2:K63)</f>
        <v>232031</v>
      </c>
    </row>
    <row r="3" spans="1:3" x14ac:dyDescent="0.3">
      <c r="A3" s="1">
        <v>2</v>
      </c>
      <c r="B3" s="3" t="s">
        <v>42</v>
      </c>
      <c r="C3">
        <f>SUMIFS(Data!K2:K63,Data!D2:D63,"Electronics")</f>
        <v>46313</v>
      </c>
    </row>
    <row r="4" spans="1:3" ht="27.6" x14ac:dyDescent="0.3">
      <c r="A4" s="1">
        <v>3</v>
      </c>
      <c r="B4" s="3" t="s">
        <v>43</v>
      </c>
      <c r="C4">
        <f>COUNTIF(Data!E2:E63,"*delhi*")</f>
        <v>9</v>
      </c>
    </row>
    <row r="5" spans="1:3" x14ac:dyDescent="0.3">
      <c r="A5" s="1">
        <v>4</v>
      </c>
      <c r="B5" s="3" t="s">
        <v>44</v>
      </c>
      <c r="C5">
        <f>SUMIFS(Data!K2:K63,Data!E2:E63,"Delhi",Data!L2:L63,1)</f>
        <v>12394</v>
      </c>
    </row>
    <row r="6" spans="1:3" x14ac:dyDescent="0.3">
      <c r="A6" s="1">
        <v>5</v>
      </c>
      <c r="B6" s="3" t="s">
        <v>45</v>
      </c>
      <c r="C6" t="s">
        <v>62</v>
      </c>
    </row>
    <row r="7" spans="1:3" x14ac:dyDescent="0.3">
      <c r="A7" s="1">
        <v>6</v>
      </c>
      <c r="B7" s="3" t="s">
        <v>46</v>
      </c>
      <c r="C7" t="s">
        <v>62</v>
      </c>
    </row>
    <row r="8" spans="1:3" x14ac:dyDescent="0.3">
      <c r="A8" s="1">
        <v>7</v>
      </c>
      <c r="B8" s="3" t="s">
        <v>47</v>
      </c>
      <c r="C8" t="s">
        <v>62</v>
      </c>
    </row>
    <row r="9" spans="1:3" x14ac:dyDescent="0.3">
      <c r="A9" s="1">
        <v>8</v>
      </c>
      <c r="B9" s="3" t="s">
        <v>48</v>
      </c>
      <c r="C9">
        <v>2</v>
      </c>
    </row>
    <row r="10" spans="1:3" x14ac:dyDescent="0.3">
      <c r="A10" s="1">
        <v>9</v>
      </c>
      <c r="B10" s="3" t="s">
        <v>49</v>
      </c>
      <c r="C10" t="s">
        <v>62</v>
      </c>
    </row>
    <row r="11" spans="1:3" x14ac:dyDescent="0.3">
      <c r="A11" s="1">
        <v>10</v>
      </c>
      <c r="B11" s="3" t="s">
        <v>50</v>
      </c>
      <c r="C11" t="s">
        <v>62</v>
      </c>
    </row>
    <row r="12" spans="1:3" x14ac:dyDescent="0.3">
      <c r="A12" s="1">
        <v>11</v>
      </c>
      <c r="B12" s="3" t="s">
        <v>51</v>
      </c>
      <c r="C12" t="s">
        <v>62</v>
      </c>
    </row>
    <row r="13" spans="1:3" x14ac:dyDescent="0.3">
      <c r="A13" s="1">
        <v>12</v>
      </c>
      <c r="B13" s="3" t="s">
        <v>52</v>
      </c>
      <c r="C13">
        <f>MAX(Data!B2:B61)-MIN(Data!B2:B61)</f>
        <v>120</v>
      </c>
    </row>
    <row r="14" spans="1:3" x14ac:dyDescent="0.3">
      <c r="A14" s="1">
        <v>13</v>
      </c>
      <c r="B14" s="3" t="s">
        <v>53</v>
      </c>
      <c r="C14" t="s">
        <v>62</v>
      </c>
    </row>
    <row r="15" spans="1:3" x14ac:dyDescent="0.3">
      <c r="A15" s="1">
        <v>14</v>
      </c>
      <c r="B15" s="3" t="s">
        <v>54</v>
      </c>
      <c r="C15" t="s">
        <v>62</v>
      </c>
    </row>
    <row r="16" spans="1:3" x14ac:dyDescent="0.3">
      <c r="A16" s="1">
        <v>15</v>
      </c>
      <c r="B16" s="3" t="s">
        <v>55</v>
      </c>
      <c r="C16" t="s">
        <v>62</v>
      </c>
    </row>
    <row r="17" spans="1:3" ht="27.6" x14ac:dyDescent="0.3">
      <c r="A17" s="1">
        <v>16</v>
      </c>
      <c r="B17" s="3" t="s">
        <v>56</v>
      </c>
      <c r="C17" t="s">
        <v>75</v>
      </c>
    </row>
    <row r="18" spans="1:3" x14ac:dyDescent="0.3">
      <c r="A18" s="1">
        <v>17</v>
      </c>
      <c r="B18" s="3" t="s">
        <v>57</v>
      </c>
      <c r="C18" t="s">
        <v>62</v>
      </c>
    </row>
    <row r="19" spans="1:3" x14ac:dyDescent="0.3">
      <c r="A19" s="1">
        <v>18</v>
      </c>
      <c r="B19" s="3" t="s">
        <v>58</v>
      </c>
      <c r="C19">
        <f>_xlfn.XLOOKUP("Office Chair",Data!C2:C61,Data!G2:G61,"not found",0)</f>
        <v>1499</v>
      </c>
    </row>
    <row r="20" spans="1:3" x14ac:dyDescent="0.3">
      <c r="A20" s="1">
        <v>19</v>
      </c>
      <c r="B20" s="3" t="s">
        <v>59</v>
      </c>
      <c r="C20" t="s">
        <v>62</v>
      </c>
    </row>
    <row r="21" spans="1:3" ht="27.6" x14ac:dyDescent="0.3">
      <c r="A21" s="1">
        <v>20</v>
      </c>
      <c r="B21" s="3" t="s">
        <v>60</v>
      </c>
      <c r="C21" t="s">
        <v>72</v>
      </c>
    </row>
    <row r="22" spans="1:3" x14ac:dyDescent="0.3">
      <c r="C22" t="s">
        <v>73</v>
      </c>
    </row>
    <row r="23" spans="1:3" x14ac:dyDescent="0.3">
      <c r="C23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Advanced Excel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2026-09-02T14:55:36Z</dcterms:created>
  <dcterms:modified xsi:type="dcterms:W3CDTF">2026-09-02T16:26:51Z</dcterms:modified>
</cp:coreProperties>
</file>