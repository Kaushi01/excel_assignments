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2A78C8-D278-4C41-BBAA-775B581B21E5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Data" sheetId="1" r:id="rId1"/>
    <sheet name="Formula Te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2" l="1" a="1"/>
  <c r="B26" i="2" s="1"/>
  <c r="B25" i="2" a="1"/>
  <c r="B25" i="2" s="1"/>
  <c r="B21" i="2" a="1"/>
  <c r="B21" i="2" s="1"/>
  <c r="F12" i="2" a="1"/>
  <c r="F12" i="2" s="1"/>
  <c r="B16" i="2" a="1"/>
  <c r="B16" i="2" s="1"/>
  <c r="B30" i="2"/>
  <c r="B35" i="2"/>
  <c r="B34" i="2"/>
  <c r="B29" i="2"/>
  <c r="B28" i="2" a="1"/>
  <c r="B28" i="2" s="1"/>
  <c r="B27" i="2"/>
  <c r="B24" i="2"/>
  <c r="B23" i="2"/>
  <c r="F4" i="2"/>
  <c r="F5" i="2"/>
  <c r="F6" i="2"/>
  <c r="F7" i="2"/>
  <c r="F3" i="2"/>
  <c r="E3" i="2" a="1"/>
  <c r="E3" i="2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2" i="1"/>
  <c r="B20" i="2"/>
  <c r="B19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N2" i="1"/>
  <c r="M2" i="1"/>
  <c r="B18" i="2"/>
  <c r="E27" i="2"/>
  <c r="E28" i="2"/>
  <c r="E29" i="2"/>
  <c r="E30" i="2"/>
  <c r="E31" i="2"/>
  <c r="E32" i="2"/>
  <c r="E33" i="2"/>
  <c r="E34" i="2"/>
  <c r="E21" i="2"/>
  <c r="E22" i="2"/>
  <c r="E23" i="2"/>
  <c r="E24" i="2"/>
  <c r="E25" i="2"/>
  <c r="E26" i="2"/>
  <c r="E20" i="2"/>
  <c r="D20" i="2" a="1"/>
  <c r="D20" i="2" s="1"/>
  <c r="B17" i="2"/>
  <c r="B15" i="2"/>
  <c r="E13" i="2"/>
  <c r="E14" i="2"/>
  <c r="E15" i="2"/>
  <c r="E16" i="2"/>
  <c r="E12" i="2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B14" i="2"/>
  <c r="D12" i="2" a="1"/>
  <c r="D12" i="2" s="1"/>
  <c r="B11" i="2" a="1"/>
  <c r="B11" i="2" s="1"/>
  <c r="B10" i="2"/>
  <c r="B9" i="2"/>
  <c r="B8" i="2"/>
  <c r="B7" i="2"/>
  <c r="B6" i="2"/>
  <c r="B5" i="2"/>
  <c r="B4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<sst xmlns="http://schemas.openxmlformats.org/spreadsheetml/2006/main" count="802" uniqueCount="83">
  <si>
    <t>BookingID</t>
  </si>
  <si>
    <t>FlightDate</t>
  </si>
  <si>
    <t>Passenger</t>
  </si>
  <si>
    <t>Origin</t>
  </si>
  <si>
    <t>Destination</t>
  </si>
  <si>
    <t>Airline</t>
  </si>
  <si>
    <t>Class</t>
  </si>
  <si>
    <t>Fare</t>
  </si>
  <si>
    <t>DelayMinutes</t>
  </si>
  <si>
    <t>Status</t>
  </si>
  <si>
    <t>Ishaan Rao</t>
  </si>
  <si>
    <t>Mumbai</t>
  </si>
  <si>
    <t>Delhi</t>
  </si>
  <si>
    <t>IndiGo</t>
  </si>
  <si>
    <t>Premium Economy</t>
  </si>
  <si>
    <t>On Time</t>
  </si>
  <si>
    <t>Diya Kapoor</t>
  </si>
  <si>
    <t>Goa</t>
  </si>
  <si>
    <t>AirAsia</t>
  </si>
  <si>
    <t>Business</t>
  </si>
  <si>
    <t>Ananya Bose</t>
  </si>
  <si>
    <t>Kolkata</t>
  </si>
  <si>
    <t>Vistara</t>
  </si>
  <si>
    <t>Economy</t>
  </si>
  <si>
    <t>Farhan Ali</t>
  </si>
  <si>
    <t>Meera Pillai</t>
  </si>
  <si>
    <t>Chennai</t>
  </si>
  <si>
    <t>Hyderabad</t>
  </si>
  <si>
    <t>Delayed</t>
  </si>
  <si>
    <t>Tanvi Joshi</t>
  </si>
  <si>
    <t>Aarav Mehta</t>
  </si>
  <si>
    <t>Bangalore</t>
  </si>
  <si>
    <t>Nisha Reddy</t>
  </si>
  <si>
    <t>Air India</t>
  </si>
  <si>
    <t>Cancelled</t>
  </si>
  <si>
    <t>SpiceJet</t>
  </si>
  <si>
    <t>Zara Khan</t>
  </si>
  <si>
    <t>Aditya Iyer</t>
  </si>
  <si>
    <t>Devansh Shah</t>
  </si>
  <si>
    <t>Sanjay Verma</t>
  </si>
  <si>
    <t>Rohan Gupta</t>
  </si>
  <si>
    <t>Kavya Nair</t>
  </si>
  <si>
    <t>Priyanka Rao</t>
  </si>
  <si>
    <t>Airline Bookings Formula Test</t>
  </si>
  <si>
    <t>Use the Data sheet (rows 2-126) as your source. Write one formula per answer cell in column B.</t>
  </si>
  <si>
    <t>Q1. Total Fare collected from 'Business' class bookings on 'Vistara'.</t>
  </si>
  <si>
    <t>Q2. Count of bookings with Status='Delayed' and DelayMinutes greater than 60.</t>
  </si>
  <si>
    <t>Q3. Look up the Destination for BookingID 7050, with a safe fallback if it isn't found.</t>
  </si>
  <si>
    <t>Q4. Average Fare for 'Economy' class bookings from 'Delhi' to 'Mumbai'.</t>
  </si>
  <si>
    <t>Q5. Total fare revenue across the entire dataset for bookings with Status != 'Cancelled', without adding a helper column.</t>
  </si>
  <si>
    <t>Q6. Classify BookingID 7000's delay as 'None' (DelayMinutes=0), 'Short' (1-60), or 'Long' (60+).</t>
  </si>
  <si>
    <t>Q7. Extract the month name and year (e.g. 'March 2025') from the FlightDate of BookingID 7010.</t>
  </si>
  <si>
    <t>Q8. Return the Fare where Origin='Mumbai' and Destination='Chennai', using an array-style match (no helper column).</t>
  </si>
  <si>
    <t>Q9. Return a unique, alphabetically sorted list of all Airlines as a spilled array.</t>
  </si>
  <si>
    <t>Q10. Return all BookingIDs where Class='Business' AND Status='On Time', as a spilled array.</t>
  </si>
  <si>
    <t>Q11. Count how many Passenger names contain 'Iyer' anywhere in the dataset.</t>
  </si>
  <si>
    <t>Q12. Find the Airline with the highest total DelayMinutes among 'Delayed' bookings, using formulas only (no pivot table).</t>
  </si>
  <si>
    <t>Q13. Calculate the total number of unique Passengers who flew 'Business' class.</t>
  </si>
  <si>
    <t>Q14. Find the second-highest Fare in the entire dataset.</t>
  </si>
  <si>
    <t>Q15. Return the Passenger name associated with the longest single delay on record.</t>
  </si>
  <si>
    <t>Q16. Count the number of bookings made in Q2 2025 (Apr-Jun).</t>
  </si>
  <si>
    <t>Q17. Calculate the percentage of bookings that were 'Cancelled'.</t>
  </si>
  <si>
    <t>Q18. Return the most frequently flown route, shown as Origin-Destination (e.g. 'Delhi-Mumbai').</t>
  </si>
  <si>
    <t>Q19. Find the total Fare generated by each Airline, broken out into a small 5-row summary table using formulas (not a pivot table).</t>
  </si>
  <si>
    <t>Q20. Extract just the day of the week (e.g. 'Monday') for the FlightDate of BookingID 7025.</t>
  </si>
  <si>
    <t>Q21. Return the average DelayMinutes for bookings with Fare greater than 5000.</t>
  </si>
  <si>
    <t>Q22. Find the Class that appears most often overall.</t>
  </si>
  <si>
    <t>Q23. Return the number of distinct Destinations flown to from 'Delhi'.</t>
  </si>
  <si>
    <t>Q24. Calculate the total number of days between BookingID 7005's FlightDate and today's date.</t>
  </si>
  <si>
    <t>Q25. Return TRUE or FALSE for whether every 'SpiceJet' booking has DelayMinutes under 100.</t>
  </si>
  <si>
    <t>Q26. Concatenate the Passenger name and Airline into a single string separated by a hyphen for BookingID 7015 (e.g. 'Aarav Mehta-IndiGo').</t>
  </si>
  <si>
    <t>Q27. Find the earliest and latest FlightDate in the dataset, displayed as a single text string like 'Jan-2025 to Dec-2025'.</t>
  </si>
  <si>
    <t>done in right side</t>
  </si>
  <si>
    <t>ans9</t>
  </si>
  <si>
    <t>ans10</t>
  </si>
  <si>
    <t>ref ans12</t>
  </si>
  <si>
    <t>delay filter</t>
  </si>
  <si>
    <t>ref ans15</t>
  </si>
  <si>
    <t>year</t>
  </si>
  <si>
    <t>quarter</t>
  </si>
  <si>
    <t>o-d</t>
  </si>
  <si>
    <t>ans19</t>
  </si>
  <si>
    <t>ref ans27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</si>
</sst>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b/>
      <sz val="14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4" fillId="0" borderId="0" xfId="0" applyFont="1"/>
    <xf numFmtId="0" fontId="3" fillId="2" borderId="0" xfId="0" applyFont="1" applyFill="1"/>
    <xf numFmtId="0" fontId="2" fillId="2" borderId="0" xfId="0" applyFont="1" applyFill="1"/>
    <xf numFmtId="9" fontId="1" fillId="0" borderId="0" xfId="1"/>
    <xf numFmtId="1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6"/>
  <sheetViews>
    <sheetView zoomScaleNormal="100" workbookViewId="0">
      <pane ySplit="1" topLeftCell="A101" activePane="bottomLeft" state="frozen"/>
      <selection pane="bottomLeft" activeCell="G20" sqref="G20"/>
    </sheetView>
  </sheetViews>
  <sheetFormatPr defaultColWidth="8.6640625" defaultRowHeight="14.4" x14ac:dyDescent="0.3"/>
  <cols>
    <col min="1" max="1" width="11" customWidth="1"/>
    <col min="2" max="2" width="11.88671875" bestFit="1" customWidth="1"/>
    <col min="3" max="3" width="12.21875" bestFit="1" customWidth="1"/>
    <col min="4" max="4" width="9.21875" bestFit="1" customWidth="1"/>
    <col min="5" max="5" width="12" customWidth="1"/>
    <col min="6" max="6" width="7.6640625" bestFit="1" customWidth="1"/>
    <col min="7" max="7" width="16.33203125" bestFit="1" customWidth="1"/>
    <col min="8" max="8" width="9" bestFit="1" customWidth="1"/>
    <col min="9" max="9" width="14.33203125" bestFit="1" customWidth="1"/>
    <col min="10" max="10" width="8.88671875" bestFit="1" customWidth="1"/>
    <col min="12" max="12" width="11.33203125" bestFit="1" customWidth="1"/>
    <col min="15" max="15" width="17.21875" bestFit="1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4" t="s">
        <v>76</v>
      </c>
      <c r="M1" s="4" t="s">
        <v>78</v>
      </c>
      <c r="N1" s="4" t="s">
        <v>79</v>
      </c>
      <c r="O1" s="4" t="s">
        <v>80</v>
      </c>
    </row>
    <row r="2" spans="1:15" x14ac:dyDescent="0.3">
      <c r="A2">
        <v>7000</v>
      </c>
      <c r="B2" s="1">
        <v>45785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5001.29</v>
      </c>
      <c r="I2">
        <v>0</v>
      </c>
      <c r="J2" t="s">
        <v>15</v>
      </c>
      <c r="L2" t="str">
        <f>IF(J2="Delayed","yes","")</f>
        <v/>
      </c>
      <c r="M2">
        <f>YEAR(B2)</f>
        <v>2025</v>
      </c>
      <c r="N2">
        <f>ROUNDUP(MONTH(B2)/3,0)</f>
        <v>2</v>
      </c>
      <c r="O2" t="str">
        <f>_xlfn.TEXTJOIN("-",,D2,E2)</f>
        <v>Mumbai-Delhi</v>
      </c>
    </row>
    <row r="3" spans="1:15" x14ac:dyDescent="0.3">
      <c r="A3">
        <v>7001</v>
      </c>
      <c r="B3" s="1">
        <v>45933</v>
      </c>
      <c r="C3" t="s">
        <v>16</v>
      </c>
      <c r="D3" t="s">
        <v>12</v>
      </c>
      <c r="E3" t="s">
        <v>17</v>
      </c>
      <c r="F3" t="s">
        <v>18</v>
      </c>
      <c r="G3" t="s">
        <v>19</v>
      </c>
      <c r="H3">
        <v>13706.22</v>
      </c>
      <c r="I3">
        <v>0</v>
      </c>
      <c r="J3" t="s">
        <v>15</v>
      </c>
      <c r="L3" t="str">
        <f t="shared" ref="L3:L66" si="0">IF(J3="Delayed","yes","")</f>
        <v/>
      </c>
      <c r="M3">
        <f t="shared" ref="M3:M66" si="1">YEAR(B3)</f>
        <v>2025</v>
      </c>
      <c r="N3">
        <f t="shared" ref="N3:N66" si="2">ROUNDUP(MONTH(B3)/3,0)</f>
        <v>4</v>
      </c>
      <c r="O3" t="str">
        <f t="shared" ref="O3:O66" si="3">_xlfn.TEXTJOIN("-",,D3,E3)</f>
        <v>Delhi-Goa</v>
      </c>
    </row>
    <row r="4" spans="1:15" x14ac:dyDescent="0.3">
      <c r="A4">
        <v>7002</v>
      </c>
      <c r="B4" s="1">
        <v>45768</v>
      </c>
      <c r="C4" t="s">
        <v>20</v>
      </c>
      <c r="D4" t="s">
        <v>21</v>
      </c>
      <c r="E4" t="s">
        <v>12</v>
      </c>
      <c r="F4" t="s">
        <v>22</v>
      </c>
      <c r="G4" t="s">
        <v>23</v>
      </c>
      <c r="H4">
        <v>4646.26</v>
      </c>
      <c r="I4">
        <v>0</v>
      </c>
      <c r="J4" t="s">
        <v>15</v>
      </c>
      <c r="L4" t="str">
        <f t="shared" si="0"/>
        <v/>
      </c>
      <c r="M4">
        <f t="shared" si="1"/>
        <v>2025</v>
      </c>
      <c r="N4">
        <f t="shared" si="2"/>
        <v>2</v>
      </c>
      <c r="O4" t="str">
        <f t="shared" si="3"/>
        <v>Kolkata-Delhi</v>
      </c>
    </row>
    <row r="5" spans="1:15" x14ac:dyDescent="0.3">
      <c r="A5">
        <v>7003</v>
      </c>
      <c r="B5" s="1">
        <v>45749</v>
      </c>
      <c r="C5" t="s">
        <v>24</v>
      </c>
      <c r="D5" t="s">
        <v>11</v>
      </c>
      <c r="E5" t="s">
        <v>12</v>
      </c>
      <c r="F5" t="s">
        <v>18</v>
      </c>
      <c r="G5" t="s">
        <v>19</v>
      </c>
      <c r="H5">
        <v>11522.54</v>
      </c>
      <c r="I5">
        <v>0</v>
      </c>
      <c r="J5" t="s">
        <v>15</v>
      </c>
      <c r="L5" t="str">
        <f t="shared" si="0"/>
        <v/>
      </c>
      <c r="M5">
        <f t="shared" si="1"/>
        <v>2025</v>
      </c>
      <c r="N5">
        <f t="shared" si="2"/>
        <v>2</v>
      </c>
      <c r="O5" t="str">
        <f t="shared" si="3"/>
        <v>Mumbai-Delhi</v>
      </c>
    </row>
    <row r="6" spans="1:15" x14ac:dyDescent="0.3">
      <c r="A6">
        <v>7004</v>
      </c>
      <c r="B6" s="1">
        <v>45702</v>
      </c>
      <c r="C6" t="s">
        <v>25</v>
      </c>
      <c r="D6" t="s">
        <v>26</v>
      </c>
      <c r="E6" t="s">
        <v>27</v>
      </c>
      <c r="F6" t="s">
        <v>22</v>
      </c>
      <c r="G6" t="s">
        <v>23</v>
      </c>
      <c r="H6">
        <v>4870.82</v>
      </c>
      <c r="I6">
        <v>150</v>
      </c>
      <c r="J6" t="s">
        <v>28</v>
      </c>
      <c r="L6" t="str">
        <f t="shared" si="0"/>
        <v>yes</v>
      </c>
      <c r="M6">
        <f t="shared" si="1"/>
        <v>2025</v>
      </c>
      <c r="N6">
        <f t="shared" si="2"/>
        <v>1</v>
      </c>
      <c r="O6" t="str">
        <f t="shared" si="3"/>
        <v>Chennai-Hyderabad</v>
      </c>
    </row>
    <row r="7" spans="1:15" x14ac:dyDescent="0.3">
      <c r="A7">
        <v>7005</v>
      </c>
      <c r="B7" s="1">
        <v>45762</v>
      </c>
      <c r="C7" t="s">
        <v>29</v>
      </c>
      <c r="D7" t="s">
        <v>11</v>
      </c>
      <c r="E7" t="s">
        <v>12</v>
      </c>
      <c r="F7" t="s">
        <v>18</v>
      </c>
      <c r="G7" t="s">
        <v>23</v>
      </c>
      <c r="H7">
        <v>2526.67</v>
      </c>
      <c r="I7">
        <v>0</v>
      </c>
      <c r="J7" t="s">
        <v>15</v>
      </c>
      <c r="L7" t="str">
        <f t="shared" si="0"/>
        <v/>
      </c>
      <c r="M7">
        <f t="shared" si="1"/>
        <v>2025</v>
      </c>
      <c r="N7">
        <f t="shared" si="2"/>
        <v>2</v>
      </c>
      <c r="O7" t="str">
        <f t="shared" si="3"/>
        <v>Mumbai-Delhi</v>
      </c>
    </row>
    <row r="8" spans="1:15" x14ac:dyDescent="0.3">
      <c r="A8">
        <v>7006</v>
      </c>
      <c r="B8" s="1">
        <v>45894</v>
      </c>
      <c r="C8" t="s">
        <v>30</v>
      </c>
      <c r="D8" t="s">
        <v>12</v>
      </c>
      <c r="E8" t="s">
        <v>31</v>
      </c>
      <c r="F8" t="s">
        <v>22</v>
      </c>
      <c r="G8" t="s">
        <v>14</v>
      </c>
      <c r="H8">
        <v>5109.25</v>
      </c>
      <c r="I8">
        <v>0</v>
      </c>
      <c r="J8" t="s">
        <v>15</v>
      </c>
      <c r="L8" t="str">
        <f t="shared" si="0"/>
        <v/>
      </c>
      <c r="M8">
        <f t="shared" si="1"/>
        <v>2025</v>
      </c>
      <c r="N8">
        <f t="shared" si="2"/>
        <v>3</v>
      </c>
      <c r="O8" t="str">
        <f t="shared" si="3"/>
        <v>Delhi-Bangalore</v>
      </c>
    </row>
    <row r="9" spans="1:15" x14ac:dyDescent="0.3">
      <c r="A9">
        <v>7007</v>
      </c>
      <c r="B9" s="1">
        <v>45884</v>
      </c>
      <c r="C9" t="s">
        <v>32</v>
      </c>
      <c r="D9" t="s">
        <v>11</v>
      </c>
      <c r="E9" t="s">
        <v>26</v>
      </c>
      <c r="F9" t="s">
        <v>33</v>
      </c>
      <c r="G9" t="s">
        <v>23</v>
      </c>
      <c r="H9">
        <v>5003.01</v>
      </c>
      <c r="I9">
        <v>0</v>
      </c>
      <c r="J9" t="s">
        <v>34</v>
      </c>
      <c r="L9" t="str">
        <f t="shared" si="0"/>
        <v/>
      </c>
      <c r="M9">
        <f t="shared" si="1"/>
        <v>2025</v>
      </c>
      <c r="N9">
        <f t="shared" si="2"/>
        <v>3</v>
      </c>
      <c r="O9" t="str">
        <f t="shared" si="3"/>
        <v>Mumbai-Chennai</v>
      </c>
    </row>
    <row r="10" spans="1:15" x14ac:dyDescent="0.3">
      <c r="A10">
        <v>7008</v>
      </c>
      <c r="B10" s="1">
        <v>46008</v>
      </c>
      <c r="C10" t="s">
        <v>24</v>
      </c>
      <c r="D10" t="s">
        <v>11</v>
      </c>
      <c r="E10" t="s">
        <v>26</v>
      </c>
      <c r="F10" t="s">
        <v>35</v>
      </c>
      <c r="G10" t="s">
        <v>23</v>
      </c>
      <c r="H10">
        <v>3099.16</v>
      </c>
      <c r="I10">
        <v>0</v>
      </c>
      <c r="J10" t="s">
        <v>15</v>
      </c>
      <c r="L10" t="str">
        <f t="shared" si="0"/>
        <v/>
      </c>
      <c r="M10">
        <f t="shared" si="1"/>
        <v>2025</v>
      </c>
      <c r="N10">
        <f t="shared" si="2"/>
        <v>4</v>
      </c>
      <c r="O10" t="str">
        <f t="shared" si="3"/>
        <v>Mumbai-Chennai</v>
      </c>
    </row>
    <row r="11" spans="1:15" x14ac:dyDescent="0.3">
      <c r="A11">
        <v>7009</v>
      </c>
      <c r="B11" s="1">
        <v>45974</v>
      </c>
      <c r="C11" t="s">
        <v>30</v>
      </c>
      <c r="D11" t="s">
        <v>12</v>
      </c>
      <c r="E11" t="s">
        <v>31</v>
      </c>
      <c r="F11" t="s">
        <v>35</v>
      </c>
      <c r="G11" t="s">
        <v>14</v>
      </c>
      <c r="H11">
        <v>4800.3</v>
      </c>
      <c r="I11">
        <v>0</v>
      </c>
      <c r="J11" t="s">
        <v>15</v>
      </c>
      <c r="L11" t="str">
        <f t="shared" si="0"/>
        <v/>
      </c>
      <c r="M11">
        <f t="shared" si="1"/>
        <v>2025</v>
      </c>
      <c r="N11">
        <f t="shared" si="2"/>
        <v>4</v>
      </c>
      <c r="O11" t="str">
        <f t="shared" si="3"/>
        <v>Delhi-Bangalore</v>
      </c>
    </row>
    <row r="12" spans="1:15" x14ac:dyDescent="0.3">
      <c r="A12">
        <v>7010</v>
      </c>
      <c r="B12" s="1">
        <v>45686</v>
      </c>
      <c r="C12" t="s">
        <v>36</v>
      </c>
      <c r="D12" t="s">
        <v>26</v>
      </c>
      <c r="E12" t="s">
        <v>27</v>
      </c>
      <c r="F12" t="s">
        <v>33</v>
      </c>
      <c r="G12" t="s">
        <v>23</v>
      </c>
      <c r="H12">
        <v>3202.78</v>
      </c>
      <c r="I12">
        <v>0</v>
      </c>
      <c r="J12" t="s">
        <v>15</v>
      </c>
      <c r="L12" t="str">
        <f t="shared" si="0"/>
        <v/>
      </c>
      <c r="M12">
        <f t="shared" si="1"/>
        <v>2025</v>
      </c>
      <c r="N12">
        <f t="shared" si="2"/>
        <v>1</v>
      </c>
      <c r="O12" t="str">
        <f t="shared" si="3"/>
        <v>Chennai-Hyderabad</v>
      </c>
    </row>
    <row r="13" spans="1:15" x14ac:dyDescent="0.3">
      <c r="A13">
        <v>7011</v>
      </c>
      <c r="B13" s="1">
        <v>45722</v>
      </c>
      <c r="C13" t="s">
        <v>29</v>
      </c>
      <c r="D13" t="s">
        <v>21</v>
      </c>
      <c r="E13" t="s">
        <v>12</v>
      </c>
      <c r="F13" t="s">
        <v>35</v>
      </c>
      <c r="G13" t="s">
        <v>14</v>
      </c>
      <c r="H13">
        <v>8620.75</v>
      </c>
      <c r="I13">
        <v>0</v>
      </c>
      <c r="J13" t="s">
        <v>15</v>
      </c>
      <c r="L13" t="str">
        <f t="shared" si="0"/>
        <v/>
      </c>
      <c r="M13">
        <f t="shared" si="1"/>
        <v>2025</v>
      </c>
      <c r="N13">
        <f t="shared" si="2"/>
        <v>1</v>
      </c>
      <c r="O13" t="str">
        <f t="shared" si="3"/>
        <v>Kolkata-Delhi</v>
      </c>
    </row>
    <row r="14" spans="1:15" x14ac:dyDescent="0.3">
      <c r="A14">
        <v>7012</v>
      </c>
      <c r="B14" s="1">
        <v>45735</v>
      </c>
      <c r="C14" t="s">
        <v>32</v>
      </c>
      <c r="D14" t="s">
        <v>12</v>
      </c>
      <c r="E14" t="s">
        <v>11</v>
      </c>
      <c r="F14" t="s">
        <v>35</v>
      </c>
      <c r="G14" t="s">
        <v>23</v>
      </c>
      <c r="H14">
        <v>5226.3</v>
      </c>
      <c r="I14">
        <v>168</v>
      </c>
      <c r="J14" t="s">
        <v>28</v>
      </c>
      <c r="L14" t="str">
        <f t="shared" si="0"/>
        <v>yes</v>
      </c>
      <c r="M14">
        <f t="shared" si="1"/>
        <v>2025</v>
      </c>
      <c r="N14">
        <f t="shared" si="2"/>
        <v>1</v>
      </c>
      <c r="O14" t="str">
        <f t="shared" si="3"/>
        <v>Delhi-Mumbai</v>
      </c>
    </row>
    <row r="15" spans="1:15" x14ac:dyDescent="0.3">
      <c r="A15">
        <v>7013</v>
      </c>
      <c r="B15" s="1">
        <v>45748</v>
      </c>
      <c r="C15" t="s">
        <v>37</v>
      </c>
      <c r="D15" t="s">
        <v>12</v>
      </c>
      <c r="E15" t="s">
        <v>31</v>
      </c>
      <c r="F15" t="s">
        <v>33</v>
      </c>
      <c r="G15" t="s">
        <v>23</v>
      </c>
      <c r="H15">
        <v>3535.91</v>
      </c>
      <c r="I15">
        <v>0</v>
      </c>
      <c r="J15" t="s">
        <v>15</v>
      </c>
      <c r="L15" t="str">
        <f t="shared" si="0"/>
        <v/>
      </c>
      <c r="M15">
        <f t="shared" si="1"/>
        <v>2025</v>
      </c>
      <c r="N15">
        <f t="shared" si="2"/>
        <v>2</v>
      </c>
      <c r="O15" t="str">
        <f t="shared" si="3"/>
        <v>Delhi-Bangalore</v>
      </c>
    </row>
    <row r="16" spans="1:15" x14ac:dyDescent="0.3">
      <c r="A16">
        <v>7014</v>
      </c>
      <c r="B16" s="1">
        <v>45777</v>
      </c>
      <c r="C16" t="s">
        <v>24</v>
      </c>
      <c r="D16" t="s">
        <v>31</v>
      </c>
      <c r="E16" t="s">
        <v>21</v>
      </c>
      <c r="F16" t="s">
        <v>22</v>
      </c>
      <c r="G16" t="s">
        <v>19</v>
      </c>
      <c r="H16">
        <v>11891.51</v>
      </c>
      <c r="I16">
        <v>0</v>
      </c>
      <c r="J16" t="s">
        <v>15</v>
      </c>
      <c r="L16" t="str">
        <f t="shared" si="0"/>
        <v/>
      </c>
      <c r="M16">
        <f t="shared" si="1"/>
        <v>2025</v>
      </c>
      <c r="N16">
        <f t="shared" si="2"/>
        <v>2</v>
      </c>
      <c r="O16" t="str">
        <f t="shared" si="3"/>
        <v>Bangalore-Kolkata</v>
      </c>
    </row>
    <row r="17" spans="1:15" x14ac:dyDescent="0.3">
      <c r="A17">
        <v>7015</v>
      </c>
      <c r="B17" s="1">
        <v>45805</v>
      </c>
      <c r="C17" t="s">
        <v>30</v>
      </c>
      <c r="D17" t="s">
        <v>12</v>
      </c>
      <c r="E17" t="s">
        <v>31</v>
      </c>
      <c r="F17" t="s">
        <v>18</v>
      </c>
      <c r="G17" t="s">
        <v>14</v>
      </c>
      <c r="H17">
        <v>4405.38</v>
      </c>
      <c r="I17">
        <v>0</v>
      </c>
      <c r="J17" t="s">
        <v>15</v>
      </c>
      <c r="L17" t="str">
        <f t="shared" si="0"/>
        <v/>
      </c>
      <c r="M17">
        <f t="shared" si="1"/>
        <v>2025</v>
      </c>
      <c r="N17">
        <f t="shared" si="2"/>
        <v>2</v>
      </c>
      <c r="O17" t="str">
        <f t="shared" si="3"/>
        <v>Delhi-Bangalore</v>
      </c>
    </row>
    <row r="18" spans="1:15" x14ac:dyDescent="0.3">
      <c r="A18">
        <v>7016</v>
      </c>
      <c r="B18" s="1">
        <v>45862</v>
      </c>
      <c r="C18" t="s">
        <v>37</v>
      </c>
      <c r="D18" t="s">
        <v>12</v>
      </c>
      <c r="E18" t="s">
        <v>11</v>
      </c>
      <c r="F18" t="s">
        <v>35</v>
      </c>
      <c r="G18" t="s">
        <v>14</v>
      </c>
      <c r="H18">
        <v>6234.96</v>
      </c>
      <c r="I18">
        <v>0</v>
      </c>
      <c r="J18" t="s">
        <v>15</v>
      </c>
      <c r="L18" t="str">
        <f t="shared" si="0"/>
        <v/>
      </c>
      <c r="M18">
        <f t="shared" si="1"/>
        <v>2025</v>
      </c>
      <c r="N18">
        <f t="shared" si="2"/>
        <v>3</v>
      </c>
      <c r="O18" t="str">
        <f t="shared" si="3"/>
        <v>Delhi-Mumbai</v>
      </c>
    </row>
    <row r="19" spans="1:15" x14ac:dyDescent="0.3">
      <c r="A19">
        <v>7017</v>
      </c>
      <c r="B19" s="1">
        <v>45848</v>
      </c>
      <c r="C19" t="s">
        <v>38</v>
      </c>
      <c r="D19" t="s">
        <v>26</v>
      </c>
      <c r="E19" t="s">
        <v>27</v>
      </c>
      <c r="F19" t="s">
        <v>35</v>
      </c>
      <c r="G19" t="s">
        <v>19</v>
      </c>
      <c r="H19">
        <v>15619.77</v>
      </c>
      <c r="I19">
        <v>0</v>
      </c>
      <c r="J19" t="s">
        <v>15</v>
      </c>
      <c r="L19" t="str">
        <f t="shared" si="0"/>
        <v/>
      </c>
      <c r="M19">
        <f t="shared" si="1"/>
        <v>2025</v>
      </c>
      <c r="N19">
        <f t="shared" si="2"/>
        <v>3</v>
      </c>
      <c r="O19" t="str">
        <f t="shared" si="3"/>
        <v>Chennai-Hyderabad</v>
      </c>
    </row>
    <row r="20" spans="1:15" x14ac:dyDescent="0.3">
      <c r="A20">
        <v>7018</v>
      </c>
      <c r="B20" s="1">
        <v>45992</v>
      </c>
      <c r="C20" t="s">
        <v>38</v>
      </c>
      <c r="D20" t="s">
        <v>21</v>
      </c>
      <c r="E20" t="s">
        <v>12</v>
      </c>
      <c r="F20" t="s">
        <v>22</v>
      </c>
      <c r="G20" t="s">
        <v>23</v>
      </c>
      <c r="H20">
        <v>4790.17</v>
      </c>
      <c r="I20">
        <v>0</v>
      </c>
      <c r="J20" t="s">
        <v>15</v>
      </c>
      <c r="L20" t="str">
        <f t="shared" si="0"/>
        <v/>
      </c>
      <c r="M20">
        <f t="shared" si="1"/>
        <v>2025</v>
      </c>
      <c r="N20">
        <f t="shared" si="2"/>
        <v>4</v>
      </c>
      <c r="O20" t="str">
        <f t="shared" si="3"/>
        <v>Kolkata-Delhi</v>
      </c>
    </row>
    <row r="21" spans="1:15" x14ac:dyDescent="0.3">
      <c r="A21">
        <v>7019</v>
      </c>
      <c r="B21" s="1">
        <v>46022</v>
      </c>
      <c r="C21" t="s">
        <v>36</v>
      </c>
      <c r="D21" t="s">
        <v>12</v>
      </c>
      <c r="E21" t="s">
        <v>31</v>
      </c>
      <c r="F21" t="s">
        <v>33</v>
      </c>
      <c r="G21" t="s">
        <v>19</v>
      </c>
      <c r="H21">
        <v>14487.13</v>
      </c>
      <c r="I21">
        <v>70</v>
      </c>
      <c r="J21" t="s">
        <v>28</v>
      </c>
      <c r="L21" t="str">
        <f t="shared" si="0"/>
        <v>yes</v>
      </c>
      <c r="M21">
        <f t="shared" si="1"/>
        <v>2025</v>
      </c>
      <c r="N21">
        <f t="shared" si="2"/>
        <v>4</v>
      </c>
      <c r="O21" t="str">
        <f t="shared" si="3"/>
        <v>Delhi-Bangalore</v>
      </c>
    </row>
    <row r="22" spans="1:15" x14ac:dyDescent="0.3">
      <c r="A22">
        <v>7020</v>
      </c>
      <c r="B22" s="1">
        <v>45882</v>
      </c>
      <c r="C22" t="s">
        <v>37</v>
      </c>
      <c r="D22" t="s">
        <v>11</v>
      </c>
      <c r="E22" t="s">
        <v>12</v>
      </c>
      <c r="F22" t="s">
        <v>22</v>
      </c>
      <c r="G22" t="s">
        <v>14</v>
      </c>
      <c r="H22">
        <v>9370.91</v>
      </c>
      <c r="I22">
        <v>0</v>
      </c>
      <c r="J22" t="s">
        <v>15</v>
      </c>
      <c r="L22" t="str">
        <f t="shared" si="0"/>
        <v/>
      </c>
      <c r="M22">
        <f t="shared" si="1"/>
        <v>2025</v>
      </c>
      <c r="N22">
        <f t="shared" si="2"/>
        <v>3</v>
      </c>
      <c r="O22" t="str">
        <f t="shared" si="3"/>
        <v>Mumbai-Delhi</v>
      </c>
    </row>
    <row r="23" spans="1:15" x14ac:dyDescent="0.3">
      <c r="A23">
        <v>7021</v>
      </c>
      <c r="B23" s="1">
        <v>45822</v>
      </c>
      <c r="C23" t="s">
        <v>20</v>
      </c>
      <c r="D23" t="s">
        <v>12</v>
      </c>
      <c r="E23" t="s">
        <v>31</v>
      </c>
      <c r="F23" t="s">
        <v>35</v>
      </c>
      <c r="G23" t="s">
        <v>19</v>
      </c>
      <c r="H23">
        <v>13711.12</v>
      </c>
      <c r="I23">
        <v>0</v>
      </c>
      <c r="J23" t="s">
        <v>15</v>
      </c>
      <c r="L23" t="str">
        <f t="shared" si="0"/>
        <v/>
      </c>
      <c r="M23">
        <f t="shared" si="1"/>
        <v>2025</v>
      </c>
      <c r="N23">
        <f t="shared" si="2"/>
        <v>2</v>
      </c>
      <c r="O23" t="str">
        <f t="shared" si="3"/>
        <v>Delhi-Bangalore</v>
      </c>
    </row>
    <row r="24" spans="1:15" x14ac:dyDescent="0.3">
      <c r="A24">
        <v>7022</v>
      </c>
      <c r="B24" s="1">
        <v>45995</v>
      </c>
      <c r="C24" t="s">
        <v>24</v>
      </c>
      <c r="D24" t="s">
        <v>11</v>
      </c>
      <c r="E24" t="s">
        <v>26</v>
      </c>
      <c r="F24" t="s">
        <v>18</v>
      </c>
      <c r="G24" t="s">
        <v>14</v>
      </c>
      <c r="H24">
        <v>5628.94</v>
      </c>
      <c r="I24">
        <v>0</v>
      </c>
      <c r="J24" t="s">
        <v>15</v>
      </c>
      <c r="L24" t="str">
        <f t="shared" si="0"/>
        <v/>
      </c>
      <c r="M24">
        <f t="shared" si="1"/>
        <v>2025</v>
      </c>
      <c r="N24">
        <f t="shared" si="2"/>
        <v>4</v>
      </c>
      <c r="O24" t="str">
        <f t="shared" si="3"/>
        <v>Mumbai-Chennai</v>
      </c>
    </row>
    <row r="25" spans="1:15" x14ac:dyDescent="0.3">
      <c r="A25">
        <v>7023</v>
      </c>
      <c r="B25" s="1">
        <v>45974</v>
      </c>
      <c r="C25" t="s">
        <v>36</v>
      </c>
      <c r="D25" t="s">
        <v>11</v>
      </c>
      <c r="E25" t="s">
        <v>26</v>
      </c>
      <c r="F25" t="s">
        <v>35</v>
      </c>
      <c r="G25" t="s">
        <v>14</v>
      </c>
      <c r="H25">
        <v>7798.76</v>
      </c>
      <c r="I25">
        <v>0</v>
      </c>
      <c r="J25" t="s">
        <v>15</v>
      </c>
      <c r="L25" t="str">
        <f t="shared" si="0"/>
        <v/>
      </c>
      <c r="M25">
        <f t="shared" si="1"/>
        <v>2025</v>
      </c>
      <c r="N25">
        <f t="shared" si="2"/>
        <v>4</v>
      </c>
      <c r="O25" t="str">
        <f t="shared" si="3"/>
        <v>Mumbai-Chennai</v>
      </c>
    </row>
    <row r="26" spans="1:15" x14ac:dyDescent="0.3">
      <c r="A26">
        <v>7024</v>
      </c>
      <c r="B26" s="1">
        <v>45660</v>
      </c>
      <c r="C26" t="s">
        <v>36</v>
      </c>
      <c r="D26" t="s">
        <v>31</v>
      </c>
      <c r="E26" t="s">
        <v>21</v>
      </c>
      <c r="F26" t="s">
        <v>22</v>
      </c>
      <c r="G26" t="s">
        <v>14</v>
      </c>
      <c r="H26">
        <v>5106.88</v>
      </c>
      <c r="I26">
        <v>0</v>
      </c>
      <c r="J26" t="s">
        <v>15</v>
      </c>
      <c r="L26" t="str">
        <f t="shared" si="0"/>
        <v/>
      </c>
      <c r="M26">
        <f t="shared" si="1"/>
        <v>2025</v>
      </c>
      <c r="N26">
        <f t="shared" si="2"/>
        <v>1</v>
      </c>
      <c r="O26" t="str">
        <f t="shared" si="3"/>
        <v>Bangalore-Kolkata</v>
      </c>
    </row>
    <row r="27" spans="1:15" x14ac:dyDescent="0.3">
      <c r="A27">
        <v>7025</v>
      </c>
      <c r="B27" s="1">
        <v>45791</v>
      </c>
      <c r="C27" t="s">
        <v>36</v>
      </c>
      <c r="D27" t="s">
        <v>12</v>
      </c>
      <c r="E27" t="s">
        <v>17</v>
      </c>
      <c r="F27" t="s">
        <v>35</v>
      </c>
      <c r="G27" t="s">
        <v>23</v>
      </c>
      <c r="H27">
        <v>5263.22</v>
      </c>
      <c r="I27">
        <v>58</v>
      </c>
      <c r="J27" t="s">
        <v>28</v>
      </c>
      <c r="L27" t="str">
        <f t="shared" si="0"/>
        <v>yes</v>
      </c>
      <c r="M27">
        <f t="shared" si="1"/>
        <v>2025</v>
      </c>
      <c r="N27">
        <f t="shared" si="2"/>
        <v>2</v>
      </c>
      <c r="O27" t="str">
        <f t="shared" si="3"/>
        <v>Delhi-Goa</v>
      </c>
    </row>
    <row r="28" spans="1:15" x14ac:dyDescent="0.3">
      <c r="A28">
        <v>7026</v>
      </c>
      <c r="B28" s="1">
        <v>45659</v>
      </c>
      <c r="C28" t="s">
        <v>16</v>
      </c>
      <c r="D28" t="s">
        <v>31</v>
      </c>
      <c r="E28" t="s">
        <v>21</v>
      </c>
      <c r="F28" t="s">
        <v>18</v>
      </c>
      <c r="G28" t="s">
        <v>14</v>
      </c>
      <c r="H28">
        <v>7676.72</v>
      </c>
      <c r="I28">
        <v>103</v>
      </c>
      <c r="J28" t="s">
        <v>28</v>
      </c>
      <c r="L28" t="str">
        <f t="shared" si="0"/>
        <v>yes</v>
      </c>
      <c r="M28">
        <f t="shared" si="1"/>
        <v>2025</v>
      </c>
      <c r="N28">
        <f t="shared" si="2"/>
        <v>1</v>
      </c>
      <c r="O28" t="str">
        <f t="shared" si="3"/>
        <v>Bangalore-Kolkata</v>
      </c>
    </row>
    <row r="29" spans="1:15" x14ac:dyDescent="0.3">
      <c r="A29">
        <v>7027</v>
      </c>
      <c r="B29" s="1">
        <v>45743</v>
      </c>
      <c r="C29" t="s">
        <v>39</v>
      </c>
      <c r="D29" t="s">
        <v>31</v>
      </c>
      <c r="E29" t="s">
        <v>21</v>
      </c>
      <c r="F29" t="s">
        <v>35</v>
      </c>
      <c r="G29" t="s">
        <v>23</v>
      </c>
      <c r="H29">
        <v>5824.66</v>
      </c>
      <c r="I29">
        <v>0</v>
      </c>
      <c r="J29" t="s">
        <v>15</v>
      </c>
      <c r="L29" t="str">
        <f t="shared" si="0"/>
        <v/>
      </c>
      <c r="M29">
        <f t="shared" si="1"/>
        <v>2025</v>
      </c>
      <c r="N29">
        <f t="shared" si="2"/>
        <v>1</v>
      </c>
      <c r="O29" t="str">
        <f t="shared" si="3"/>
        <v>Bangalore-Kolkata</v>
      </c>
    </row>
    <row r="30" spans="1:15" x14ac:dyDescent="0.3">
      <c r="A30">
        <v>7028</v>
      </c>
      <c r="B30" s="1">
        <v>45929</v>
      </c>
      <c r="C30" t="s">
        <v>36</v>
      </c>
      <c r="D30" t="s">
        <v>31</v>
      </c>
      <c r="E30" t="s">
        <v>21</v>
      </c>
      <c r="F30" t="s">
        <v>18</v>
      </c>
      <c r="G30" t="s">
        <v>14</v>
      </c>
      <c r="H30">
        <v>6620.94</v>
      </c>
      <c r="I30">
        <v>121</v>
      </c>
      <c r="J30" t="s">
        <v>28</v>
      </c>
      <c r="L30" t="str">
        <f t="shared" si="0"/>
        <v>yes</v>
      </c>
      <c r="M30">
        <f t="shared" si="1"/>
        <v>2025</v>
      </c>
      <c r="N30">
        <f t="shared" si="2"/>
        <v>3</v>
      </c>
      <c r="O30" t="str">
        <f t="shared" si="3"/>
        <v>Bangalore-Kolkata</v>
      </c>
    </row>
    <row r="31" spans="1:15" x14ac:dyDescent="0.3">
      <c r="A31">
        <v>7029</v>
      </c>
      <c r="B31" s="1">
        <v>45696</v>
      </c>
      <c r="C31" t="s">
        <v>32</v>
      </c>
      <c r="D31" t="s">
        <v>12</v>
      </c>
      <c r="E31" t="s">
        <v>17</v>
      </c>
      <c r="F31" t="s">
        <v>13</v>
      </c>
      <c r="G31" t="s">
        <v>23</v>
      </c>
      <c r="H31">
        <v>5322.32</v>
      </c>
      <c r="I31">
        <v>41</v>
      </c>
      <c r="J31" t="s">
        <v>28</v>
      </c>
      <c r="L31" t="str">
        <f t="shared" si="0"/>
        <v>yes</v>
      </c>
      <c r="M31">
        <f t="shared" si="1"/>
        <v>2025</v>
      </c>
      <c r="N31">
        <f t="shared" si="2"/>
        <v>1</v>
      </c>
      <c r="O31" t="str">
        <f t="shared" si="3"/>
        <v>Delhi-Goa</v>
      </c>
    </row>
    <row r="32" spans="1:15" x14ac:dyDescent="0.3">
      <c r="A32">
        <v>7030</v>
      </c>
      <c r="B32" s="1">
        <v>45978</v>
      </c>
      <c r="C32" t="s">
        <v>38</v>
      </c>
      <c r="D32" t="s">
        <v>12</v>
      </c>
      <c r="E32" t="s">
        <v>11</v>
      </c>
      <c r="F32" t="s">
        <v>18</v>
      </c>
      <c r="G32" t="s">
        <v>14</v>
      </c>
      <c r="H32">
        <v>9436.5400000000009</v>
      </c>
      <c r="I32">
        <v>0</v>
      </c>
      <c r="J32" t="s">
        <v>15</v>
      </c>
      <c r="L32" t="str">
        <f t="shared" si="0"/>
        <v/>
      </c>
      <c r="M32">
        <f t="shared" si="1"/>
        <v>2025</v>
      </c>
      <c r="N32">
        <f t="shared" si="2"/>
        <v>4</v>
      </c>
      <c r="O32" t="str">
        <f t="shared" si="3"/>
        <v>Delhi-Mumbai</v>
      </c>
    </row>
    <row r="33" spans="1:15" x14ac:dyDescent="0.3">
      <c r="A33">
        <v>7031</v>
      </c>
      <c r="B33" s="1">
        <v>45746</v>
      </c>
      <c r="C33" t="s">
        <v>40</v>
      </c>
      <c r="D33" t="s">
        <v>12</v>
      </c>
      <c r="E33" t="s">
        <v>17</v>
      </c>
      <c r="F33" t="s">
        <v>35</v>
      </c>
      <c r="G33" t="s">
        <v>23</v>
      </c>
      <c r="H33">
        <v>3894.56</v>
      </c>
      <c r="I33">
        <v>116</v>
      </c>
      <c r="J33" t="s">
        <v>28</v>
      </c>
      <c r="L33" t="str">
        <f t="shared" si="0"/>
        <v>yes</v>
      </c>
      <c r="M33">
        <f t="shared" si="1"/>
        <v>2025</v>
      </c>
      <c r="N33">
        <f t="shared" si="2"/>
        <v>1</v>
      </c>
      <c r="O33" t="str">
        <f t="shared" si="3"/>
        <v>Delhi-Goa</v>
      </c>
    </row>
    <row r="34" spans="1:15" x14ac:dyDescent="0.3">
      <c r="A34">
        <v>7032</v>
      </c>
      <c r="B34" s="1">
        <v>46013</v>
      </c>
      <c r="C34" t="s">
        <v>38</v>
      </c>
      <c r="D34" t="s">
        <v>26</v>
      </c>
      <c r="E34" t="s">
        <v>27</v>
      </c>
      <c r="F34" t="s">
        <v>35</v>
      </c>
      <c r="G34" t="s">
        <v>23</v>
      </c>
      <c r="H34">
        <v>5537.74</v>
      </c>
      <c r="I34">
        <v>129</v>
      </c>
      <c r="J34" t="s">
        <v>28</v>
      </c>
      <c r="L34" t="str">
        <f t="shared" si="0"/>
        <v>yes</v>
      </c>
      <c r="M34">
        <f t="shared" si="1"/>
        <v>2025</v>
      </c>
      <c r="N34">
        <f t="shared" si="2"/>
        <v>4</v>
      </c>
      <c r="O34" t="str">
        <f t="shared" si="3"/>
        <v>Chennai-Hyderabad</v>
      </c>
    </row>
    <row r="35" spans="1:15" x14ac:dyDescent="0.3">
      <c r="A35">
        <v>7033</v>
      </c>
      <c r="B35" s="1">
        <v>45786</v>
      </c>
      <c r="C35" t="s">
        <v>41</v>
      </c>
      <c r="D35" t="s">
        <v>11</v>
      </c>
      <c r="E35" t="s">
        <v>12</v>
      </c>
      <c r="F35" t="s">
        <v>22</v>
      </c>
      <c r="G35" t="s">
        <v>19</v>
      </c>
      <c r="H35">
        <v>8752.57</v>
      </c>
      <c r="I35">
        <v>0</v>
      </c>
      <c r="J35" t="s">
        <v>34</v>
      </c>
      <c r="L35" t="str">
        <f t="shared" si="0"/>
        <v/>
      </c>
      <c r="M35">
        <f t="shared" si="1"/>
        <v>2025</v>
      </c>
      <c r="N35">
        <f t="shared" si="2"/>
        <v>2</v>
      </c>
      <c r="O35" t="str">
        <f t="shared" si="3"/>
        <v>Mumbai-Delhi</v>
      </c>
    </row>
    <row r="36" spans="1:15" x14ac:dyDescent="0.3">
      <c r="A36">
        <v>7034</v>
      </c>
      <c r="B36" s="1">
        <v>45903</v>
      </c>
      <c r="C36" t="s">
        <v>32</v>
      </c>
      <c r="D36" t="s">
        <v>21</v>
      </c>
      <c r="E36" t="s">
        <v>12</v>
      </c>
      <c r="F36" t="s">
        <v>35</v>
      </c>
      <c r="G36" t="s">
        <v>19</v>
      </c>
      <c r="H36">
        <v>8799.91</v>
      </c>
      <c r="I36">
        <v>112</v>
      </c>
      <c r="J36" t="s">
        <v>28</v>
      </c>
      <c r="L36" t="str">
        <f t="shared" si="0"/>
        <v>yes</v>
      </c>
      <c r="M36">
        <f t="shared" si="1"/>
        <v>2025</v>
      </c>
      <c r="N36">
        <f t="shared" si="2"/>
        <v>3</v>
      </c>
      <c r="O36" t="str">
        <f t="shared" si="3"/>
        <v>Kolkata-Delhi</v>
      </c>
    </row>
    <row r="37" spans="1:15" x14ac:dyDescent="0.3">
      <c r="A37">
        <v>7035</v>
      </c>
      <c r="B37" s="1">
        <v>45925</v>
      </c>
      <c r="C37" t="s">
        <v>30</v>
      </c>
      <c r="D37" t="s">
        <v>11</v>
      </c>
      <c r="E37" t="s">
        <v>26</v>
      </c>
      <c r="F37" t="s">
        <v>13</v>
      </c>
      <c r="G37" t="s">
        <v>23</v>
      </c>
      <c r="H37">
        <v>5990.15</v>
      </c>
      <c r="I37">
        <v>0</v>
      </c>
      <c r="J37" t="s">
        <v>15</v>
      </c>
      <c r="L37" t="str">
        <f t="shared" si="0"/>
        <v/>
      </c>
      <c r="M37">
        <f t="shared" si="1"/>
        <v>2025</v>
      </c>
      <c r="N37">
        <f t="shared" si="2"/>
        <v>3</v>
      </c>
      <c r="O37" t="str">
        <f t="shared" si="3"/>
        <v>Mumbai-Chennai</v>
      </c>
    </row>
    <row r="38" spans="1:15" x14ac:dyDescent="0.3">
      <c r="A38">
        <v>7036</v>
      </c>
      <c r="B38" s="1">
        <v>45660</v>
      </c>
      <c r="C38" t="s">
        <v>32</v>
      </c>
      <c r="D38" t="s">
        <v>26</v>
      </c>
      <c r="E38" t="s">
        <v>27</v>
      </c>
      <c r="F38" t="s">
        <v>18</v>
      </c>
      <c r="G38" t="s">
        <v>14</v>
      </c>
      <c r="H38">
        <v>7669.02</v>
      </c>
      <c r="I38">
        <v>0</v>
      </c>
      <c r="J38" t="s">
        <v>15</v>
      </c>
      <c r="L38" t="str">
        <f t="shared" si="0"/>
        <v/>
      </c>
      <c r="M38">
        <f t="shared" si="1"/>
        <v>2025</v>
      </c>
      <c r="N38">
        <f t="shared" si="2"/>
        <v>1</v>
      </c>
      <c r="O38" t="str">
        <f t="shared" si="3"/>
        <v>Chennai-Hyderabad</v>
      </c>
    </row>
    <row r="39" spans="1:15" x14ac:dyDescent="0.3">
      <c r="A39">
        <v>7037</v>
      </c>
      <c r="B39" s="1">
        <v>45791</v>
      </c>
      <c r="C39" t="s">
        <v>10</v>
      </c>
      <c r="D39" t="s">
        <v>12</v>
      </c>
      <c r="E39" t="s">
        <v>17</v>
      </c>
      <c r="F39" t="s">
        <v>33</v>
      </c>
      <c r="G39" t="s">
        <v>19</v>
      </c>
      <c r="H39">
        <v>10127.040000000001</v>
      </c>
      <c r="I39">
        <v>0</v>
      </c>
      <c r="J39" t="s">
        <v>15</v>
      </c>
      <c r="L39" t="str">
        <f t="shared" si="0"/>
        <v/>
      </c>
      <c r="M39">
        <f t="shared" si="1"/>
        <v>2025</v>
      </c>
      <c r="N39">
        <f t="shared" si="2"/>
        <v>2</v>
      </c>
      <c r="O39" t="str">
        <f t="shared" si="3"/>
        <v>Delhi-Goa</v>
      </c>
    </row>
    <row r="40" spans="1:15" x14ac:dyDescent="0.3">
      <c r="A40">
        <v>7038</v>
      </c>
      <c r="B40" s="1">
        <v>45775</v>
      </c>
      <c r="C40" t="s">
        <v>39</v>
      </c>
      <c r="D40" t="s">
        <v>12</v>
      </c>
      <c r="E40" t="s">
        <v>11</v>
      </c>
      <c r="F40" t="s">
        <v>22</v>
      </c>
      <c r="G40" t="s">
        <v>14</v>
      </c>
      <c r="H40">
        <v>5917.38</v>
      </c>
      <c r="I40">
        <v>0</v>
      </c>
      <c r="J40" t="s">
        <v>15</v>
      </c>
      <c r="L40" t="str">
        <f t="shared" si="0"/>
        <v/>
      </c>
      <c r="M40">
        <f t="shared" si="1"/>
        <v>2025</v>
      </c>
      <c r="N40">
        <f t="shared" si="2"/>
        <v>2</v>
      </c>
      <c r="O40" t="str">
        <f t="shared" si="3"/>
        <v>Delhi-Mumbai</v>
      </c>
    </row>
    <row r="41" spans="1:15" x14ac:dyDescent="0.3">
      <c r="A41">
        <v>7039</v>
      </c>
      <c r="B41" s="1">
        <v>45775</v>
      </c>
      <c r="C41" t="s">
        <v>20</v>
      </c>
      <c r="D41" t="s">
        <v>11</v>
      </c>
      <c r="E41" t="s">
        <v>26</v>
      </c>
      <c r="F41" t="s">
        <v>33</v>
      </c>
      <c r="G41" t="s">
        <v>14</v>
      </c>
      <c r="H41">
        <v>8340.17</v>
      </c>
      <c r="I41">
        <v>0</v>
      </c>
      <c r="J41" t="s">
        <v>15</v>
      </c>
      <c r="L41" t="str">
        <f t="shared" si="0"/>
        <v/>
      </c>
      <c r="M41">
        <f t="shared" si="1"/>
        <v>2025</v>
      </c>
      <c r="N41">
        <f t="shared" si="2"/>
        <v>2</v>
      </c>
      <c r="O41" t="str">
        <f t="shared" si="3"/>
        <v>Mumbai-Chennai</v>
      </c>
    </row>
    <row r="42" spans="1:15" x14ac:dyDescent="0.3">
      <c r="A42">
        <v>7040</v>
      </c>
      <c r="B42" s="1">
        <v>45844</v>
      </c>
      <c r="C42" t="s">
        <v>16</v>
      </c>
      <c r="D42" t="s">
        <v>12</v>
      </c>
      <c r="E42" t="s">
        <v>31</v>
      </c>
      <c r="F42" t="s">
        <v>18</v>
      </c>
      <c r="G42" t="s">
        <v>14</v>
      </c>
      <c r="H42">
        <v>5542.75</v>
      </c>
      <c r="I42">
        <v>0</v>
      </c>
      <c r="J42" t="s">
        <v>15</v>
      </c>
      <c r="L42" t="str">
        <f t="shared" si="0"/>
        <v/>
      </c>
      <c r="M42">
        <f t="shared" si="1"/>
        <v>2025</v>
      </c>
      <c r="N42">
        <f t="shared" si="2"/>
        <v>3</v>
      </c>
      <c r="O42" t="str">
        <f t="shared" si="3"/>
        <v>Delhi-Bangalore</v>
      </c>
    </row>
    <row r="43" spans="1:15" x14ac:dyDescent="0.3">
      <c r="A43">
        <v>7041</v>
      </c>
      <c r="B43" s="1">
        <v>45931</v>
      </c>
      <c r="C43" t="s">
        <v>16</v>
      </c>
      <c r="D43" t="s">
        <v>31</v>
      </c>
      <c r="E43" t="s">
        <v>21</v>
      </c>
      <c r="F43" t="s">
        <v>13</v>
      </c>
      <c r="G43" t="s">
        <v>19</v>
      </c>
      <c r="H43">
        <v>10466.09</v>
      </c>
      <c r="I43">
        <v>0</v>
      </c>
      <c r="J43" t="s">
        <v>15</v>
      </c>
      <c r="L43" t="str">
        <f t="shared" si="0"/>
        <v/>
      </c>
      <c r="M43">
        <f t="shared" si="1"/>
        <v>2025</v>
      </c>
      <c r="N43">
        <f t="shared" si="2"/>
        <v>4</v>
      </c>
      <c r="O43" t="str">
        <f t="shared" si="3"/>
        <v>Bangalore-Kolkata</v>
      </c>
    </row>
    <row r="44" spans="1:15" x14ac:dyDescent="0.3">
      <c r="A44">
        <v>7042</v>
      </c>
      <c r="B44" s="1">
        <v>45920</v>
      </c>
      <c r="C44" t="s">
        <v>36</v>
      </c>
      <c r="D44" t="s">
        <v>11</v>
      </c>
      <c r="E44" t="s">
        <v>26</v>
      </c>
      <c r="F44" t="s">
        <v>35</v>
      </c>
      <c r="G44" t="s">
        <v>23</v>
      </c>
      <c r="H44">
        <v>2802.78</v>
      </c>
      <c r="I44">
        <v>0</v>
      </c>
      <c r="J44" t="s">
        <v>15</v>
      </c>
      <c r="L44" t="str">
        <f t="shared" si="0"/>
        <v/>
      </c>
      <c r="M44">
        <f t="shared" si="1"/>
        <v>2025</v>
      </c>
      <c r="N44">
        <f t="shared" si="2"/>
        <v>3</v>
      </c>
      <c r="O44" t="str">
        <f t="shared" si="3"/>
        <v>Mumbai-Chennai</v>
      </c>
    </row>
    <row r="45" spans="1:15" x14ac:dyDescent="0.3">
      <c r="A45">
        <v>7043</v>
      </c>
      <c r="B45" s="1">
        <v>45970</v>
      </c>
      <c r="C45" t="s">
        <v>10</v>
      </c>
      <c r="D45" t="s">
        <v>11</v>
      </c>
      <c r="E45" t="s">
        <v>26</v>
      </c>
      <c r="F45" t="s">
        <v>22</v>
      </c>
      <c r="G45" t="s">
        <v>14</v>
      </c>
      <c r="H45">
        <v>7443.91</v>
      </c>
      <c r="I45">
        <v>74</v>
      </c>
      <c r="J45" t="s">
        <v>28</v>
      </c>
      <c r="L45" t="str">
        <f t="shared" si="0"/>
        <v>yes</v>
      </c>
      <c r="M45">
        <f t="shared" si="1"/>
        <v>2025</v>
      </c>
      <c r="N45">
        <f t="shared" si="2"/>
        <v>4</v>
      </c>
      <c r="O45" t="str">
        <f t="shared" si="3"/>
        <v>Mumbai-Chennai</v>
      </c>
    </row>
    <row r="46" spans="1:15" x14ac:dyDescent="0.3">
      <c r="A46">
        <v>7044</v>
      </c>
      <c r="B46" s="1">
        <v>45749</v>
      </c>
      <c r="C46" t="s">
        <v>38</v>
      </c>
      <c r="D46" t="s">
        <v>12</v>
      </c>
      <c r="E46" t="s">
        <v>11</v>
      </c>
      <c r="F46" t="s">
        <v>13</v>
      </c>
      <c r="G46" t="s">
        <v>14</v>
      </c>
      <c r="H46">
        <v>5052.75</v>
      </c>
      <c r="I46">
        <v>126</v>
      </c>
      <c r="J46" t="s">
        <v>28</v>
      </c>
      <c r="L46" t="str">
        <f t="shared" si="0"/>
        <v>yes</v>
      </c>
      <c r="M46">
        <f t="shared" si="1"/>
        <v>2025</v>
      </c>
      <c r="N46">
        <f t="shared" si="2"/>
        <v>2</v>
      </c>
      <c r="O46" t="str">
        <f t="shared" si="3"/>
        <v>Delhi-Mumbai</v>
      </c>
    </row>
    <row r="47" spans="1:15" x14ac:dyDescent="0.3">
      <c r="A47">
        <v>7045</v>
      </c>
      <c r="B47" s="1">
        <v>45664</v>
      </c>
      <c r="C47" t="s">
        <v>41</v>
      </c>
      <c r="D47" t="s">
        <v>11</v>
      </c>
      <c r="E47" t="s">
        <v>26</v>
      </c>
      <c r="F47" t="s">
        <v>35</v>
      </c>
      <c r="G47" t="s">
        <v>14</v>
      </c>
      <c r="H47">
        <v>6918.95</v>
      </c>
      <c r="I47">
        <v>0</v>
      </c>
      <c r="J47" t="s">
        <v>15</v>
      </c>
      <c r="L47" t="str">
        <f t="shared" si="0"/>
        <v/>
      </c>
      <c r="M47">
        <f t="shared" si="1"/>
        <v>2025</v>
      </c>
      <c r="N47">
        <f t="shared" si="2"/>
        <v>1</v>
      </c>
      <c r="O47" t="str">
        <f t="shared" si="3"/>
        <v>Mumbai-Chennai</v>
      </c>
    </row>
    <row r="48" spans="1:15" x14ac:dyDescent="0.3">
      <c r="A48">
        <v>7046</v>
      </c>
      <c r="B48" s="1">
        <v>45966</v>
      </c>
      <c r="C48" t="s">
        <v>24</v>
      </c>
      <c r="D48" t="s">
        <v>12</v>
      </c>
      <c r="E48" t="s">
        <v>31</v>
      </c>
      <c r="F48" t="s">
        <v>13</v>
      </c>
      <c r="G48" t="s">
        <v>23</v>
      </c>
      <c r="H48">
        <v>5065.51</v>
      </c>
      <c r="I48">
        <v>0</v>
      </c>
      <c r="J48" t="s">
        <v>15</v>
      </c>
      <c r="L48" t="str">
        <f t="shared" si="0"/>
        <v/>
      </c>
      <c r="M48">
        <f t="shared" si="1"/>
        <v>2025</v>
      </c>
      <c r="N48">
        <f t="shared" si="2"/>
        <v>4</v>
      </c>
      <c r="O48" t="str">
        <f t="shared" si="3"/>
        <v>Delhi-Bangalore</v>
      </c>
    </row>
    <row r="49" spans="1:15" x14ac:dyDescent="0.3">
      <c r="A49">
        <v>7047</v>
      </c>
      <c r="B49" s="1">
        <v>45959</v>
      </c>
      <c r="C49" t="s">
        <v>30</v>
      </c>
      <c r="D49" t="s">
        <v>11</v>
      </c>
      <c r="E49" t="s">
        <v>26</v>
      </c>
      <c r="F49" t="s">
        <v>18</v>
      </c>
      <c r="G49" t="s">
        <v>23</v>
      </c>
      <c r="H49">
        <v>3385.51</v>
      </c>
      <c r="I49">
        <v>110</v>
      </c>
      <c r="J49" t="s">
        <v>28</v>
      </c>
      <c r="L49" t="str">
        <f t="shared" si="0"/>
        <v>yes</v>
      </c>
      <c r="M49">
        <f t="shared" si="1"/>
        <v>2025</v>
      </c>
      <c r="N49">
        <f t="shared" si="2"/>
        <v>4</v>
      </c>
      <c r="O49" t="str">
        <f t="shared" si="3"/>
        <v>Mumbai-Chennai</v>
      </c>
    </row>
    <row r="50" spans="1:15" x14ac:dyDescent="0.3">
      <c r="A50">
        <v>7048</v>
      </c>
      <c r="B50" s="1">
        <v>45663</v>
      </c>
      <c r="C50" t="s">
        <v>42</v>
      </c>
      <c r="D50" t="s">
        <v>11</v>
      </c>
      <c r="E50" t="s">
        <v>12</v>
      </c>
      <c r="F50" t="s">
        <v>22</v>
      </c>
      <c r="G50" t="s">
        <v>23</v>
      </c>
      <c r="H50">
        <v>3055.9</v>
      </c>
      <c r="I50">
        <v>0</v>
      </c>
      <c r="J50" t="s">
        <v>15</v>
      </c>
      <c r="L50" t="str">
        <f t="shared" si="0"/>
        <v/>
      </c>
      <c r="M50">
        <f t="shared" si="1"/>
        <v>2025</v>
      </c>
      <c r="N50">
        <f t="shared" si="2"/>
        <v>1</v>
      </c>
      <c r="O50" t="str">
        <f t="shared" si="3"/>
        <v>Mumbai-Delhi</v>
      </c>
    </row>
    <row r="51" spans="1:15" x14ac:dyDescent="0.3">
      <c r="A51">
        <v>7049</v>
      </c>
      <c r="B51" s="1">
        <v>45695</v>
      </c>
      <c r="C51" t="s">
        <v>30</v>
      </c>
      <c r="D51" t="s">
        <v>12</v>
      </c>
      <c r="E51" t="s">
        <v>17</v>
      </c>
      <c r="F51" t="s">
        <v>22</v>
      </c>
      <c r="G51" t="s">
        <v>14</v>
      </c>
      <c r="H51">
        <v>6393.98</v>
      </c>
      <c r="I51">
        <v>0</v>
      </c>
      <c r="J51" t="s">
        <v>15</v>
      </c>
      <c r="L51" t="str">
        <f t="shared" si="0"/>
        <v/>
      </c>
      <c r="M51">
        <f t="shared" si="1"/>
        <v>2025</v>
      </c>
      <c r="N51">
        <f t="shared" si="2"/>
        <v>1</v>
      </c>
      <c r="O51" t="str">
        <f t="shared" si="3"/>
        <v>Delhi-Goa</v>
      </c>
    </row>
    <row r="52" spans="1:15" x14ac:dyDescent="0.3">
      <c r="A52">
        <v>7050</v>
      </c>
      <c r="B52" s="1">
        <v>45997</v>
      </c>
      <c r="C52" t="s">
        <v>29</v>
      </c>
      <c r="D52" t="s">
        <v>11</v>
      </c>
      <c r="E52" t="s">
        <v>26</v>
      </c>
      <c r="F52" t="s">
        <v>13</v>
      </c>
      <c r="G52" t="s">
        <v>19</v>
      </c>
      <c r="H52">
        <v>15296.49</v>
      </c>
      <c r="I52">
        <v>0</v>
      </c>
      <c r="J52" t="s">
        <v>15</v>
      </c>
      <c r="L52" t="str">
        <f t="shared" si="0"/>
        <v/>
      </c>
      <c r="M52">
        <f t="shared" si="1"/>
        <v>2025</v>
      </c>
      <c r="N52">
        <f t="shared" si="2"/>
        <v>4</v>
      </c>
      <c r="O52" t="str">
        <f t="shared" si="3"/>
        <v>Mumbai-Chennai</v>
      </c>
    </row>
    <row r="53" spans="1:15" x14ac:dyDescent="0.3">
      <c r="A53">
        <v>7051</v>
      </c>
      <c r="B53" s="1">
        <v>46013</v>
      </c>
      <c r="C53" t="s">
        <v>36</v>
      </c>
      <c r="D53" t="s">
        <v>11</v>
      </c>
      <c r="E53" t="s">
        <v>12</v>
      </c>
      <c r="F53" t="s">
        <v>13</v>
      </c>
      <c r="G53" t="s">
        <v>14</v>
      </c>
      <c r="H53">
        <v>7068.67</v>
      </c>
      <c r="I53">
        <v>0</v>
      </c>
      <c r="J53" t="s">
        <v>15</v>
      </c>
      <c r="L53" t="str">
        <f t="shared" si="0"/>
        <v/>
      </c>
      <c r="M53">
        <f t="shared" si="1"/>
        <v>2025</v>
      </c>
      <c r="N53">
        <f t="shared" si="2"/>
        <v>4</v>
      </c>
      <c r="O53" t="str">
        <f t="shared" si="3"/>
        <v>Mumbai-Delhi</v>
      </c>
    </row>
    <row r="54" spans="1:15" x14ac:dyDescent="0.3">
      <c r="A54">
        <v>7052</v>
      </c>
      <c r="B54" s="1">
        <v>45774</v>
      </c>
      <c r="C54" t="s">
        <v>10</v>
      </c>
      <c r="D54" t="s">
        <v>12</v>
      </c>
      <c r="E54" t="s">
        <v>17</v>
      </c>
      <c r="F54" t="s">
        <v>18</v>
      </c>
      <c r="G54" t="s">
        <v>19</v>
      </c>
      <c r="H54">
        <v>12020.27</v>
      </c>
      <c r="I54">
        <v>0</v>
      </c>
      <c r="J54" t="s">
        <v>15</v>
      </c>
      <c r="L54" t="str">
        <f t="shared" si="0"/>
        <v/>
      </c>
      <c r="M54">
        <f t="shared" si="1"/>
        <v>2025</v>
      </c>
      <c r="N54">
        <f t="shared" si="2"/>
        <v>2</v>
      </c>
      <c r="O54" t="str">
        <f t="shared" si="3"/>
        <v>Delhi-Goa</v>
      </c>
    </row>
    <row r="55" spans="1:15" x14ac:dyDescent="0.3">
      <c r="A55">
        <v>7053</v>
      </c>
      <c r="B55" s="1">
        <v>45741</v>
      </c>
      <c r="C55" t="s">
        <v>24</v>
      </c>
      <c r="D55" t="s">
        <v>11</v>
      </c>
      <c r="E55" t="s">
        <v>12</v>
      </c>
      <c r="F55" t="s">
        <v>18</v>
      </c>
      <c r="G55" t="s">
        <v>23</v>
      </c>
      <c r="H55">
        <v>4767.32</v>
      </c>
      <c r="I55">
        <v>0</v>
      </c>
      <c r="J55" t="s">
        <v>15</v>
      </c>
      <c r="L55" t="str">
        <f t="shared" si="0"/>
        <v/>
      </c>
      <c r="M55">
        <f t="shared" si="1"/>
        <v>2025</v>
      </c>
      <c r="N55">
        <f t="shared" si="2"/>
        <v>1</v>
      </c>
      <c r="O55" t="str">
        <f t="shared" si="3"/>
        <v>Mumbai-Delhi</v>
      </c>
    </row>
    <row r="56" spans="1:15" x14ac:dyDescent="0.3">
      <c r="A56">
        <v>7054</v>
      </c>
      <c r="B56" s="1">
        <v>45761</v>
      </c>
      <c r="C56" t="s">
        <v>10</v>
      </c>
      <c r="D56" t="s">
        <v>12</v>
      </c>
      <c r="E56" t="s">
        <v>31</v>
      </c>
      <c r="F56" t="s">
        <v>33</v>
      </c>
      <c r="G56" t="s">
        <v>14</v>
      </c>
      <c r="H56">
        <v>9284.19</v>
      </c>
      <c r="I56">
        <v>0</v>
      </c>
      <c r="J56" t="s">
        <v>15</v>
      </c>
      <c r="L56" t="str">
        <f t="shared" si="0"/>
        <v/>
      </c>
      <c r="M56">
        <f t="shared" si="1"/>
        <v>2025</v>
      </c>
      <c r="N56">
        <f t="shared" si="2"/>
        <v>2</v>
      </c>
      <c r="O56" t="str">
        <f t="shared" si="3"/>
        <v>Delhi-Bangalore</v>
      </c>
    </row>
    <row r="57" spans="1:15" x14ac:dyDescent="0.3">
      <c r="A57">
        <v>7055</v>
      </c>
      <c r="B57" s="1">
        <v>45954</v>
      </c>
      <c r="C57" t="s">
        <v>20</v>
      </c>
      <c r="D57" t="s">
        <v>12</v>
      </c>
      <c r="E57" t="s">
        <v>17</v>
      </c>
      <c r="F57" t="s">
        <v>35</v>
      </c>
      <c r="G57" t="s">
        <v>23</v>
      </c>
      <c r="H57">
        <v>3391.1</v>
      </c>
      <c r="I57">
        <v>0</v>
      </c>
      <c r="J57" t="s">
        <v>34</v>
      </c>
      <c r="L57" t="str">
        <f t="shared" si="0"/>
        <v/>
      </c>
      <c r="M57">
        <f t="shared" si="1"/>
        <v>2025</v>
      </c>
      <c r="N57">
        <f t="shared" si="2"/>
        <v>4</v>
      </c>
      <c r="O57" t="str">
        <f t="shared" si="3"/>
        <v>Delhi-Goa</v>
      </c>
    </row>
    <row r="58" spans="1:15" x14ac:dyDescent="0.3">
      <c r="A58">
        <v>7056</v>
      </c>
      <c r="B58" s="1">
        <v>45886</v>
      </c>
      <c r="C58" t="s">
        <v>16</v>
      </c>
      <c r="D58" t="s">
        <v>11</v>
      </c>
      <c r="E58" t="s">
        <v>26</v>
      </c>
      <c r="F58" t="s">
        <v>33</v>
      </c>
      <c r="G58" t="s">
        <v>23</v>
      </c>
      <c r="H58">
        <v>4260.42</v>
      </c>
      <c r="I58">
        <v>24</v>
      </c>
      <c r="J58" t="s">
        <v>28</v>
      </c>
      <c r="L58" t="str">
        <f t="shared" si="0"/>
        <v>yes</v>
      </c>
      <c r="M58">
        <f t="shared" si="1"/>
        <v>2025</v>
      </c>
      <c r="N58">
        <f t="shared" si="2"/>
        <v>3</v>
      </c>
      <c r="O58" t="str">
        <f t="shared" si="3"/>
        <v>Mumbai-Chennai</v>
      </c>
    </row>
    <row r="59" spans="1:15" x14ac:dyDescent="0.3">
      <c r="A59">
        <v>7057</v>
      </c>
      <c r="B59" s="1">
        <v>45971</v>
      </c>
      <c r="C59" t="s">
        <v>16</v>
      </c>
      <c r="D59" t="s">
        <v>31</v>
      </c>
      <c r="E59" t="s">
        <v>21</v>
      </c>
      <c r="F59" t="s">
        <v>22</v>
      </c>
      <c r="G59" t="s">
        <v>14</v>
      </c>
      <c r="H59">
        <v>6677.76</v>
      </c>
      <c r="I59">
        <v>0</v>
      </c>
      <c r="J59" t="s">
        <v>15</v>
      </c>
      <c r="L59" t="str">
        <f t="shared" si="0"/>
        <v/>
      </c>
      <c r="M59">
        <f t="shared" si="1"/>
        <v>2025</v>
      </c>
      <c r="N59">
        <f t="shared" si="2"/>
        <v>4</v>
      </c>
      <c r="O59" t="str">
        <f t="shared" si="3"/>
        <v>Bangalore-Kolkata</v>
      </c>
    </row>
    <row r="60" spans="1:15" x14ac:dyDescent="0.3">
      <c r="A60">
        <v>7058</v>
      </c>
      <c r="B60" s="1">
        <v>45709</v>
      </c>
      <c r="C60" t="s">
        <v>37</v>
      </c>
      <c r="D60" t="s">
        <v>11</v>
      </c>
      <c r="E60" t="s">
        <v>26</v>
      </c>
      <c r="F60" t="s">
        <v>18</v>
      </c>
      <c r="G60" t="s">
        <v>23</v>
      </c>
      <c r="H60">
        <v>3229.39</v>
      </c>
      <c r="I60">
        <v>139</v>
      </c>
      <c r="J60" t="s">
        <v>28</v>
      </c>
      <c r="L60" t="str">
        <f t="shared" si="0"/>
        <v>yes</v>
      </c>
      <c r="M60">
        <f t="shared" si="1"/>
        <v>2025</v>
      </c>
      <c r="N60">
        <f t="shared" si="2"/>
        <v>1</v>
      </c>
      <c r="O60" t="str">
        <f t="shared" si="3"/>
        <v>Mumbai-Chennai</v>
      </c>
    </row>
    <row r="61" spans="1:15" x14ac:dyDescent="0.3">
      <c r="A61">
        <v>7059</v>
      </c>
      <c r="B61" s="1">
        <v>45785</v>
      </c>
      <c r="C61" t="s">
        <v>10</v>
      </c>
      <c r="D61" t="s">
        <v>31</v>
      </c>
      <c r="E61" t="s">
        <v>21</v>
      </c>
      <c r="F61" t="s">
        <v>22</v>
      </c>
      <c r="G61" t="s">
        <v>23</v>
      </c>
      <c r="H61">
        <v>5083.53</v>
      </c>
      <c r="I61">
        <v>0</v>
      </c>
      <c r="J61" t="s">
        <v>15</v>
      </c>
      <c r="L61" t="str">
        <f t="shared" si="0"/>
        <v/>
      </c>
      <c r="M61">
        <f t="shared" si="1"/>
        <v>2025</v>
      </c>
      <c r="N61">
        <f t="shared" si="2"/>
        <v>2</v>
      </c>
      <c r="O61" t="str">
        <f t="shared" si="3"/>
        <v>Bangalore-Kolkata</v>
      </c>
    </row>
    <row r="62" spans="1:15" x14ac:dyDescent="0.3">
      <c r="A62">
        <v>7060</v>
      </c>
      <c r="B62" s="1">
        <v>45936</v>
      </c>
      <c r="C62" t="s">
        <v>16</v>
      </c>
      <c r="D62" t="s">
        <v>11</v>
      </c>
      <c r="E62" t="s">
        <v>26</v>
      </c>
      <c r="F62" t="s">
        <v>33</v>
      </c>
      <c r="G62" t="s">
        <v>19</v>
      </c>
      <c r="H62">
        <v>14847.25</v>
      </c>
      <c r="I62">
        <v>0</v>
      </c>
      <c r="J62" t="s">
        <v>15</v>
      </c>
      <c r="L62" t="str">
        <f t="shared" si="0"/>
        <v/>
      </c>
      <c r="M62">
        <f t="shared" si="1"/>
        <v>2025</v>
      </c>
      <c r="N62">
        <f t="shared" si="2"/>
        <v>4</v>
      </c>
      <c r="O62" t="str">
        <f t="shared" si="3"/>
        <v>Mumbai-Chennai</v>
      </c>
    </row>
    <row r="63" spans="1:15" x14ac:dyDescent="0.3">
      <c r="A63">
        <v>7061</v>
      </c>
      <c r="B63" s="1">
        <v>45860</v>
      </c>
      <c r="C63" t="s">
        <v>39</v>
      </c>
      <c r="D63" t="s">
        <v>31</v>
      </c>
      <c r="E63" t="s">
        <v>21</v>
      </c>
      <c r="F63" t="s">
        <v>18</v>
      </c>
      <c r="G63" t="s">
        <v>19</v>
      </c>
      <c r="H63">
        <v>13908.91</v>
      </c>
      <c r="I63">
        <v>0</v>
      </c>
      <c r="J63" t="s">
        <v>15</v>
      </c>
      <c r="L63" t="str">
        <f t="shared" si="0"/>
        <v/>
      </c>
      <c r="M63">
        <f t="shared" si="1"/>
        <v>2025</v>
      </c>
      <c r="N63">
        <f t="shared" si="2"/>
        <v>3</v>
      </c>
      <c r="O63" t="str">
        <f t="shared" si="3"/>
        <v>Bangalore-Kolkata</v>
      </c>
    </row>
    <row r="64" spans="1:15" x14ac:dyDescent="0.3">
      <c r="A64">
        <v>7062</v>
      </c>
      <c r="B64" s="1">
        <v>45829</v>
      </c>
      <c r="C64" t="s">
        <v>25</v>
      </c>
      <c r="D64" t="s">
        <v>12</v>
      </c>
      <c r="E64" t="s">
        <v>31</v>
      </c>
      <c r="F64" t="s">
        <v>33</v>
      </c>
      <c r="G64" t="s">
        <v>23</v>
      </c>
      <c r="H64">
        <v>5184.92</v>
      </c>
      <c r="I64">
        <v>0</v>
      </c>
      <c r="J64" t="s">
        <v>15</v>
      </c>
      <c r="L64" t="str">
        <f t="shared" si="0"/>
        <v/>
      </c>
      <c r="M64">
        <f t="shared" si="1"/>
        <v>2025</v>
      </c>
      <c r="N64">
        <f t="shared" si="2"/>
        <v>2</v>
      </c>
      <c r="O64" t="str">
        <f t="shared" si="3"/>
        <v>Delhi-Bangalore</v>
      </c>
    </row>
    <row r="65" spans="1:15" x14ac:dyDescent="0.3">
      <c r="A65">
        <v>7063</v>
      </c>
      <c r="B65" s="1">
        <v>45689</v>
      </c>
      <c r="C65" t="s">
        <v>29</v>
      </c>
      <c r="D65" t="s">
        <v>12</v>
      </c>
      <c r="E65" t="s">
        <v>31</v>
      </c>
      <c r="F65" t="s">
        <v>33</v>
      </c>
      <c r="G65" t="s">
        <v>19</v>
      </c>
      <c r="H65">
        <v>7374.75</v>
      </c>
      <c r="I65">
        <v>0</v>
      </c>
      <c r="J65" t="s">
        <v>15</v>
      </c>
      <c r="L65" t="str">
        <f t="shared" si="0"/>
        <v/>
      </c>
      <c r="M65">
        <f t="shared" si="1"/>
        <v>2025</v>
      </c>
      <c r="N65">
        <f t="shared" si="2"/>
        <v>1</v>
      </c>
      <c r="O65" t="str">
        <f t="shared" si="3"/>
        <v>Delhi-Bangalore</v>
      </c>
    </row>
    <row r="66" spans="1:15" x14ac:dyDescent="0.3">
      <c r="A66">
        <v>7064</v>
      </c>
      <c r="B66" s="1">
        <v>46001</v>
      </c>
      <c r="C66" t="s">
        <v>40</v>
      </c>
      <c r="D66" t="s">
        <v>12</v>
      </c>
      <c r="E66" t="s">
        <v>11</v>
      </c>
      <c r="F66" t="s">
        <v>13</v>
      </c>
      <c r="G66" t="s">
        <v>19</v>
      </c>
      <c r="H66">
        <v>9628.6200000000008</v>
      </c>
      <c r="I66">
        <v>0</v>
      </c>
      <c r="J66" t="s">
        <v>15</v>
      </c>
      <c r="L66" t="str">
        <f t="shared" si="0"/>
        <v/>
      </c>
      <c r="M66">
        <f t="shared" si="1"/>
        <v>2025</v>
      </c>
      <c r="N66">
        <f t="shared" si="2"/>
        <v>4</v>
      </c>
      <c r="O66" t="str">
        <f t="shared" si="3"/>
        <v>Delhi-Mumbai</v>
      </c>
    </row>
    <row r="67" spans="1:15" x14ac:dyDescent="0.3">
      <c r="A67">
        <v>7065</v>
      </c>
      <c r="B67" s="1">
        <v>45857</v>
      </c>
      <c r="C67" t="s">
        <v>10</v>
      </c>
      <c r="D67" t="s">
        <v>12</v>
      </c>
      <c r="E67" t="s">
        <v>17</v>
      </c>
      <c r="F67" t="s">
        <v>22</v>
      </c>
      <c r="G67" t="s">
        <v>23</v>
      </c>
      <c r="H67">
        <v>3057.53</v>
      </c>
      <c r="I67">
        <v>44</v>
      </c>
      <c r="J67" t="s">
        <v>28</v>
      </c>
      <c r="L67" t="str">
        <f t="shared" ref="L67:L126" si="4">IF(J67="Delayed","yes","")</f>
        <v>yes</v>
      </c>
      <c r="M67">
        <f t="shared" ref="M67:M126" si="5">YEAR(B67)</f>
        <v>2025</v>
      </c>
      <c r="N67">
        <f t="shared" ref="N67:N126" si="6">ROUNDUP(MONTH(B67)/3,0)</f>
        <v>3</v>
      </c>
      <c r="O67" t="str">
        <f t="shared" ref="O67:O126" si="7">_xlfn.TEXTJOIN("-",,D67,E67)</f>
        <v>Delhi-Goa</v>
      </c>
    </row>
    <row r="68" spans="1:15" x14ac:dyDescent="0.3">
      <c r="A68">
        <v>7066</v>
      </c>
      <c r="B68" s="1">
        <v>45671</v>
      </c>
      <c r="C68" t="s">
        <v>29</v>
      </c>
      <c r="D68" t="s">
        <v>12</v>
      </c>
      <c r="E68" t="s">
        <v>17</v>
      </c>
      <c r="F68" t="s">
        <v>33</v>
      </c>
      <c r="G68" t="s">
        <v>23</v>
      </c>
      <c r="H68">
        <v>5802.42</v>
      </c>
      <c r="I68">
        <v>0</v>
      </c>
      <c r="J68" t="s">
        <v>15</v>
      </c>
      <c r="L68" t="str">
        <f t="shared" si="4"/>
        <v/>
      </c>
      <c r="M68">
        <f t="shared" si="5"/>
        <v>2025</v>
      </c>
      <c r="N68">
        <f t="shared" si="6"/>
        <v>1</v>
      </c>
      <c r="O68" t="str">
        <f t="shared" si="7"/>
        <v>Delhi-Goa</v>
      </c>
    </row>
    <row r="69" spans="1:15" x14ac:dyDescent="0.3">
      <c r="A69">
        <v>7067</v>
      </c>
      <c r="B69" s="1">
        <v>45667</v>
      </c>
      <c r="C69" t="s">
        <v>29</v>
      </c>
      <c r="D69" t="s">
        <v>11</v>
      </c>
      <c r="E69" t="s">
        <v>26</v>
      </c>
      <c r="F69" t="s">
        <v>22</v>
      </c>
      <c r="G69" t="s">
        <v>19</v>
      </c>
      <c r="H69">
        <v>15439.3</v>
      </c>
      <c r="I69">
        <v>0</v>
      </c>
      <c r="J69" t="s">
        <v>15</v>
      </c>
      <c r="L69" t="str">
        <f t="shared" si="4"/>
        <v/>
      </c>
      <c r="M69">
        <f t="shared" si="5"/>
        <v>2025</v>
      </c>
      <c r="N69">
        <f t="shared" si="6"/>
        <v>1</v>
      </c>
      <c r="O69" t="str">
        <f t="shared" si="7"/>
        <v>Mumbai-Chennai</v>
      </c>
    </row>
    <row r="70" spans="1:15" x14ac:dyDescent="0.3">
      <c r="A70">
        <v>7068</v>
      </c>
      <c r="B70" s="1">
        <v>45669</v>
      </c>
      <c r="C70" t="s">
        <v>30</v>
      </c>
      <c r="D70" t="s">
        <v>11</v>
      </c>
      <c r="E70" t="s">
        <v>12</v>
      </c>
      <c r="F70" t="s">
        <v>33</v>
      </c>
      <c r="G70" t="s">
        <v>23</v>
      </c>
      <c r="H70">
        <v>5229.29</v>
      </c>
      <c r="I70">
        <v>0</v>
      </c>
      <c r="J70" t="s">
        <v>15</v>
      </c>
      <c r="L70" t="str">
        <f t="shared" si="4"/>
        <v/>
      </c>
      <c r="M70">
        <f t="shared" si="5"/>
        <v>2025</v>
      </c>
      <c r="N70">
        <f t="shared" si="6"/>
        <v>1</v>
      </c>
      <c r="O70" t="str">
        <f t="shared" si="7"/>
        <v>Mumbai-Delhi</v>
      </c>
    </row>
    <row r="71" spans="1:15" x14ac:dyDescent="0.3">
      <c r="A71">
        <v>7069</v>
      </c>
      <c r="B71" s="1">
        <v>45694</v>
      </c>
      <c r="C71" t="s">
        <v>36</v>
      </c>
      <c r="D71" t="s">
        <v>31</v>
      </c>
      <c r="E71" t="s">
        <v>21</v>
      </c>
      <c r="F71" t="s">
        <v>13</v>
      </c>
      <c r="G71" t="s">
        <v>23</v>
      </c>
      <c r="H71">
        <v>3395.72</v>
      </c>
      <c r="I71">
        <v>0</v>
      </c>
      <c r="J71" t="s">
        <v>15</v>
      </c>
      <c r="L71" t="str">
        <f t="shared" si="4"/>
        <v/>
      </c>
      <c r="M71">
        <f t="shared" si="5"/>
        <v>2025</v>
      </c>
      <c r="N71">
        <f t="shared" si="6"/>
        <v>1</v>
      </c>
      <c r="O71" t="str">
        <f t="shared" si="7"/>
        <v>Bangalore-Kolkata</v>
      </c>
    </row>
    <row r="72" spans="1:15" x14ac:dyDescent="0.3">
      <c r="A72">
        <v>7070</v>
      </c>
      <c r="B72" s="1">
        <v>45847</v>
      </c>
      <c r="C72" t="s">
        <v>25</v>
      </c>
      <c r="D72" t="s">
        <v>11</v>
      </c>
      <c r="E72" t="s">
        <v>12</v>
      </c>
      <c r="F72" t="s">
        <v>35</v>
      </c>
      <c r="G72" t="s">
        <v>23</v>
      </c>
      <c r="H72">
        <v>2783.38</v>
      </c>
      <c r="I72">
        <v>0</v>
      </c>
      <c r="J72" t="s">
        <v>15</v>
      </c>
      <c r="L72" t="str">
        <f t="shared" si="4"/>
        <v/>
      </c>
      <c r="M72">
        <f t="shared" si="5"/>
        <v>2025</v>
      </c>
      <c r="N72">
        <f t="shared" si="6"/>
        <v>3</v>
      </c>
      <c r="O72" t="str">
        <f t="shared" si="7"/>
        <v>Mumbai-Delhi</v>
      </c>
    </row>
    <row r="73" spans="1:15" x14ac:dyDescent="0.3">
      <c r="A73">
        <v>7071</v>
      </c>
      <c r="B73" s="1">
        <v>45834</v>
      </c>
      <c r="C73" t="s">
        <v>20</v>
      </c>
      <c r="D73" t="s">
        <v>11</v>
      </c>
      <c r="E73" t="s">
        <v>12</v>
      </c>
      <c r="F73" t="s">
        <v>13</v>
      </c>
      <c r="G73" t="s">
        <v>19</v>
      </c>
      <c r="H73">
        <v>10205.39</v>
      </c>
      <c r="I73">
        <v>82</v>
      </c>
      <c r="J73" t="s">
        <v>28</v>
      </c>
      <c r="L73" t="str">
        <f t="shared" si="4"/>
        <v>yes</v>
      </c>
      <c r="M73">
        <f t="shared" si="5"/>
        <v>2025</v>
      </c>
      <c r="N73">
        <f t="shared" si="6"/>
        <v>2</v>
      </c>
      <c r="O73" t="str">
        <f t="shared" si="7"/>
        <v>Mumbai-Delhi</v>
      </c>
    </row>
    <row r="74" spans="1:15" x14ac:dyDescent="0.3">
      <c r="A74">
        <v>7072</v>
      </c>
      <c r="B74" s="1">
        <v>45770</v>
      </c>
      <c r="C74" t="s">
        <v>40</v>
      </c>
      <c r="D74" t="s">
        <v>12</v>
      </c>
      <c r="E74" t="s">
        <v>17</v>
      </c>
      <c r="F74" t="s">
        <v>22</v>
      </c>
      <c r="G74" t="s">
        <v>19</v>
      </c>
      <c r="H74">
        <v>16117.15</v>
      </c>
      <c r="I74">
        <v>0</v>
      </c>
      <c r="J74" t="s">
        <v>15</v>
      </c>
      <c r="L74" t="str">
        <f t="shared" si="4"/>
        <v/>
      </c>
      <c r="M74">
        <f t="shared" si="5"/>
        <v>2025</v>
      </c>
      <c r="N74">
        <f t="shared" si="6"/>
        <v>2</v>
      </c>
      <c r="O74" t="str">
        <f t="shared" si="7"/>
        <v>Delhi-Goa</v>
      </c>
    </row>
    <row r="75" spans="1:15" x14ac:dyDescent="0.3">
      <c r="A75">
        <v>7073</v>
      </c>
      <c r="B75" s="1">
        <v>45766</v>
      </c>
      <c r="C75" t="s">
        <v>25</v>
      </c>
      <c r="D75" t="s">
        <v>12</v>
      </c>
      <c r="E75" t="s">
        <v>31</v>
      </c>
      <c r="F75" t="s">
        <v>35</v>
      </c>
      <c r="G75" t="s">
        <v>14</v>
      </c>
      <c r="H75">
        <v>7499.25</v>
      </c>
      <c r="I75">
        <v>174</v>
      </c>
      <c r="J75" t="s">
        <v>28</v>
      </c>
      <c r="L75" t="str">
        <f t="shared" si="4"/>
        <v>yes</v>
      </c>
      <c r="M75">
        <f t="shared" si="5"/>
        <v>2025</v>
      </c>
      <c r="N75">
        <f t="shared" si="6"/>
        <v>2</v>
      </c>
      <c r="O75" t="str">
        <f t="shared" si="7"/>
        <v>Delhi-Bangalore</v>
      </c>
    </row>
    <row r="76" spans="1:15" x14ac:dyDescent="0.3">
      <c r="A76">
        <v>7074</v>
      </c>
      <c r="B76" s="1">
        <v>45720</v>
      </c>
      <c r="C76" t="s">
        <v>38</v>
      </c>
      <c r="D76" t="s">
        <v>12</v>
      </c>
      <c r="E76" t="s">
        <v>11</v>
      </c>
      <c r="F76" t="s">
        <v>13</v>
      </c>
      <c r="G76" t="s">
        <v>19</v>
      </c>
      <c r="H76">
        <v>14611.84</v>
      </c>
      <c r="I76">
        <v>34</v>
      </c>
      <c r="J76" t="s">
        <v>28</v>
      </c>
      <c r="L76" t="str">
        <f t="shared" si="4"/>
        <v>yes</v>
      </c>
      <c r="M76">
        <f t="shared" si="5"/>
        <v>2025</v>
      </c>
      <c r="N76">
        <f t="shared" si="6"/>
        <v>1</v>
      </c>
      <c r="O76" t="str">
        <f t="shared" si="7"/>
        <v>Delhi-Mumbai</v>
      </c>
    </row>
    <row r="77" spans="1:15" x14ac:dyDescent="0.3">
      <c r="A77">
        <v>7075</v>
      </c>
      <c r="B77" s="1">
        <v>45822</v>
      </c>
      <c r="C77" t="s">
        <v>39</v>
      </c>
      <c r="D77" t="s">
        <v>12</v>
      </c>
      <c r="E77" t="s">
        <v>17</v>
      </c>
      <c r="F77" t="s">
        <v>33</v>
      </c>
      <c r="G77" t="s">
        <v>14</v>
      </c>
      <c r="H77">
        <v>6384.59</v>
      </c>
      <c r="I77">
        <v>128</v>
      </c>
      <c r="J77" t="s">
        <v>28</v>
      </c>
      <c r="L77" t="str">
        <f t="shared" si="4"/>
        <v>yes</v>
      </c>
      <c r="M77">
        <f t="shared" si="5"/>
        <v>2025</v>
      </c>
      <c r="N77">
        <f t="shared" si="6"/>
        <v>2</v>
      </c>
      <c r="O77" t="str">
        <f t="shared" si="7"/>
        <v>Delhi-Goa</v>
      </c>
    </row>
    <row r="78" spans="1:15" x14ac:dyDescent="0.3">
      <c r="A78">
        <v>7076</v>
      </c>
      <c r="B78" s="1">
        <v>45960</v>
      </c>
      <c r="C78" t="s">
        <v>42</v>
      </c>
      <c r="D78" t="s">
        <v>12</v>
      </c>
      <c r="E78" t="s">
        <v>31</v>
      </c>
      <c r="F78" t="s">
        <v>22</v>
      </c>
      <c r="G78" t="s">
        <v>14</v>
      </c>
      <c r="H78">
        <v>5167.12</v>
      </c>
      <c r="I78">
        <v>0</v>
      </c>
      <c r="J78" t="s">
        <v>15</v>
      </c>
      <c r="L78" t="str">
        <f t="shared" si="4"/>
        <v/>
      </c>
      <c r="M78">
        <f t="shared" si="5"/>
        <v>2025</v>
      </c>
      <c r="N78">
        <f t="shared" si="6"/>
        <v>4</v>
      </c>
      <c r="O78" t="str">
        <f t="shared" si="7"/>
        <v>Delhi-Bangalore</v>
      </c>
    </row>
    <row r="79" spans="1:15" x14ac:dyDescent="0.3">
      <c r="A79">
        <v>7077</v>
      </c>
      <c r="B79" s="1">
        <v>45701</v>
      </c>
      <c r="C79" t="s">
        <v>38</v>
      </c>
      <c r="D79" t="s">
        <v>21</v>
      </c>
      <c r="E79" t="s">
        <v>12</v>
      </c>
      <c r="F79" t="s">
        <v>13</v>
      </c>
      <c r="G79" t="s">
        <v>19</v>
      </c>
      <c r="H79">
        <v>16761.96</v>
      </c>
      <c r="I79">
        <v>0</v>
      </c>
      <c r="J79" t="s">
        <v>15</v>
      </c>
      <c r="L79" t="str">
        <f t="shared" si="4"/>
        <v/>
      </c>
      <c r="M79">
        <f t="shared" si="5"/>
        <v>2025</v>
      </c>
      <c r="N79">
        <f t="shared" si="6"/>
        <v>1</v>
      </c>
      <c r="O79" t="str">
        <f t="shared" si="7"/>
        <v>Kolkata-Delhi</v>
      </c>
    </row>
    <row r="80" spans="1:15" x14ac:dyDescent="0.3">
      <c r="A80">
        <v>7078</v>
      </c>
      <c r="B80" s="1">
        <v>45867</v>
      </c>
      <c r="C80" t="s">
        <v>41</v>
      </c>
      <c r="D80" t="s">
        <v>12</v>
      </c>
      <c r="E80" t="s">
        <v>11</v>
      </c>
      <c r="F80" t="s">
        <v>35</v>
      </c>
      <c r="G80" t="s">
        <v>19</v>
      </c>
      <c r="H80">
        <v>8271.06</v>
      </c>
      <c r="I80">
        <v>0</v>
      </c>
      <c r="J80" t="s">
        <v>15</v>
      </c>
      <c r="L80" t="str">
        <f t="shared" si="4"/>
        <v/>
      </c>
      <c r="M80">
        <f t="shared" si="5"/>
        <v>2025</v>
      </c>
      <c r="N80">
        <f t="shared" si="6"/>
        <v>3</v>
      </c>
      <c r="O80" t="str">
        <f t="shared" si="7"/>
        <v>Delhi-Mumbai</v>
      </c>
    </row>
    <row r="81" spans="1:15" x14ac:dyDescent="0.3">
      <c r="A81">
        <v>7079</v>
      </c>
      <c r="B81" s="1">
        <v>45762</v>
      </c>
      <c r="C81" t="s">
        <v>36</v>
      </c>
      <c r="D81" t="s">
        <v>12</v>
      </c>
      <c r="E81" t="s">
        <v>11</v>
      </c>
      <c r="F81" t="s">
        <v>13</v>
      </c>
      <c r="G81" t="s">
        <v>23</v>
      </c>
      <c r="H81">
        <v>3621.48</v>
      </c>
      <c r="I81">
        <v>0</v>
      </c>
      <c r="J81" t="s">
        <v>15</v>
      </c>
      <c r="L81" t="str">
        <f t="shared" si="4"/>
        <v/>
      </c>
      <c r="M81">
        <f t="shared" si="5"/>
        <v>2025</v>
      </c>
      <c r="N81">
        <f t="shared" si="6"/>
        <v>2</v>
      </c>
      <c r="O81" t="str">
        <f t="shared" si="7"/>
        <v>Delhi-Mumbai</v>
      </c>
    </row>
    <row r="82" spans="1:15" x14ac:dyDescent="0.3">
      <c r="A82">
        <v>7080</v>
      </c>
      <c r="B82" s="1">
        <v>45727</v>
      </c>
      <c r="C82" t="s">
        <v>24</v>
      </c>
      <c r="D82" t="s">
        <v>12</v>
      </c>
      <c r="E82" t="s">
        <v>11</v>
      </c>
      <c r="F82" t="s">
        <v>22</v>
      </c>
      <c r="G82" t="s">
        <v>14</v>
      </c>
      <c r="H82">
        <v>5025.68</v>
      </c>
      <c r="I82">
        <v>88</v>
      </c>
      <c r="J82" t="s">
        <v>28</v>
      </c>
      <c r="L82" t="str">
        <f t="shared" si="4"/>
        <v>yes</v>
      </c>
      <c r="M82">
        <f t="shared" si="5"/>
        <v>2025</v>
      </c>
      <c r="N82">
        <f t="shared" si="6"/>
        <v>1</v>
      </c>
      <c r="O82" t="str">
        <f t="shared" si="7"/>
        <v>Delhi-Mumbai</v>
      </c>
    </row>
    <row r="83" spans="1:15" x14ac:dyDescent="0.3">
      <c r="A83">
        <v>7081</v>
      </c>
      <c r="B83" s="1">
        <v>45752</v>
      </c>
      <c r="C83" t="s">
        <v>20</v>
      </c>
      <c r="D83" t="s">
        <v>11</v>
      </c>
      <c r="E83" t="s">
        <v>26</v>
      </c>
      <c r="F83" t="s">
        <v>35</v>
      </c>
      <c r="G83" t="s">
        <v>19</v>
      </c>
      <c r="H83">
        <v>10035.69</v>
      </c>
      <c r="I83">
        <v>0</v>
      </c>
      <c r="J83" t="s">
        <v>15</v>
      </c>
      <c r="L83" t="str">
        <f t="shared" si="4"/>
        <v/>
      </c>
      <c r="M83">
        <f t="shared" si="5"/>
        <v>2025</v>
      </c>
      <c r="N83">
        <f t="shared" si="6"/>
        <v>2</v>
      </c>
      <c r="O83" t="str">
        <f t="shared" si="7"/>
        <v>Mumbai-Chennai</v>
      </c>
    </row>
    <row r="84" spans="1:15" x14ac:dyDescent="0.3">
      <c r="A84">
        <v>7082</v>
      </c>
      <c r="B84" s="1">
        <v>45927</v>
      </c>
      <c r="C84" t="s">
        <v>40</v>
      </c>
      <c r="D84" t="s">
        <v>11</v>
      </c>
      <c r="E84" t="s">
        <v>12</v>
      </c>
      <c r="F84" t="s">
        <v>22</v>
      </c>
      <c r="G84" t="s">
        <v>19</v>
      </c>
      <c r="H84">
        <v>9636</v>
      </c>
      <c r="I84">
        <v>0</v>
      </c>
      <c r="J84" t="s">
        <v>15</v>
      </c>
      <c r="L84" t="str">
        <f t="shared" si="4"/>
        <v/>
      </c>
      <c r="M84">
        <f t="shared" si="5"/>
        <v>2025</v>
      </c>
      <c r="N84">
        <f t="shared" si="6"/>
        <v>3</v>
      </c>
      <c r="O84" t="str">
        <f t="shared" si="7"/>
        <v>Mumbai-Delhi</v>
      </c>
    </row>
    <row r="85" spans="1:15" x14ac:dyDescent="0.3">
      <c r="A85">
        <v>7083</v>
      </c>
      <c r="B85" s="1">
        <v>45693</v>
      </c>
      <c r="C85" t="s">
        <v>40</v>
      </c>
      <c r="D85" t="s">
        <v>11</v>
      </c>
      <c r="E85" t="s">
        <v>26</v>
      </c>
      <c r="F85" t="s">
        <v>35</v>
      </c>
      <c r="G85" t="s">
        <v>14</v>
      </c>
      <c r="H85">
        <v>8191.95</v>
      </c>
      <c r="I85">
        <v>23</v>
      </c>
      <c r="J85" t="s">
        <v>28</v>
      </c>
      <c r="L85" t="str">
        <f t="shared" si="4"/>
        <v>yes</v>
      </c>
      <c r="M85">
        <f t="shared" si="5"/>
        <v>2025</v>
      </c>
      <c r="N85">
        <f t="shared" si="6"/>
        <v>1</v>
      </c>
      <c r="O85" t="str">
        <f t="shared" si="7"/>
        <v>Mumbai-Chennai</v>
      </c>
    </row>
    <row r="86" spans="1:15" x14ac:dyDescent="0.3">
      <c r="A86">
        <v>7084</v>
      </c>
      <c r="B86" s="1">
        <v>45914</v>
      </c>
      <c r="C86" t="s">
        <v>40</v>
      </c>
      <c r="D86" t="s">
        <v>11</v>
      </c>
      <c r="E86" t="s">
        <v>12</v>
      </c>
      <c r="F86" t="s">
        <v>35</v>
      </c>
      <c r="G86" t="s">
        <v>23</v>
      </c>
      <c r="H86">
        <v>4195.22</v>
      </c>
      <c r="I86">
        <v>168</v>
      </c>
      <c r="J86" t="s">
        <v>28</v>
      </c>
      <c r="L86" t="str">
        <f t="shared" si="4"/>
        <v>yes</v>
      </c>
      <c r="M86">
        <f t="shared" si="5"/>
        <v>2025</v>
      </c>
      <c r="N86">
        <f t="shared" si="6"/>
        <v>3</v>
      </c>
      <c r="O86" t="str">
        <f t="shared" si="7"/>
        <v>Mumbai-Delhi</v>
      </c>
    </row>
    <row r="87" spans="1:15" x14ac:dyDescent="0.3">
      <c r="A87">
        <v>7085</v>
      </c>
      <c r="B87" s="1">
        <v>45803</v>
      </c>
      <c r="C87" t="s">
        <v>10</v>
      </c>
      <c r="D87" t="s">
        <v>12</v>
      </c>
      <c r="E87" t="s">
        <v>17</v>
      </c>
      <c r="F87" t="s">
        <v>33</v>
      </c>
      <c r="G87" t="s">
        <v>19</v>
      </c>
      <c r="H87">
        <v>8806.7999999999993</v>
      </c>
      <c r="I87">
        <v>0</v>
      </c>
      <c r="J87" t="s">
        <v>15</v>
      </c>
      <c r="L87" t="str">
        <f t="shared" si="4"/>
        <v/>
      </c>
      <c r="M87">
        <f t="shared" si="5"/>
        <v>2025</v>
      </c>
      <c r="N87">
        <f t="shared" si="6"/>
        <v>2</v>
      </c>
      <c r="O87" t="str">
        <f t="shared" si="7"/>
        <v>Delhi-Goa</v>
      </c>
    </row>
    <row r="88" spans="1:15" x14ac:dyDescent="0.3">
      <c r="A88">
        <v>7086</v>
      </c>
      <c r="B88" s="1">
        <v>45972</v>
      </c>
      <c r="C88" t="s">
        <v>29</v>
      </c>
      <c r="D88" t="s">
        <v>26</v>
      </c>
      <c r="E88" t="s">
        <v>27</v>
      </c>
      <c r="F88" t="s">
        <v>18</v>
      </c>
      <c r="G88" t="s">
        <v>19</v>
      </c>
      <c r="H88">
        <v>11924.42</v>
      </c>
      <c r="I88">
        <v>0</v>
      </c>
      <c r="J88" t="s">
        <v>15</v>
      </c>
      <c r="L88" t="str">
        <f t="shared" si="4"/>
        <v/>
      </c>
      <c r="M88">
        <f t="shared" si="5"/>
        <v>2025</v>
      </c>
      <c r="N88">
        <f t="shared" si="6"/>
        <v>4</v>
      </c>
      <c r="O88" t="str">
        <f t="shared" si="7"/>
        <v>Chennai-Hyderabad</v>
      </c>
    </row>
    <row r="89" spans="1:15" x14ac:dyDescent="0.3">
      <c r="A89">
        <v>7087</v>
      </c>
      <c r="B89" s="1">
        <v>45951</v>
      </c>
      <c r="C89" t="s">
        <v>30</v>
      </c>
      <c r="D89" t="s">
        <v>12</v>
      </c>
      <c r="E89" t="s">
        <v>31</v>
      </c>
      <c r="F89" t="s">
        <v>22</v>
      </c>
      <c r="G89" t="s">
        <v>23</v>
      </c>
      <c r="H89">
        <v>5234.74</v>
      </c>
      <c r="I89">
        <v>0</v>
      </c>
      <c r="J89" t="s">
        <v>15</v>
      </c>
      <c r="L89" t="str">
        <f t="shared" si="4"/>
        <v/>
      </c>
      <c r="M89">
        <f t="shared" si="5"/>
        <v>2025</v>
      </c>
      <c r="N89">
        <f t="shared" si="6"/>
        <v>4</v>
      </c>
      <c r="O89" t="str">
        <f t="shared" si="7"/>
        <v>Delhi-Bangalore</v>
      </c>
    </row>
    <row r="90" spans="1:15" x14ac:dyDescent="0.3">
      <c r="A90">
        <v>7088</v>
      </c>
      <c r="B90" s="1">
        <v>45875</v>
      </c>
      <c r="C90" t="s">
        <v>25</v>
      </c>
      <c r="D90" t="s">
        <v>11</v>
      </c>
      <c r="E90" t="s">
        <v>12</v>
      </c>
      <c r="F90" t="s">
        <v>13</v>
      </c>
      <c r="G90" t="s">
        <v>19</v>
      </c>
      <c r="H90">
        <v>11136.5</v>
      </c>
      <c r="I90">
        <v>17</v>
      </c>
      <c r="J90" t="s">
        <v>28</v>
      </c>
      <c r="L90" t="str">
        <f t="shared" si="4"/>
        <v>yes</v>
      </c>
      <c r="M90">
        <f t="shared" si="5"/>
        <v>2025</v>
      </c>
      <c r="N90">
        <f t="shared" si="6"/>
        <v>3</v>
      </c>
      <c r="O90" t="str">
        <f t="shared" si="7"/>
        <v>Mumbai-Delhi</v>
      </c>
    </row>
    <row r="91" spans="1:15" x14ac:dyDescent="0.3">
      <c r="A91">
        <v>7089</v>
      </c>
      <c r="B91" s="1">
        <v>45781</v>
      </c>
      <c r="C91" t="s">
        <v>40</v>
      </c>
      <c r="D91" t="s">
        <v>12</v>
      </c>
      <c r="E91" t="s">
        <v>31</v>
      </c>
      <c r="F91" t="s">
        <v>33</v>
      </c>
      <c r="G91" t="s">
        <v>23</v>
      </c>
      <c r="H91">
        <v>5766.27</v>
      </c>
      <c r="I91">
        <v>0</v>
      </c>
      <c r="J91" t="s">
        <v>15</v>
      </c>
      <c r="L91" t="str">
        <f t="shared" si="4"/>
        <v/>
      </c>
      <c r="M91">
        <f t="shared" si="5"/>
        <v>2025</v>
      </c>
      <c r="N91">
        <f t="shared" si="6"/>
        <v>2</v>
      </c>
      <c r="O91" t="str">
        <f t="shared" si="7"/>
        <v>Delhi-Bangalore</v>
      </c>
    </row>
    <row r="92" spans="1:15" x14ac:dyDescent="0.3">
      <c r="A92">
        <v>7090</v>
      </c>
      <c r="B92" s="1">
        <v>45942</v>
      </c>
      <c r="C92" t="s">
        <v>36</v>
      </c>
      <c r="D92" t="s">
        <v>12</v>
      </c>
      <c r="E92" t="s">
        <v>31</v>
      </c>
      <c r="F92" t="s">
        <v>33</v>
      </c>
      <c r="G92" t="s">
        <v>23</v>
      </c>
      <c r="H92">
        <v>3106.32</v>
      </c>
      <c r="I92">
        <v>94</v>
      </c>
      <c r="J92" t="s">
        <v>28</v>
      </c>
      <c r="L92" t="str">
        <f t="shared" si="4"/>
        <v>yes</v>
      </c>
      <c r="M92">
        <f t="shared" si="5"/>
        <v>2025</v>
      </c>
      <c r="N92">
        <f t="shared" si="6"/>
        <v>4</v>
      </c>
      <c r="O92" t="str">
        <f t="shared" si="7"/>
        <v>Delhi-Bangalore</v>
      </c>
    </row>
    <row r="93" spans="1:15" x14ac:dyDescent="0.3">
      <c r="A93">
        <v>7091</v>
      </c>
      <c r="B93" s="1">
        <v>45769</v>
      </c>
      <c r="C93" t="s">
        <v>40</v>
      </c>
      <c r="D93" t="s">
        <v>12</v>
      </c>
      <c r="E93" t="s">
        <v>31</v>
      </c>
      <c r="F93" t="s">
        <v>35</v>
      </c>
      <c r="G93" t="s">
        <v>19</v>
      </c>
      <c r="H93">
        <v>7246.39</v>
      </c>
      <c r="I93">
        <v>0</v>
      </c>
      <c r="J93" t="s">
        <v>15</v>
      </c>
      <c r="L93" t="str">
        <f t="shared" si="4"/>
        <v/>
      </c>
      <c r="M93">
        <f t="shared" si="5"/>
        <v>2025</v>
      </c>
      <c r="N93">
        <f t="shared" si="6"/>
        <v>2</v>
      </c>
      <c r="O93" t="str">
        <f t="shared" si="7"/>
        <v>Delhi-Bangalore</v>
      </c>
    </row>
    <row r="94" spans="1:15" x14ac:dyDescent="0.3">
      <c r="A94">
        <v>7092</v>
      </c>
      <c r="B94" s="1">
        <v>45786</v>
      </c>
      <c r="C94" t="s">
        <v>25</v>
      </c>
      <c r="D94" t="s">
        <v>26</v>
      </c>
      <c r="E94" t="s">
        <v>27</v>
      </c>
      <c r="F94" t="s">
        <v>18</v>
      </c>
      <c r="G94" t="s">
        <v>19</v>
      </c>
      <c r="H94">
        <v>13357.47</v>
      </c>
      <c r="I94">
        <v>0</v>
      </c>
      <c r="J94" t="s">
        <v>15</v>
      </c>
      <c r="L94" t="str">
        <f t="shared" si="4"/>
        <v/>
      </c>
      <c r="M94">
        <f t="shared" si="5"/>
        <v>2025</v>
      </c>
      <c r="N94">
        <f t="shared" si="6"/>
        <v>2</v>
      </c>
      <c r="O94" t="str">
        <f t="shared" si="7"/>
        <v>Chennai-Hyderabad</v>
      </c>
    </row>
    <row r="95" spans="1:15" x14ac:dyDescent="0.3">
      <c r="A95">
        <v>7093</v>
      </c>
      <c r="B95" s="1">
        <v>45824</v>
      </c>
      <c r="C95" t="s">
        <v>38</v>
      </c>
      <c r="D95" t="s">
        <v>26</v>
      </c>
      <c r="E95" t="s">
        <v>27</v>
      </c>
      <c r="F95" t="s">
        <v>18</v>
      </c>
      <c r="G95" t="s">
        <v>23</v>
      </c>
      <c r="H95">
        <v>2650.56</v>
      </c>
      <c r="I95">
        <v>0</v>
      </c>
      <c r="J95" t="s">
        <v>15</v>
      </c>
      <c r="L95" t="str">
        <f t="shared" si="4"/>
        <v/>
      </c>
      <c r="M95">
        <f t="shared" si="5"/>
        <v>2025</v>
      </c>
      <c r="N95">
        <f t="shared" si="6"/>
        <v>2</v>
      </c>
      <c r="O95" t="str">
        <f t="shared" si="7"/>
        <v>Chennai-Hyderabad</v>
      </c>
    </row>
    <row r="96" spans="1:15" x14ac:dyDescent="0.3">
      <c r="A96">
        <v>7094</v>
      </c>
      <c r="B96" s="1">
        <v>45875</v>
      </c>
      <c r="C96" t="s">
        <v>38</v>
      </c>
      <c r="D96" t="s">
        <v>31</v>
      </c>
      <c r="E96" t="s">
        <v>21</v>
      </c>
      <c r="F96" t="s">
        <v>35</v>
      </c>
      <c r="G96" t="s">
        <v>23</v>
      </c>
      <c r="H96">
        <v>4330.93</v>
      </c>
      <c r="I96">
        <v>175</v>
      </c>
      <c r="J96" t="s">
        <v>28</v>
      </c>
      <c r="L96" t="str">
        <f t="shared" si="4"/>
        <v>yes</v>
      </c>
      <c r="M96">
        <f t="shared" si="5"/>
        <v>2025</v>
      </c>
      <c r="N96">
        <f t="shared" si="6"/>
        <v>3</v>
      </c>
      <c r="O96" t="str">
        <f t="shared" si="7"/>
        <v>Bangalore-Kolkata</v>
      </c>
    </row>
    <row r="97" spans="1:15" x14ac:dyDescent="0.3">
      <c r="A97">
        <v>7095</v>
      </c>
      <c r="B97" s="1">
        <v>45923</v>
      </c>
      <c r="C97" t="s">
        <v>24</v>
      </c>
      <c r="D97" t="s">
        <v>11</v>
      </c>
      <c r="E97" t="s">
        <v>26</v>
      </c>
      <c r="F97" t="s">
        <v>18</v>
      </c>
      <c r="G97" t="s">
        <v>19</v>
      </c>
      <c r="H97">
        <v>8731.11</v>
      </c>
      <c r="I97">
        <v>0</v>
      </c>
      <c r="J97" t="s">
        <v>15</v>
      </c>
      <c r="L97" t="str">
        <f t="shared" si="4"/>
        <v/>
      </c>
      <c r="M97">
        <f t="shared" si="5"/>
        <v>2025</v>
      </c>
      <c r="N97">
        <f t="shared" si="6"/>
        <v>3</v>
      </c>
      <c r="O97" t="str">
        <f t="shared" si="7"/>
        <v>Mumbai-Chennai</v>
      </c>
    </row>
    <row r="98" spans="1:15" x14ac:dyDescent="0.3">
      <c r="A98">
        <v>7096</v>
      </c>
      <c r="B98" s="1">
        <v>45736</v>
      </c>
      <c r="C98" t="s">
        <v>10</v>
      </c>
      <c r="D98" t="s">
        <v>12</v>
      </c>
      <c r="E98" t="s">
        <v>17</v>
      </c>
      <c r="F98" t="s">
        <v>35</v>
      </c>
      <c r="G98" t="s">
        <v>23</v>
      </c>
      <c r="H98">
        <v>4577.22</v>
      </c>
      <c r="I98">
        <v>0</v>
      </c>
      <c r="J98" t="s">
        <v>15</v>
      </c>
      <c r="L98" t="str">
        <f t="shared" si="4"/>
        <v/>
      </c>
      <c r="M98">
        <f t="shared" si="5"/>
        <v>2025</v>
      </c>
      <c r="N98">
        <f t="shared" si="6"/>
        <v>1</v>
      </c>
      <c r="O98" t="str">
        <f t="shared" si="7"/>
        <v>Delhi-Goa</v>
      </c>
    </row>
    <row r="99" spans="1:15" x14ac:dyDescent="0.3">
      <c r="A99">
        <v>7097</v>
      </c>
      <c r="B99" s="1">
        <v>45943</v>
      </c>
      <c r="C99" t="s">
        <v>40</v>
      </c>
      <c r="D99" t="s">
        <v>12</v>
      </c>
      <c r="E99" t="s">
        <v>11</v>
      </c>
      <c r="F99" t="s">
        <v>22</v>
      </c>
      <c r="G99" t="s">
        <v>23</v>
      </c>
      <c r="H99">
        <v>5842.63</v>
      </c>
      <c r="I99">
        <v>0</v>
      </c>
      <c r="J99" t="s">
        <v>15</v>
      </c>
      <c r="L99" t="str">
        <f t="shared" si="4"/>
        <v/>
      </c>
      <c r="M99">
        <f t="shared" si="5"/>
        <v>2025</v>
      </c>
      <c r="N99">
        <f t="shared" si="6"/>
        <v>4</v>
      </c>
      <c r="O99" t="str">
        <f t="shared" si="7"/>
        <v>Delhi-Mumbai</v>
      </c>
    </row>
    <row r="100" spans="1:15" x14ac:dyDescent="0.3">
      <c r="A100">
        <v>7098</v>
      </c>
      <c r="B100" s="1">
        <v>46010</v>
      </c>
      <c r="C100" t="s">
        <v>16</v>
      </c>
      <c r="D100" t="s">
        <v>11</v>
      </c>
      <c r="E100" t="s">
        <v>26</v>
      </c>
      <c r="F100" t="s">
        <v>18</v>
      </c>
      <c r="G100" t="s">
        <v>19</v>
      </c>
      <c r="H100">
        <v>16361.46</v>
      </c>
      <c r="I100">
        <v>0</v>
      </c>
      <c r="J100" t="s">
        <v>15</v>
      </c>
      <c r="L100" t="str">
        <f t="shared" si="4"/>
        <v/>
      </c>
      <c r="M100">
        <f t="shared" si="5"/>
        <v>2025</v>
      </c>
      <c r="N100">
        <f t="shared" si="6"/>
        <v>4</v>
      </c>
      <c r="O100" t="str">
        <f t="shared" si="7"/>
        <v>Mumbai-Chennai</v>
      </c>
    </row>
    <row r="101" spans="1:15" x14ac:dyDescent="0.3">
      <c r="A101">
        <v>7099</v>
      </c>
      <c r="B101" s="1">
        <v>45759</v>
      </c>
      <c r="C101" t="s">
        <v>36</v>
      </c>
      <c r="D101" t="s">
        <v>12</v>
      </c>
      <c r="E101" t="s">
        <v>17</v>
      </c>
      <c r="F101" t="s">
        <v>33</v>
      </c>
      <c r="G101" t="s">
        <v>23</v>
      </c>
      <c r="H101">
        <v>3701.07</v>
      </c>
      <c r="I101">
        <v>0</v>
      </c>
      <c r="J101" t="s">
        <v>15</v>
      </c>
      <c r="L101" t="str">
        <f t="shared" si="4"/>
        <v/>
      </c>
      <c r="M101">
        <f t="shared" si="5"/>
        <v>2025</v>
      </c>
      <c r="N101">
        <f t="shared" si="6"/>
        <v>2</v>
      </c>
      <c r="O101" t="str">
        <f t="shared" si="7"/>
        <v>Delhi-Goa</v>
      </c>
    </row>
    <row r="102" spans="1:15" x14ac:dyDescent="0.3">
      <c r="A102">
        <v>7100</v>
      </c>
      <c r="B102" s="1">
        <v>45877</v>
      </c>
      <c r="C102" t="s">
        <v>24</v>
      </c>
      <c r="D102" t="s">
        <v>12</v>
      </c>
      <c r="E102" t="s">
        <v>11</v>
      </c>
      <c r="F102" t="s">
        <v>18</v>
      </c>
      <c r="G102" t="s">
        <v>23</v>
      </c>
      <c r="H102">
        <v>4161.96</v>
      </c>
      <c r="I102">
        <v>0</v>
      </c>
      <c r="J102" t="s">
        <v>15</v>
      </c>
      <c r="L102" t="str">
        <f t="shared" si="4"/>
        <v/>
      </c>
      <c r="M102">
        <f t="shared" si="5"/>
        <v>2025</v>
      </c>
      <c r="N102">
        <f t="shared" si="6"/>
        <v>3</v>
      </c>
      <c r="O102" t="str">
        <f t="shared" si="7"/>
        <v>Delhi-Mumbai</v>
      </c>
    </row>
    <row r="103" spans="1:15" x14ac:dyDescent="0.3">
      <c r="A103">
        <v>7101</v>
      </c>
      <c r="B103" s="1">
        <v>45851</v>
      </c>
      <c r="C103" t="s">
        <v>40</v>
      </c>
      <c r="D103" t="s">
        <v>11</v>
      </c>
      <c r="E103" t="s">
        <v>12</v>
      </c>
      <c r="F103" t="s">
        <v>13</v>
      </c>
      <c r="G103" t="s">
        <v>14</v>
      </c>
      <c r="H103">
        <v>8663.3700000000008</v>
      </c>
      <c r="I103">
        <v>0</v>
      </c>
      <c r="J103" t="s">
        <v>15</v>
      </c>
      <c r="L103" t="str">
        <f t="shared" si="4"/>
        <v/>
      </c>
      <c r="M103">
        <f t="shared" si="5"/>
        <v>2025</v>
      </c>
      <c r="N103">
        <f t="shared" si="6"/>
        <v>3</v>
      </c>
      <c r="O103" t="str">
        <f t="shared" si="7"/>
        <v>Mumbai-Delhi</v>
      </c>
    </row>
    <row r="104" spans="1:15" x14ac:dyDescent="0.3">
      <c r="A104">
        <v>7102</v>
      </c>
      <c r="B104" s="1">
        <v>45708</v>
      </c>
      <c r="C104" t="s">
        <v>42</v>
      </c>
      <c r="D104" t="s">
        <v>31</v>
      </c>
      <c r="E104" t="s">
        <v>21</v>
      </c>
      <c r="F104" t="s">
        <v>13</v>
      </c>
      <c r="G104" t="s">
        <v>14</v>
      </c>
      <c r="H104">
        <v>5465.71</v>
      </c>
      <c r="I104">
        <v>0</v>
      </c>
      <c r="J104" t="s">
        <v>15</v>
      </c>
      <c r="L104" t="str">
        <f t="shared" si="4"/>
        <v/>
      </c>
      <c r="M104">
        <f t="shared" si="5"/>
        <v>2025</v>
      </c>
      <c r="N104">
        <f t="shared" si="6"/>
        <v>1</v>
      </c>
      <c r="O104" t="str">
        <f t="shared" si="7"/>
        <v>Bangalore-Kolkata</v>
      </c>
    </row>
    <row r="105" spans="1:15" x14ac:dyDescent="0.3">
      <c r="A105">
        <v>7103</v>
      </c>
      <c r="B105" s="1">
        <v>45721</v>
      </c>
      <c r="C105" t="s">
        <v>32</v>
      </c>
      <c r="D105" t="s">
        <v>26</v>
      </c>
      <c r="E105" t="s">
        <v>27</v>
      </c>
      <c r="F105" t="s">
        <v>22</v>
      </c>
      <c r="G105" t="s">
        <v>14</v>
      </c>
      <c r="H105">
        <v>5326.6</v>
      </c>
      <c r="I105">
        <v>0</v>
      </c>
      <c r="J105" t="s">
        <v>15</v>
      </c>
      <c r="L105" t="str">
        <f t="shared" si="4"/>
        <v/>
      </c>
      <c r="M105">
        <f t="shared" si="5"/>
        <v>2025</v>
      </c>
      <c r="N105">
        <f t="shared" si="6"/>
        <v>1</v>
      </c>
      <c r="O105" t="str">
        <f t="shared" si="7"/>
        <v>Chennai-Hyderabad</v>
      </c>
    </row>
    <row r="106" spans="1:15" x14ac:dyDescent="0.3">
      <c r="A106">
        <v>7104</v>
      </c>
      <c r="B106" s="1">
        <v>45724</v>
      </c>
      <c r="C106" t="s">
        <v>40</v>
      </c>
      <c r="D106" t="s">
        <v>12</v>
      </c>
      <c r="E106" t="s">
        <v>17</v>
      </c>
      <c r="F106" t="s">
        <v>13</v>
      </c>
      <c r="G106" t="s">
        <v>14</v>
      </c>
      <c r="H106">
        <v>7735.15</v>
      </c>
      <c r="I106">
        <v>49</v>
      </c>
      <c r="J106" t="s">
        <v>28</v>
      </c>
      <c r="L106" t="str">
        <f t="shared" si="4"/>
        <v>yes</v>
      </c>
      <c r="M106">
        <f t="shared" si="5"/>
        <v>2025</v>
      </c>
      <c r="N106">
        <f t="shared" si="6"/>
        <v>1</v>
      </c>
      <c r="O106" t="str">
        <f t="shared" si="7"/>
        <v>Delhi-Goa</v>
      </c>
    </row>
    <row r="107" spans="1:15" x14ac:dyDescent="0.3">
      <c r="A107">
        <v>7105</v>
      </c>
      <c r="B107" s="1">
        <v>45723</v>
      </c>
      <c r="C107" t="s">
        <v>40</v>
      </c>
      <c r="D107" t="s">
        <v>12</v>
      </c>
      <c r="E107" t="s">
        <v>17</v>
      </c>
      <c r="F107" t="s">
        <v>22</v>
      </c>
      <c r="G107" t="s">
        <v>23</v>
      </c>
      <c r="H107">
        <v>4332.71</v>
      </c>
      <c r="I107">
        <v>0</v>
      </c>
      <c r="J107" t="s">
        <v>15</v>
      </c>
      <c r="L107" t="str">
        <f t="shared" si="4"/>
        <v/>
      </c>
      <c r="M107">
        <f t="shared" si="5"/>
        <v>2025</v>
      </c>
      <c r="N107">
        <f t="shared" si="6"/>
        <v>1</v>
      </c>
      <c r="O107" t="str">
        <f t="shared" si="7"/>
        <v>Delhi-Goa</v>
      </c>
    </row>
    <row r="108" spans="1:15" x14ac:dyDescent="0.3">
      <c r="A108">
        <v>7106</v>
      </c>
      <c r="B108" s="1">
        <v>45834</v>
      </c>
      <c r="C108" t="s">
        <v>30</v>
      </c>
      <c r="D108" t="s">
        <v>11</v>
      </c>
      <c r="E108" t="s">
        <v>12</v>
      </c>
      <c r="F108" t="s">
        <v>35</v>
      </c>
      <c r="G108" t="s">
        <v>19</v>
      </c>
      <c r="H108">
        <v>15208.78</v>
      </c>
      <c r="I108">
        <v>0</v>
      </c>
      <c r="J108" t="s">
        <v>15</v>
      </c>
      <c r="L108" t="str">
        <f t="shared" si="4"/>
        <v/>
      </c>
      <c r="M108">
        <f t="shared" si="5"/>
        <v>2025</v>
      </c>
      <c r="N108">
        <f t="shared" si="6"/>
        <v>2</v>
      </c>
      <c r="O108" t="str">
        <f t="shared" si="7"/>
        <v>Mumbai-Delhi</v>
      </c>
    </row>
    <row r="109" spans="1:15" x14ac:dyDescent="0.3">
      <c r="A109">
        <v>7107</v>
      </c>
      <c r="B109" s="1">
        <v>45812</v>
      </c>
      <c r="C109" t="s">
        <v>41</v>
      </c>
      <c r="D109" t="s">
        <v>31</v>
      </c>
      <c r="E109" t="s">
        <v>21</v>
      </c>
      <c r="F109" t="s">
        <v>18</v>
      </c>
      <c r="G109" t="s">
        <v>14</v>
      </c>
      <c r="H109">
        <v>6798.81</v>
      </c>
      <c r="I109">
        <v>0</v>
      </c>
      <c r="J109" t="s">
        <v>15</v>
      </c>
      <c r="L109" t="str">
        <f t="shared" si="4"/>
        <v/>
      </c>
      <c r="M109">
        <f t="shared" si="5"/>
        <v>2025</v>
      </c>
      <c r="N109">
        <f t="shared" si="6"/>
        <v>2</v>
      </c>
      <c r="O109" t="str">
        <f t="shared" si="7"/>
        <v>Bangalore-Kolkata</v>
      </c>
    </row>
    <row r="110" spans="1:15" x14ac:dyDescent="0.3">
      <c r="A110">
        <v>7108</v>
      </c>
      <c r="B110" s="1">
        <v>45839</v>
      </c>
      <c r="C110" t="s">
        <v>39</v>
      </c>
      <c r="D110" t="s">
        <v>12</v>
      </c>
      <c r="E110" t="s">
        <v>11</v>
      </c>
      <c r="F110" t="s">
        <v>33</v>
      </c>
      <c r="G110" t="s">
        <v>23</v>
      </c>
      <c r="H110">
        <v>5271.97</v>
      </c>
      <c r="I110">
        <v>0</v>
      </c>
      <c r="J110" t="s">
        <v>15</v>
      </c>
      <c r="L110" t="str">
        <f t="shared" si="4"/>
        <v/>
      </c>
      <c r="M110">
        <f t="shared" si="5"/>
        <v>2025</v>
      </c>
      <c r="N110">
        <f t="shared" si="6"/>
        <v>3</v>
      </c>
      <c r="O110" t="str">
        <f t="shared" si="7"/>
        <v>Delhi-Mumbai</v>
      </c>
    </row>
    <row r="111" spans="1:15" x14ac:dyDescent="0.3">
      <c r="A111">
        <v>7109</v>
      </c>
      <c r="B111" s="1">
        <v>45665</v>
      </c>
      <c r="C111" t="s">
        <v>24</v>
      </c>
      <c r="D111" t="s">
        <v>26</v>
      </c>
      <c r="E111" t="s">
        <v>27</v>
      </c>
      <c r="F111" t="s">
        <v>33</v>
      </c>
      <c r="G111" t="s">
        <v>19</v>
      </c>
      <c r="H111">
        <v>7393.66</v>
      </c>
      <c r="I111">
        <v>0</v>
      </c>
      <c r="J111" t="s">
        <v>15</v>
      </c>
      <c r="L111" t="str">
        <f t="shared" si="4"/>
        <v/>
      </c>
      <c r="M111">
        <f t="shared" si="5"/>
        <v>2025</v>
      </c>
      <c r="N111">
        <f t="shared" si="6"/>
        <v>1</v>
      </c>
      <c r="O111" t="str">
        <f t="shared" si="7"/>
        <v>Chennai-Hyderabad</v>
      </c>
    </row>
    <row r="112" spans="1:15" x14ac:dyDescent="0.3">
      <c r="A112">
        <v>7110</v>
      </c>
      <c r="B112" s="1">
        <v>45892</v>
      </c>
      <c r="C112" t="s">
        <v>25</v>
      </c>
      <c r="D112" t="s">
        <v>12</v>
      </c>
      <c r="E112" t="s">
        <v>11</v>
      </c>
      <c r="F112" t="s">
        <v>13</v>
      </c>
      <c r="G112" t="s">
        <v>14</v>
      </c>
      <c r="H112">
        <v>6938.1</v>
      </c>
      <c r="I112">
        <v>0</v>
      </c>
      <c r="J112" t="s">
        <v>15</v>
      </c>
      <c r="L112" t="str">
        <f t="shared" si="4"/>
        <v/>
      </c>
      <c r="M112">
        <f t="shared" si="5"/>
        <v>2025</v>
      </c>
      <c r="N112">
        <f t="shared" si="6"/>
        <v>3</v>
      </c>
      <c r="O112" t="str">
        <f t="shared" si="7"/>
        <v>Delhi-Mumbai</v>
      </c>
    </row>
    <row r="113" spans="1:15" x14ac:dyDescent="0.3">
      <c r="A113">
        <v>7111</v>
      </c>
      <c r="B113" s="1">
        <v>45985</v>
      </c>
      <c r="C113" t="s">
        <v>37</v>
      </c>
      <c r="D113" t="s">
        <v>31</v>
      </c>
      <c r="E113" t="s">
        <v>21</v>
      </c>
      <c r="F113" t="s">
        <v>33</v>
      </c>
      <c r="G113" t="s">
        <v>19</v>
      </c>
      <c r="H113">
        <v>9157.66</v>
      </c>
      <c r="I113">
        <v>0</v>
      </c>
      <c r="J113" t="s">
        <v>15</v>
      </c>
      <c r="L113" t="str">
        <f t="shared" si="4"/>
        <v/>
      </c>
      <c r="M113">
        <f t="shared" si="5"/>
        <v>2025</v>
      </c>
      <c r="N113">
        <f t="shared" si="6"/>
        <v>4</v>
      </c>
      <c r="O113" t="str">
        <f t="shared" si="7"/>
        <v>Bangalore-Kolkata</v>
      </c>
    </row>
    <row r="114" spans="1:15" x14ac:dyDescent="0.3">
      <c r="A114">
        <v>7112</v>
      </c>
      <c r="B114" s="1">
        <v>45668</v>
      </c>
      <c r="C114" t="s">
        <v>20</v>
      </c>
      <c r="D114" t="s">
        <v>11</v>
      </c>
      <c r="E114" t="s">
        <v>26</v>
      </c>
      <c r="F114" t="s">
        <v>13</v>
      </c>
      <c r="G114" t="s">
        <v>19</v>
      </c>
      <c r="H114">
        <v>15176.41</v>
      </c>
      <c r="I114">
        <v>0</v>
      </c>
      <c r="J114" t="s">
        <v>15</v>
      </c>
      <c r="L114" t="str">
        <f t="shared" si="4"/>
        <v/>
      </c>
      <c r="M114">
        <f t="shared" si="5"/>
        <v>2025</v>
      </c>
      <c r="N114">
        <f t="shared" si="6"/>
        <v>1</v>
      </c>
      <c r="O114" t="str">
        <f t="shared" si="7"/>
        <v>Mumbai-Chennai</v>
      </c>
    </row>
    <row r="115" spans="1:15" x14ac:dyDescent="0.3">
      <c r="A115">
        <v>7113</v>
      </c>
      <c r="B115" s="1">
        <v>45949</v>
      </c>
      <c r="C115" t="s">
        <v>37</v>
      </c>
      <c r="D115" t="s">
        <v>12</v>
      </c>
      <c r="E115" t="s">
        <v>17</v>
      </c>
      <c r="F115" t="s">
        <v>22</v>
      </c>
      <c r="G115" t="s">
        <v>23</v>
      </c>
      <c r="H115">
        <v>4902.83</v>
      </c>
      <c r="I115">
        <v>0</v>
      </c>
      <c r="J115" t="s">
        <v>15</v>
      </c>
      <c r="L115" t="str">
        <f t="shared" si="4"/>
        <v/>
      </c>
      <c r="M115">
        <f t="shared" si="5"/>
        <v>2025</v>
      </c>
      <c r="N115">
        <f t="shared" si="6"/>
        <v>4</v>
      </c>
      <c r="O115" t="str">
        <f t="shared" si="7"/>
        <v>Delhi-Goa</v>
      </c>
    </row>
    <row r="116" spans="1:15" x14ac:dyDescent="0.3">
      <c r="A116">
        <v>7114</v>
      </c>
      <c r="B116" s="1">
        <v>45734</v>
      </c>
      <c r="C116" t="s">
        <v>38</v>
      </c>
      <c r="D116" t="s">
        <v>21</v>
      </c>
      <c r="E116" t="s">
        <v>12</v>
      </c>
      <c r="F116" t="s">
        <v>13</v>
      </c>
      <c r="G116" t="s">
        <v>23</v>
      </c>
      <c r="H116">
        <v>3720.16</v>
      </c>
      <c r="I116">
        <v>0</v>
      </c>
      <c r="J116" t="s">
        <v>15</v>
      </c>
      <c r="L116" t="str">
        <f t="shared" si="4"/>
        <v/>
      </c>
      <c r="M116">
        <f t="shared" si="5"/>
        <v>2025</v>
      </c>
      <c r="N116">
        <f t="shared" si="6"/>
        <v>1</v>
      </c>
      <c r="O116" t="str">
        <f t="shared" si="7"/>
        <v>Kolkata-Delhi</v>
      </c>
    </row>
    <row r="117" spans="1:15" x14ac:dyDescent="0.3">
      <c r="A117">
        <v>7115</v>
      </c>
      <c r="B117" s="1">
        <v>45999</v>
      </c>
      <c r="C117" t="s">
        <v>37</v>
      </c>
      <c r="D117" t="s">
        <v>26</v>
      </c>
      <c r="E117" t="s">
        <v>27</v>
      </c>
      <c r="F117" t="s">
        <v>22</v>
      </c>
      <c r="G117" t="s">
        <v>19</v>
      </c>
      <c r="H117">
        <v>15245.55</v>
      </c>
      <c r="I117">
        <v>152</v>
      </c>
      <c r="J117" t="s">
        <v>28</v>
      </c>
      <c r="L117" t="str">
        <f t="shared" si="4"/>
        <v>yes</v>
      </c>
      <c r="M117">
        <f t="shared" si="5"/>
        <v>2025</v>
      </c>
      <c r="N117">
        <f t="shared" si="6"/>
        <v>4</v>
      </c>
      <c r="O117" t="str">
        <f t="shared" si="7"/>
        <v>Chennai-Hyderabad</v>
      </c>
    </row>
    <row r="118" spans="1:15" x14ac:dyDescent="0.3">
      <c r="A118">
        <v>7116</v>
      </c>
      <c r="B118" s="1">
        <v>45857</v>
      </c>
      <c r="C118" t="s">
        <v>38</v>
      </c>
      <c r="D118" t="s">
        <v>11</v>
      </c>
      <c r="E118" t="s">
        <v>26</v>
      </c>
      <c r="F118" t="s">
        <v>35</v>
      </c>
      <c r="G118" t="s">
        <v>19</v>
      </c>
      <c r="H118">
        <v>15240.17</v>
      </c>
      <c r="I118">
        <v>0</v>
      </c>
      <c r="J118" t="s">
        <v>15</v>
      </c>
      <c r="L118" t="str">
        <f t="shared" si="4"/>
        <v/>
      </c>
      <c r="M118">
        <f t="shared" si="5"/>
        <v>2025</v>
      </c>
      <c r="N118">
        <f t="shared" si="6"/>
        <v>3</v>
      </c>
      <c r="O118" t="str">
        <f t="shared" si="7"/>
        <v>Mumbai-Chennai</v>
      </c>
    </row>
    <row r="119" spans="1:15" x14ac:dyDescent="0.3">
      <c r="A119">
        <v>7117</v>
      </c>
      <c r="B119" s="1">
        <v>45746</v>
      </c>
      <c r="C119" t="s">
        <v>20</v>
      </c>
      <c r="D119" t="s">
        <v>12</v>
      </c>
      <c r="E119" t="s">
        <v>17</v>
      </c>
      <c r="F119" t="s">
        <v>13</v>
      </c>
      <c r="G119" t="s">
        <v>19</v>
      </c>
      <c r="H119">
        <v>7001.09</v>
      </c>
      <c r="I119">
        <v>0</v>
      </c>
      <c r="J119" t="s">
        <v>15</v>
      </c>
      <c r="L119" t="str">
        <f t="shared" si="4"/>
        <v/>
      </c>
      <c r="M119">
        <f t="shared" si="5"/>
        <v>2025</v>
      </c>
      <c r="N119">
        <f t="shared" si="6"/>
        <v>1</v>
      </c>
      <c r="O119" t="str">
        <f t="shared" si="7"/>
        <v>Delhi-Goa</v>
      </c>
    </row>
    <row r="120" spans="1:15" x14ac:dyDescent="0.3">
      <c r="A120">
        <v>7118</v>
      </c>
      <c r="B120" s="1">
        <v>46022</v>
      </c>
      <c r="C120" t="s">
        <v>24</v>
      </c>
      <c r="D120" t="s">
        <v>12</v>
      </c>
      <c r="E120" t="s">
        <v>17</v>
      </c>
      <c r="F120" t="s">
        <v>13</v>
      </c>
      <c r="G120" t="s">
        <v>23</v>
      </c>
      <c r="H120">
        <v>4860.17</v>
      </c>
      <c r="I120">
        <v>0</v>
      </c>
      <c r="J120" t="s">
        <v>15</v>
      </c>
      <c r="L120" t="str">
        <f t="shared" si="4"/>
        <v/>
      </c>
      <c r="M120">
        <f t="shared" si="5"/>
        <v>2025</v>
      </c>
      <c r="N120">
        <f t="shared" si="6"/>
        <v>4</v>
      </c>
      <c r="O120" t="str">
        <f t="shared" si="7"/>
        <v>Delhi-Goa</v>
      </c>
    </row>
    <row r="121" spans="1:15" x14ac:dyDescent="0.3">
      <c r="A121">
        <v>7119</v>
      </c>
      <c r="B121" s="1">
        <v>45859</v>
      </c>
      <c r="C121" t="s">
        <v>29</v>
      </c>
      <c r="D121" t="s">
        <v>11</v>
      </c>
      <c r="E121" t="s">
        <v>26</v>
      </c>
      <c r="F121" t="s">
        <v>35</v>
      </c>
      <c r="G121" t="s">
        <v>19</v>
      </c>
      <c r="H121">
        <v>9506.9</v>
      </c>
      <c r="I121">
        <v>91</v>
      </c>
      <c r="J121" t="s">
        <v>28</v>
      </c>
      <c r="L121" t="str">
        <f t="shared" si="4"/>
        <v>yes</v>
      </c>
      <c r="M121">
        <f t="shared" si="5"/>
        <v>2025</v>
      </c>
      <c r="N121">
        <f t="shared" si="6"/>
        <v>3</v>
      </c>
      <c r="O121" t="str">
        <f t="shared" si="7"/>
        <v>Mumbai-Chennai</v>
      </c>
    </row>
    <row r="122" spans="1:15" x14ac:dyDescent="0.3">
      <c r="A122">
        <v>7120</v>
      </c>
      <c r="B122" s="1">
        <v>45737</v>
      </c>
      <c r="C122" t="s">
        <v>39</v>
      </c>
      <c r="D122" t="s">
        <v>11</v>
      </c>
      <c r="E122" t="s">
        <v>26</v>
      </c>
      <c r="F122" t="s">
        <v>35</v>
      </c>
      <c r="G122" t="s">
        <v>14</v>
      </c>
      <c r="H122">
        <v>4929.13</v>
      </c>
      <c r="I122">
        <v>0</v>
      </c>
      <c r="J122" t="s">
        <v>15</v>
      </c>
      <c r="L122" t="str">
        <f t="shared" si="4"/>
        <v/>
      </c>
      <c r="M122">
        <f t="shared" si="5"/>
        <v>2025</v>
      </c>
      <c r="N122">
        <f t="shared" si="6"/>
        <v>1</v>
      </c>
      <c r="O122" t="str">
        <f t="shared" si="7"/>
        <v>Mumbai-Chennai</v>
      </c>
    </row>
    <row r="123" spans="1:15" x14ac:dyDescent="0.3">
      <c r="A123">
        <v>7121</v>
      </c>
      <c r="B123" s="1">
        <v>45981</v>
      </c>
      <c r="C123" t="s">
        <v>10</v>
      </c>
      <c r="D123" t="s">
        <v>21</v>
      </c>
      <c r="E123" t="s">
        <v>12</v>
      </c>
      <c r="F123" t="s">
        <v>22</v>
      </c>
      <c r="G123" t="s">
        <v>14</v>
      </c>
      <c r="H123">
        <v>7527.1</v>
      </c>
      <c r="I123">
        <v>138</v>
      </c>
      <c r="J123" t="s">
        <v>28</v>
      </c>
      <c r="L123" t="str">
        <f t="shared" si="4"/>
        <v>yes</v>
      </c>
      <c r="M123">
        <f t="shared" si="5"/>
        <v>2025</v>
      </c>
      <c r="N123">
        <f t="shared" si="6"/>
        <v>4</v>
      </c>
      <c r="O123" t="str">
        <f t="shared" si="7"/>
        <v>Kolkata-Delhi</v>
      </c>
    </row>
    <row r="124" spans="1:15" x14ac:dyDescent="0.3">
      <c r="A124">
        <v>7122</v>
      </c>
      <c r="B124" s="1">
        <v>45942</v>
      </c>
      <c r="C124" t="s">
        <v>36</v>
      </c>
      <c r="D124" t="s">
        <v>11</v>
      </c>
      <c r="E124" t="s">
        <v>26</v>
      </c>
      <c r="F124" t="s">
        <v>18</v>
      </c>
      <c r="G124" t="s">
        <v>19</v>
      </c>
      <c r="H124">
        <v>11933.07</v>
      </c>
      <c r="I124">
        <v>0</v>
      </c>
      <c r="J124" t="s">
        <v>15</v>
      </c>
      <c r="L124" t="str">
        <f t="shared" si="4"/>
        <v/>
      </c>
      <c r="M124">
        <f t="shared" si="5"/>
        <v>2025</v>
      </c>
      <c r="N124">
        <f t="shared" si="6"/>
        <v>4</v>
      </c>
      <c r="O124" t="str">
        <f t="shared" si="7"/>
        <v>Mumbai-Chennai</v>
      </c>
    </row>
    <row r="125" spans="1:15" x14ac:dyDescent="0.3">
      <c r="A125">
        <v>7123</v>
      </c>
      <c r="B125" s="1">
        <v>46010</v>
      </c>
      <c r="C125" t="s">
        <v>37</v>
      </c>
      <c r="D125" t="s">
        <v>11</v>
      </c>
      <c r="E125" t="s">
        <v>26</v>
      </c>
      <c r="F125" t="s">
        <v>22</v>
      </c>
      <c r="G125" t="s">
        <v>14</v>
      </c>
      <c r="H125">
        <v>4659.21</v>
      </c>
      <c r="I125">
        <v>0</v>
      </c>
      <c r="J125" t="s">
        <v>15</v>
      </c>
      <c r="L125" t="str">
        <f t="shared" si="4"/>
        <v/>
      </c>
      <c r="M125">
        <f t="shared" si="5"/>
        <v>2025</v>
      </c>
      <c r="N125">
        <f t="shared" si="6"/>
        <v>4</v>
      </c>
      <c r="O125" t="str">
        <f t="shared" si="7"/>
        <v>Mumbai-Chennai</v>
      </c>
    </row>
    <row r="126" spans="1:15" x14ac:dyDescent="0.3">
      <c r="A126">
        <v>7124</v>
      </c>
      <c r="B126" s="1">
        <v>46018</v>
      </c>
      <c r="C126" t="s">
        <v>16</v>
      </c>
      <c r="D126" t="s">
        <v>11</v>
      </c>
      <c r="E126" t="s">
        <v>12</v>
      </c>
      <c r="F126" t="s">
        <v>13</v>
      </c>
      <c r="G126" t="s">
        <v>19</v>
      </c>
      <c r="H126">
        <v>16578.3</v>
      </c>
      <c r="I126">
        <v>0</v>
      </c>
      <c r="J126" t="s">
        <v>15</v>
      </c>
      <c r="L126" t="str">
        <f t="shared" si="4"/>
        <v/>
      </c>
      <c r="M126">
        <f t="shared" si="5"/>
        <v>2025</v>
      </c>
      <c r="N126">
        <f t="shared" si="6"/>
        <v>4</v>
      </c>
      <c r="O126" t="str">
        <f t="shared" si="7"/>
        <v>Mumbai-Delhi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abSelected="1" topLeftCell="A7" zoomScaleNormal="100" workbookViewId="0">
      <selection activeCell="B27" sqref="B27"/>
    </sheetView>
  </sheetViews>
  <sheetFormatPr defaultColWidth="8.6640625" defaultRowHeight="14.4" x14ac:dyDescent="0.3"/>
  <cols>
    <col min="1" max="1" width="129" bestFit="1" customWidth="1"/>
    <col min="2" max="2" width="17.88671875" bestFit="1" customWidth="1"/>
    <col min="4" max="4" width="12.21875" bestFit="1" customWidth="1"/>
  </cols>
  <sheetData>
    <row r="1" spans="1:6" ht="17.399999999999999" x14ac:dyDescent="0.3">
      <c r="A1" s="3" t="s">
        <v>43</v>
      </c>
    </row>
    <row r="2" spans="1:6" x14ac:dyDescent="0.3">
      <c r="A2" t="s">
        <v>44</v>
      </c>
      <c r="E2" t="s">
        <v>81</v>
      </c>
    </row>
    <row r="3" spans="1:6" x14ac:dyDescent="0.3">
      <c r="E3" t="str" cm="1">
        <f t="array" ref="E3:E7">_xlfn.UNIQUE(Data!F2:F126)</f>
        <v>IndiGo</v>
      </c>
      <c r="F3">
        <f>SUMIF(Data!F2:F126,'Formula Test'!E3,Data!H2:H126)</f>
        <v>204763.24</v>
      </c>
    </row>
    <row r="4" spans="1:6" x14ac:dyDescent="0.3">
      <c r="A4" s="2" t="s">
        <v>45</v>
      </c>
      <c r="B4">
        <f>SUMIFS(Data!H2:H126,Data!F2:F126,"Vistara",Data!G2:G126,"Business")</f>
        <v>77082.080000000002</v>
      </c>
      <c r="E4" t="str">
        <v>AirAsia</v>
      </c>
      <c r="F4">
        <f>SUMIF(Data!F3:F127,'Formula Test'!E4,Data!H3:H127)</f>
        <v>187965.97999999998</v>
      </c>
    </row>
    <row r="5" spans="1:6" x14ac:dyDescent="0.3">
      <c r="A5" s="2" t="s">
        <v>46</v>
      </c>
      <c r="B5">
        <f>COUNTIFS(Data!J2:J126,"Delayed",Data!I2:I126,"&gt;60")</f>
        <v>22</v>
      </c>
      <c r="E5" t="str">
        <v>Vistara</v>
      </c>
      <c r="F5">
        <f>SUMIF(Data!F4:F128,'Formula Test'!E5,Data!H4:H128)</f>
        <v>196624.97999999992</v>
      </c>
    </row>
    <row r="6" spans="1:6" x14ac:dyDescent="0.3">
      <c r="A6" s="2" t="s">
        <v>47</v>
      </c>
      <c r="B6" t="str">
        <f>_xlfn.XLOOKUP(7050,Data!A2:A126,Data!E2:E126,"null",0)</f>
        <v>Chennai</v>
      </c>
      <c r="E6" t="str">
        <v>Air India</v>
      </c>
      <c r="F6">
        <f>SUMIF(Data!F5:F129,'Formula Test'!E6,Data!H5:H129)</f>
        <v>146267.62</v>
      </c>
    </row>
    <row r="7" spans="1:6" x14ac:dyDescent="0.3">
      <c r="A7" s="2" t="s">
        <v>48</v>
      </c>
      <c r="B7">
        <f>AVERAGEIFS(Data!H2:H126,Data!G2:G126,"Economy",Data!D2:D126,"Delhi",Data!E2:E126,"Mumbai")</f>
        <v>4824.8680000000004</v>
      </c>
      <c r="E7" t="str">
        <v>SpiceJet</v>
      </c>
      <c r="F7">
        <f>SUMIF(Data!F6:F130,'Formula Test'!E7,Data!H6:H130)</f>
        <v>209560.11000000004</v>
      </c>
    </row>
    <row r="8" spans="1:6" x14ac:dyDescent="0.3">
      <c r="A8" s="2" t="s">
        <v>49</v>
      </c>
      <c r="B8">
        <f>SUMIF(Data!J2:J126,"&lt;&gt;Cancelled",Data!H2:H126)</f>
        <v>928035.25</v>
      </c>
    </row>
    <row r="9" spans="1:6" x14ac:dyDescent="0.3">
      <c r="A9" s="2" t="s">
        <v>50</v>
      </c>
      <c r="B9" t="str">
        <f>IF(Data!I2=0,"None",IF(Data!I2&lt;=60,"Short","Long"))</f>
        <v>None</v>
      </c>
    </row>
    <row r="10" spans="1:6" x14ac:dyDescent="0.3">
      <c r="A10" s="2" t="s">
        <v>51</v>
      </c>
      <c r="B10" t="str">
        <f>TEXT(Data!B12,"mmmm yyyy")</f>
        <v>January 2025</v>
      </c>
    </row>
    <row r="11" spans="1:6" x14ac:dyDescent="0.3">
      <c r="A11" s="2" t="s">
        <v>52</v>
      </c>
      <c r="B11" cm="1">
        <f t="array" ref="B11">SUMPRODUCT((Data!D2:D126="Mumbai")*(Data!E2:E126="Chennai"),Data!H2:H126)</f>
        <v>214249.29</v>
      </c>
      <c r="D11" t="s">
        <v>73</v>
      </c>
      <c r="E11" t="s">
        <v>75</v>
      </c>
      <c r="F11" t="s">
        <v>74</v>
      </c>
    </row>
    <row r="12" spans="1:6" x14ac:dyDescent="0.3">
      <c r="A12" s="2" t="s">
        <v>53</v>
      </c>
      <c r="B12" t="s">
        <v>72</v>
      </c>
      <c r="D12" t="str" cm="1">
        <f t="array" ref="D12:D16">_xlfn._xlws.SORT(_xlfn.UNIQUE(Data!F2:F126))</f>
        <v>Air India</v>
      </c>
      <c r="E12">
        <f>_xlfn.MAXIFS(Data!I2:I126,Data!F2:F126,'Formula Test'!D12,Data!J2:J126,"Delayed")</f>
        <v>128</v>
      </c>
      <c r="F12" cm="1">
        <f t="array" ref="F12:F44">_xlfn._xlws.FILTER(Data!A2:A126,(Data!G2:G126="Business")*(Data!J2:J126="On Time"))</f>
        <v>7001</v>
      </c>
    </row>
    <row r="13" spans="1:6" x14ac:dyDescent="0.3">
      <c r="A13" s="2" t="s">
        <v>54</v>
      </c>
      <c r="B13" t="s">
        <v>72</v>
      </c>
      <c r="D13" t="str">
        <v>AirAsia</v>
      </c>
      <c r="E13">
        <f>_xlfn.MAXIFS(Data!I3:I127,Data!F3:F127,'Formula Test'!D13,Data!J3:J127,"Delayed")</f>
        <v>139</v>
      </c>
      <c r="F13">
        <v>7003</v>
      </c>
    </row>
    <row r="14" spans="1:6" x14ac:dyDescent="0.3">
      <c r="A14" s="2" t="s">
        <v>55</v>
      </c>
      <c r="B14">
        <f>COUNTIF(Data!C2:C126,"*Iyer*")</f>
        <v>8</v>
      </c>
      <c r="D14" t="str">
        <v>IndiGo</v>
      </c>
      <c r="E14">
        <f>_xlfn.MAXIFS(Data!I4:I128,Data!F4:F128,'Formula Test'!D14,Data!J4:J128,"Delayed")</f>
        <v>126</v>
      </c>
      <c r="F14">
        <v>7014</v>
      </c>
    </row>
    <row r="15" spans="1:6" x14ac:dyDescent="0.3">
      <c r="A15" s="2" t="s">
        <v>56</v>
      </c>
      <c r="B15" t="str">
        <f>_xlfn.XLOOKUP(MAX(E12:E16),E12:E16,D12:D16)</f>
        <v>SpiceJet</v>
      </c>
      <c r="D15" t="str">
        <v>SpiceJet</v>
      </c>
      <c r="E15">
        <f>_xlfn.MAXIFS(Data!I5:I129,Data!F5:F129,'Formula Test'!D15,Data!J5:J129,"Delayed")</f>
        <v>175</v>
      </c>
      <c r="F15">
        <v>7017</v>
      </c>
    </row>
    <row r="16" spans="1:6" x14ac:dyDescent="0.3">
      <c r="A16" s="2" t="s">
        <v>57</v>
      </c>
      <c r="B16" cm="1">
        <f t="array" ref="B16">COUNTA(_xlfn.UNIQUE(_xlfn._xlws.FILTER(Data!C2:C126,Data!G2:G126="Business","null")))</f>
        <v>14</v>
      </c>
      <c r="D16" t="str">
        <v>Vistara</v>
      </c>
      <c r="E16">
        <f>_xlfn.MAXIFS(Data!I6:I130,Data!F6:F130,'Formula Test'!D16,Data!J6:J130,"Delayed")</f>
        <v>152</v>
      </c>
      <c r="F16">
        <v>7021</v>
      </c>
    </row>
    <row r="17" spans="1:6" x14ac:dyDescent="0.3">
      <c r="A17" s="2" t="s">
        <v>58</v>
      </c>
      <c r="B17">
        <f>LARGE(Data!H2:H126,2)</f>
        <v>16578.3</v>
      </c>
      <c r="F17">
        <v>7037</v>
      </c>
    </row>
    <row r="18" spans="1:6" x14ac:dyDescent="0.3">
      <c r="A18" s="2" t="s">
        <v>59</v>
      </c>
      <c r="B18" t="str">
        <f>_xlfn.XLOOKUP(MAX(E20:E34),E20:E34,D20:D34,"null",0)</f>
        <v>Devansh Shah</v>
      </c>
      <c r="F18">
        <v>7041</v>
      </c>
    </row>
    <row r="19" spans="1:6" x14ac:dyDescent="0.3">
      <c r="A19" s="2" t="s">
        <v>60</v>
      </c>
      <c r="B19">
        <f>COUNTIFS(Data!M2:M126,2025,Data!N2:N126,2)</f>
        <v>32</v>
      </c>
      <c r="D19" t="s">
        <v>77</v>
      </c>
      <c r="F19">
        <v>7050</v>
      </c>
    </row>
    <row r="20" spans="1:6" x14ac:dyDescent="0.3">
      <c r="A20" s="2" t="s">
        <v>61</v>
      </c>
      <c r="B20" s="5">
        <f>COUNTIF(Data!J2:J126,"Cancelled")/COUNTA(Data!J2:J126)</f>
        <v>2.4E-2</v>
      </c>
      <c r="D20" t="str" cm="1">
        <f t="array" ref="D20:D34">_xlfn.UNIQUE(Data!C2:C126)</f>
        <v>Ishaan Rao</v>
      </c>
      <c r="E20">
        <f>_xlfn.MAXIFS(Data!I2:I126,Data!C2:C126,'Formula Test'!D20)</f>
        <v>138</v>
      </c>
      <c r="F20">
        <v>7052</v>
      </c>
    </row>
    <row r="21" spans="1:6" x14ac:dyDescent="0.3">
      <c r="A21" s="2" t="s">
        <v>62</v>
      </c>
      <c r="B21" t="str" cm="1">
        <f t="array" ref="B21">INDEX(Data!O2:O126,MATCH(MAX(COUNTIF(Data!O2:O126,Data!O2:O126)),COUNTIF(Data!O2:O126,Data!O2:O126),0))</f>
        <v>Mumbai-Chennai</v>
      </c>
      <c r="D21" t="str">
        <v>Diya Kapoor</v>
      </c>
      <c r="E21">
        <f>_xlfn.MAXIFS(Data!I3:I127,Data!C3:C127,'Formula Test'!D21)</f>
        <v>103</v>
      </c>
      <c r="F21">
        <v>7060</v>
      </c>
    </row>
    <row r="22" spans="1:6" x14ac:dyDescent="0.3">
      <c r="A22" s="2" t="s">
        <v>63</v>
      </c>
      <c r="B22" t="s">
        <v>72</v>
      </c>
      <c r="D22" t="str">
        <v>Ananya Bose</v>
      </c>
      <c r="E22">
        <f>_xlfn.MAXIFS(Data!I4:I128,Data!C4:C128,'Formula Test'!D22)</f>
        <v>82</v>
      </c>
      <c r="F22">
        <v>7061</v>
      </c>
    </row>
    <row r="23" spans="1:6" x14ac:dyDescent="0.3">
      <c r="A23" s="2" t="s">
        <v>64</v>
      </c>
      <c r="B23" t="str">
        <f>TEXT(Data!B27,"dddd")</f>
        <v>Wednesday</v>
      </c>
      <c r="D23" t="str">
        <v>Farhan Ali</v>
      </c>
      <c r="E23">
        <f>_xlfn.MAXIFS(Data!I5:I129,Data!C5:C129,'Formula Test'!D23)</f>
        <v>88</v>
      </c>
      <c r="F23">
        <v>7063</v>
      </c>
    </row>
    <row r="24" spans="1:6" x14ac:dyDescent="0.3">
      <c r="A24" s="2" t="s">
        <v>65</v>
      </c>
      <c r="B24">
        <f>AVERAGEIF(Data!H2:H126,"&gt;5000",Data!I2:I126)</f>
        <v>21.736263736263737</v>
      </c>
      <c r="D24" t="str">
        <v>Meera Pillai</v>
      </c>
      <c r="E24">
        <f>_xlfn.MAXIFS(Data!I6:I130,Data!C6:C130,'Formula Test'!D24)</f>
        <v>174</v>
      </c>
      <c r="F24">
        <v>7064</v>
      </c>
    </row>
    <row r="25" spans="1:6" x14ac:dyDescent="0.3">
      <c r="A25" s="2" t="s">
        <v>66</v>
      </c>
      <c r="B25" t="str" cm="1">
        <f t="array" ref="B25">INDEX(Data!G2:G126,MATCH(MAX(COUNTIF(Data!G2:G126,Data!G2:G126)),COUNTIF(Data!G2:G126,Data!G2:G126),0))</f>
        <v>Economy</v>
      </c>
      <c r="D25" t="str">
        <v>Tanvi Joshi</v>
      </c>
      <c r="E25">
        <f>_xlfn.MAXIFS(Data!I7:I131,Data!C7:C131,'Formula Test'!D25)</f>
        <v>91</v>
      </c>
      <c r="F25">
        <v>7067</v>
      </c>
    </row>
    <row r="26" spans="1:6" x14ac:dyDescent="0.3">
      <c r="A26" s="2" t="s">
        <v>67</v>
      </c>
      <c r="B26" cm="1">
        <f t="array" ref="B26">COUNTA(_xlfn.UNIQUE(_xlfn._xlws.FILTER(Data!E2:E126,Data!D2:D126="Delhi")))</f>
        <v>3</v>
      </c>
      <c r="D26" t="str">
        <v>Aarav Mehta</v>
      </c>
      <c r="E26">
        <f>_xlfn.MAXIFS(Data!I8:I132,Data!C8:C132,'Formula Test'!D26)</f>
        <v>110</v>
      </c>
      <c r="F26">
        <v>7072</v>
      </c>
    </row>
    <row r="27" spans="1:6" x14ac:dyDescent="0.3">
      <c r="A27" s="2" t="s">
        <v>68</v>
      </c>
      <c r="B27" s="7">
        <f ca="1">DATEDIF(Data!B7,TODAY(),"D")</f>
        <v>448</v>
      </c>
      <c r="D27" t="str">
        <v>Nisha Reddy</v>
      </c>
      <c r="E27">
        <f>_xlfn.MAXIFS(Data!I9:I133,Data!C9:C133,'Formula Test'!D27)</f>
        <v>168</v>
      </c>
      <c r="F27">
        <v>7077</v>
      </c>
    </row>
    <row r="28" spans="1:6" x14ac:dyDescent="0.3">
      <c r="A28" s="2" t="s">
        <v>69</v>
      </c>
      <c r="B28" t="b" cm="1">
        <f t="array" ref="B28">SUMPRODUCT((Data!F2:F126="SpiceJet")*(Data!I2:I126&gt;=100))=0</f>
        <v>0</v>
      </c>
      <c r="D28" t="str">
        <v>Zara Khan</v>
      </c>
      <c r="E28">
        <f>_xlfn.MAXIFS(Data!I10:I134,Data!C10:C134,'Formula Test'!D28)</f>
        <v>121</v>
      </c>
      <c r="F28">
        <v>7078</v>
      </c>
    </row>
    <row r="29" spans="1:6" x14ac:dyDescent="0.3">
      <c r="A29" s="2" t="s">
        <v>70</v>
      </c>
      <c r="B29" t="str">
        <f>_xlfn.TEXTJOIN("-",TRUE,Data!C17,Data!F17)</f>
        <v>Aarav Mehta-AirAsia</v>
      </c>
      <c r="D29" t="str">
        <v>Aditya Iyer</v>
      </c>
      <c r="E29">
        <f>_xlfn.MAXIFS(Data!I11:I135,Data!C11:C135,'Formula Test'!D29)</f>
        <v>152</v>
      </c>
      <c r="F29">
        <v>7081</v>
      </c>
    </row>
    <row r="30" spans="1:6" x14ac:dyDescent="0.3">
      <c r="A30" s="2" t="s">
        <v>71</v>
      </c>
      <c r="B30" t="str">
        <f>_xlfn.TEXTJOIN(" to ",TRUE,B34,B35)</f>
        <v>Jan-2025 to Dec-2025</v>
      </c>
      <c r="D30" t="str">
        <v>Devansh Shah</v>
      </c>
      <c r="E30">
        <f>_xlfn.MAXIFS(Data!I12:I136,Data!C12:C136,'Formula Test'!D30)</f>
        <v>175</v>
      </c>
      <c r="F30">
        <v>7082</v>
      </c>
    </row>
    <row r="31" spans="1:6" x14ac:dyDescent="0.3">
      <c r="D31" t="str">
        <v>Sanjay Verma</v>
      </c>
      <c r="E31">
        <f>_xlfn.MAXIFS(Data!I13:I137,Data!C13:C137,'Formula Test'!D31)</f>
        <v>128</v>
      </c>
      <c r="F31">
        <v>7085</v>
      </c>
    </row>
    <row r="32" spans="1:6" x14ac:dyDescent="0.3">
      <c r="B32" s="6"/>
      <c r="D32" t="str">
        <v>Rohan Gupta</v>
      </c>
      <c r="E32">
        <f>_xlfn.MAXIFS(Data!I14:I138,Data!C14:C138,'Formula Test'!D32)</f>
        <v>168</v>
      </c>
      <c r="F32">
        <v>7086</v>
      </c>
    </row>
    <row r="33" spans="2:6" x14ac:dyDescent="0.3">
      <c r="B33" t="s">
        <v>82</v>
      </c>
      <c r="D33" t="str">
        <v>Kavya Nair</v>
      </c>
      <c r="E33">
        <f>_xlfn.MAXIFS(Data!I15:I139,Data!C15:C139,'Formula Test'!D33)</f>
        <v>0</v>
      </c>
      <c r="F33">
        <v>7091</v>
      </c>
    </row>
    <row r="34" spans="2:6" x14ac:dyDescent="0.3">
      <c r="B34" t="str">
        <f>TEXT(MIN(Data!B2:B126),"mmm-yyyy")</f>
        <v>Jan-2025</v>
      </c>
      <c r="D34" t="str">
        <v>Priyanka Rao</v>
      </c>
      <c r="E34">
        <f>_xlfn.MAXIFS(Data!I16:I140,Data!C16:C140,'Formula Test'!D34)</f>
        <v>0</v>
      </c>
      <c r="F34">
        <v>7092</v>
      </c>
    </row>
    <row r="35" spans="2:6" x14ac:dyDescent="0.3">
      <c r="B35" t="str">
        <f>TEXT(MAX(Data!B2:B126),"mmm-yyyy")</f>
        <v>Dec-2025</v>
      </c>
      <c r="F35">
        <v>7095</v>
      </c>
    </row>
    <row r="36" spans="2:6" x14ac:dyDescent="0.3">
      <c r="F36">
        <v>7098</v>
      </c>
    </row>
    <row r="37" spans="2:6" x14ac:dyDescent="0.3">
      <c r="F37">
        <v>7106</v>
      </c>
    </row>
    <row r="38" spans="2:6" x14ac:dyDescent="0.3">
      <c r="F38">
        <v>7109</v>
      </c>
    </row>
    <row r="39" spans="2:6" x14ac:dyDescent="0.3">
      <c r="F39">
        <v>7111</v>
      </c>
    </row>
    <row r="40" spans="2:6" x14ac:dyDescent="0.3">
      <c r="F40">
        <v>7112</v>
      </c>
    </row>
    <row r="41" spans="2:6" x14ac:dyDescent="0.3">
      <c r="F41">
        <v>7116</v>
      </c>
    </row>
    <row r="42" spans="2:6" x14ac:dyDescent="0.3">
      <c r="F42">
        <v>7117</v>
      </c>
    </row>
    <row r="43" spans="2:6" x14ac:dyDescent="0.3">
      <c r="F43">
        <v>7122</v>
      </c>
    </row>
    <row r="44" spans="2:6" x14ac:dyDescent="0.3">
      <c r="F44">
        <v>7124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Formula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2026-07-07T04:41:07Z</dcterms:created>
  <dcterms:modified xsi:type="dcterms:W3CDTF">2026-07-07T06:18:02Z</dcterms:modified>
  <dc:language>en-US</dc:language>
</cp:coreProperties>
</file>