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030477A-B050-4B3F-8E81-A4444A27E22F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Formula Test" sheetId="2" r:id="rId1"/>
    <sheet name="Data" sheetId="1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7" i="2" l="1" a="1"/>
  <c r="B37" i="2" s="1"/>
  <c r="F47" i="2"/>
  <c r="F48" i="2"/>
  <c r="F49" i="2"/>
  <c r="F50" i="2"/>
  <c r="F46" i="2"/>
  <c r="B25" i="2" a="1"/>
  <c r="B25" i="2" s="1"/>
  <c r="E11" i="2"/>
  <c r="E12" i="2"/>
  <c r="E13" i="2"/>
  <c r="E14" i="2"/>
  <c r="E10" i="2"/>
  <c r="D10" i="2" a="1"/>
  <c r="D10" i="2" s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2" i="1"/>
  <c r="B40" i="2" a="1"/>
  <c r="B40" i="2" s="1"/>
  <c r="B41" i="2" a="1"/>
  <c r="B41" i="2" s="1"/>
  <c r="B36" i="2"/>
  <c r="B34" i="2"/>
  <c r="E22" i="2" l="1"/>
  <c r="E23" i="2"/>
  <c r="E21" i="2"/>
  <c r="I4" i="2"/>
  <c r="I5" i="2"/>
  <c r="I6" i="2"/>
  <c r="I7" i="2"/>
  <c r="I3" i="2"/>
  <c r="E35" i="2"/>
  <c r="E36" i="2"/>
  <c r="E37" i="2"/>
  <c r="E38" i="2"/>
  <c r="F38" i="2" s="1"/>
  <c r="E39" i="2"/>
  <c r="E34" i="2"/>
  <c r="F34" i="2" s="1"/>
  <c r="E47" i="2"/>
  <c r="E48" i="2"/>
  <c r="E49" i="2"/>
  <c r="E50" i="2"/>
  <c r="E46" i="2"/>
  <c r="E54" i="2"/>
  <c r="E55" i="2"/>
  <c r="E53" i="2"/>
  <c r="C32" i="2"/>
  <c r="E27" i="2"/>
  <c r="E28" i="2"/>
  <c r="E29" i="2"/>
  <c r="E30" i="2"/>
  <c r="E31" i="2"/>
  <c r="E26" i="2"/>
  <c r="F35" i="2"/>
  <c r="F36" i="2"/>
  <c r="F37" i="2"/>
  <c r="F39" i="2"/>
  <c r="D26" i="2" a="1"/>
  <c r="D26" i="2" s="1"/>
  <c r="B39" i="2"/>
  <c r="D53" i="2" a="1"/>
  <c r="D53" i="2" s="1"/>
  <c r="D46" i="2" a="1"/>
  <c r="D46" i="2" s="1"/>
  <c r="D42" i="2"/>
  <c r="B35" i="2" a="1"/>
  <c r="B35" i="2" s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2" i="1"/>
  <c r="B33" i="2"/>
  <c r="D34" i="2" a="1"/>
  <c r="D34" i="2" s="1"/>
  <c r="B31" i="2"/>
  <c r="C31" i="2"/>
  <c r="B29" i="2"/>
  <c r="B28" i="2" a="1"/>
  <c r="B28" i="2" s="1"/>
  <c r="B27" i="2"/>
  <c r="B26" i="2" a="1"/>
  <c r="B26" i="2" s="1"/>
  <c r="B24" i="2"/>
  <c r="B23" i="2"/>
  <c r="D21" i="2" a="1"/>
  <c r="D21" i="2" s="1"/>
  <c r="B21" i="2" a="1"/>
  <c r="B21" i="2" s="1"/>
  <c r="B20" i="2"/>
  <c r="B19" i="2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B18" i="2"/>
  <c r="B17" i="2"/>
  <c r="B16" i="2" a="1"/>
  <c r="B16" i="2" s="1"/>
  <c r="H3" i="2" a="1"/>
  <c r="H3" i="2" s="1"/>
  <c r="B14" i="2"/>
  <c r="H20" i="2" a="1"/>
  <c r="H20" i="2" s="1"/>
  <c r="H12" i="2" a="1"/>
  <c r="H12" i="2" s="1"/>
  <c r="B11" i="2" a="1"/>
  <c r="B11" i="2" s="1"/>
  <c r="B10" i="2"/>
  <c r="B9" i="2"/>
  <c r="B8" i="2"/>
  <c r="B7" i="2"/>
  <c r="B6" i="2"/>
  <c r="B5" i="2"/>
  <c r="B4" i="2"/>
  <c r="B32" i="2" l="1" a="1"/>
  <c r="B32" i="2" s="1"/>
  <c r="B30" i="2"/>
  <c r="B15" i="2" l="1" a="1"/>
  <c r="B15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<sst xmlns="http://schemas.openxmlformats.org/spreadsheetml/2006/main" count="1191" uniqueCount="120">
  <si>
    <t>EnrollID</t>
  </si>
  <si>
    <t>EnrollDate</t>
  </si>
  <si>
    <t>Student</t>
  </si>
  <si>
    <t>Course</t>
  </si>
  <si>
    <t>Category</t>
  </si>
  <si>
    <t>Instructor</t>
  </si>
  <si>
    <t>Platform</t>
  </si>
  <si>
    <t>Level</t>
  </si>
  <si>
    <t>Price</t>
  </si>
  <si>
    <t>ProgressPct</t>
  </si>
  <si>
    <t>Rating</t>
  </si>
  <si>
    <t>Status</t>
  </si>
  <si>
    <t>Kavya Nair</t>
  </si>
  <si>
    <t>Advanced SQL</t>
  </si>
  <si>
    <t>Web Development</t>
  </si>
  <si>
    <t>Sara Thomas</t>
  </si>
  <si>
    <t>Mobile App</t>
  </si>
  <si>
    <t>Beginner</t>
  </si>
  <si>
    <t>In Progress</t>
  </si>
  <si>
    <t>Devansh Shah</t>
  </si>
  <si>
    <t>Machine Learning Intro</t>
  </si>
  <si>
    <t>Marketing</t>
  </si>
  <si>
    <t>Omkar Deshmukh</t>
  </si>
  <si>
    <t>Desktop App</t>
  </si>
  <si>
    <t>Arjun Nambiar</t>
  </si>
  <si>
    <t>Python Basics</t>
  </si>
  <si>
    <t>Design</t>
  </si>
  <si>
    <t>Neel Chatterjee</t>
  </si>
  <si>
    <t>Intermediate</t>
  </si>
  <si>
    <t>Rohan Gupta</t>
  </si>
  <si>
    <t>UI/UX Principles</t>
  </si>
  <si>
    <t>Finance</t>
  </si>
  <si>
    <t>Advanced</t>
  </si>
  <si>
    <t>Completed</t>
  </si>
  <si>
    <t>Karan Malhotra</t>
  </si>
  <si>
    <t>Dropped</t>
  </si>
  <si>
    <t>Sanjay Verma</t>
  </si>
  <si>
    <t>Content Strategy</t>
  </si>
  <si>
    <t>Ishaan Rao</t>
  </si>
  <si>
    <t>Figma for Beginners</t>
  </si>
  <si>
    <t>Alina Fernandes</t>
  </si>
  <si>
    <t>Web</t>
  </si>
  <si>
    <t>Aarav Mehta</t>
  </si>
  <si>
    <t>Ananya Bose</t>
  </si>
  <si>
    <t>Diya Kapoor</t>
  </si>
  <si>
    <t>Aditya Iyer</t>
  </si>
  <si>
    <t>Digital Marketing 101</t>
  </si>
  <si>
    <t>Data Science</t>
  </si>
  <si>
    <t>Rhea Kapoor</t>
  </si>
  <si>
    <t>Financial Modeling</t>
  </si>
  <si>
    <t>Yash Oberoi</t>
  </si>
  <si>
    <t>Ritika Sen</t>
  </si>
  <si>
    <t>Excel Mastery</t>
  </si>
  <si>
    <t>Vikram Sethi</t>
  </si>
  <si>
    <t>Simran Kaur</t>
  </si>
  <si>
    <t>React Fundamentals</t>
  </si>
  <si>
    <t>Nisha Reddy</t>
  </si>
  <si>
    <t>Priyanka Rao</t>
  </si>
  <si>
    <t>Investment Basics</t>
  </si>
  <si>
    <t>Portrait Photography</t>
  </si>
  <si>
    <t>Tanvi Joshi</t>
  </si>
  <si>
    <t>Farhan Ali</t>
  </si>
  <si>
    <t>Zara Khan</t>
  </si>
  <si>
    <t>Meera Pillai</t>
  </si>
  <si>
    <t>Online Learning Platform Formula Test</t>
  </si>
  <si>
    <t>Use the Data sheet (rows 2-161) as your source. Write one formula per answer cell in column B.</t>
  </si>
  <si>
    <t>Q1. Total Price collected from 'Completed' enrollments in the 'Data Science' category.</t>
  </si>
  <si>
    <t>Q2. Count of enrollments with Status='Dropped' and ProgressPct less than 20.</t>
  </si>
  <si>
    <t>Q3. Look up the Instructor for EnrollID 40055, with a safe fallback if it isn't found.</t>
  </si>
  <si>
    <t>Q4. Average Rating for 'Completed' enrollments in 'Excel Mastery'.</t>
  </si>
  <si>
    <t>Q5. Total Price across the entire dataset for Status != 'Dropped', without adding a helper column.</t>
  </si>
  <si>
    <t>Q6. Classify EnrollID 40000's ProgressPct as 'Low' (&lt;=30), 'Medium' (31-70), or 'High' (70+).</t>
  </si>
  <si>
    <t>Q7. Extract the month name and year (e.g. 'March 2025') from the EnrollDate of EnrollID 40020.</t>
  </si>
  <si>
    <t>Q8. Return the Price where Course='Investment Basics' and Platform='Mobile App', using an array-style match (no helper column).</t>
  </si>
  <si>
    <t>Q9. Return a unique, alphabetically sorted list of all Instructors as a spilled array.</t>
  </si>
  <si>
    <t>Q10. Return all EnrollIDs where Level='Advanced' AND Status='Completed', as a spilled array.</t>
  </si>
  <si>
    <t>Q11. Count how many Student names contain 'Nambiar' anywhere in the dataset.</t>
  </si>
  <si>
    <t>Q12. Find the Category with the highest total Price among 'Completed' enrollments, using formulas only (no pivot table).</t>
  </si>
  <si>
    <t>Q13. Calculate the total number of unique Students enrolled in 'Machine Learning Intro'.</t>
  </si>
  <si>
    <t>Q14. Find the second-highest Price in the entire dataset.</t>
  </si>
  <si>
    <t>Q15. Return the Student name associated with the single highest ProgressPct on record.</t>
  </si>
  <si>
    <t>Q16. Count the number of enrollments made in Q2 2025 (Apr-Jun).</t>
  </si>
  <si>
    <t>Q17. Calculate the percentage of enrollments with Status='Dropped'.</t>
  </si>
  <si>
    <t>Q18. Return the most frequently taken Course overall.</t>
  </si>
  <si>
    <t>Q19. Find the total Price generated by each Platform, broken out into a small 3-row summary table using formulas (not a pivot table).</t>
  </si>
  <si>
    <t>Q20. Extract just the day of the week (e.g. 'Monday') for the EnrollDate of EnrollID 40040.</t>
  </si>
  <si>
    <t>Q21. Return the average ProgressPct for enrollments with Price greater than 2500.</t>
  </si>
  <si>
    <t>Q22. Find the Category that appears most often for enrollments with Rating=5.</t>
  </si>
  <si>
    <t>Q23. Return the number of distinct Courses taught by 'Rhea Kapoor'.</t>
  </si>
  <si>
    <t>Q24. Calculate the total number of days between EnrollID 40010's EnrollDate and today's date.</t>
  </si>
  <si>
    <t>Q25. Return TRUE or FALSE for whether every 'Beginner' level enrollment has a Price under 3000.</t>
  </si>
  <si>
    <t>Q26. Concatenate the Student name and Course into a single string separated by a hyphen for EnrollID 40025 (e.g. 'Aarav Mehta-Excel Mastery').</t>
  </si>
  <si>
    <t>Q27. Find the earliest and latest EnrollDate in the dataset, displayed as a single text string like 'Jan 2025 to Dec 2025'.</t>
  </si>
  <si>
    <t>Q28. Return the overall average Price, rounded to the nearest whole number.</t>
  </si>
  <si>
    <t>Q29. Find the Instructor with the lowest average Rating (only include instructors with at least 15 enrollments).</t>
  </si>
  <si>
    <t>Q30. Return the rank (1 = highest) of EnrollID 40005's Price among all enrollments, using RANK.EQ.</t>
  </si>
  <si>
    <t>Q31. Extract just the first word of the Course name for EnrollID 40015 (e.g. 'Excel' from 'Excel Mastery').</t>
  </si>
  <si>
    <t>Q32. Calculate the total Price for enrollments made on weekends (Saturday or Sunday) using SUMPRODUCT.</t>
  </si>
  <si>
    <t>Q33. Return the number of enrollments where ProgressPct is an outlier, defined as more than 1.5x the average ProgressPct.</t>
  </si>
  <si>
    <t>Q34. Find the Category that generates the highest average Price per enrollment (minimum 15 enrollments), using formulas only.</t>
  </si>
  <si>
    <t>Q35. Calculate the completion rate (percentage of 'Completed' status) for each Level, broken out into a small 3-row summary table.</t>
  </si>
  <si>
    <t>Q36. Return the number of working days (Mon-Fri) between EnrollID 40008's EnrollDate and today's date, using NETWORKDAYS.</t>
  </si>
  <si>
    <t>Q37. Find the Instructor whose students have the highest average ProgressPct among 'In Progress' enrollments only.</t>
  </si>
  <si>
    <t>Q38. Return the total Price of the top 5 highest-priced Completed enrollments combined, using LARGE inside SUMPRODUCT or an array formula.</t>
  </si>
  <si>
    <t>done in right</t>
  </si>
  <si>
    <t>ans9</t>
  </si>
  <si>
    <t>ans10</t>
  </si>
  <si>
    <t>ref ans12</t>
  </si>
  <si>
    <t>q</t>
  </si>
  <si>
    <t>year</t>
  </si>
  <si>
    <t>ans19</t>
  </si>
  <si>
    <t>ref ans27</t>
  </si>
  <si>
    <t>ref ans29</t>
  </si>
  <si>
    <t>days</t>
  </si>
  <si>
    <t>progresspct_</t>
  </si>
  <si>
    <t>ref ans33</t>
  </si>
  <si>
    <t>ref ans34</t>
  </si>
  <si>
    <t>ans35</t>
  </si>
  <si>
    <t>ans37</t>
  </si>
  <si>
    <t>ref ans22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</si>
</sst>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5" x14ac:knownFonts="1">
    <font>
      <sz val="11"/>
      <color theme="1"/>
      <name val="Calibri"/>
      <family val="2"/>
      <charset val="1"/>
    </font>
    <font>
      <sz val="10"/>
      <name val="Arial"/>
    </font>
    <font>
      <b/>
      <sz val="11"/>
      <name val="Arial"/>
      <charset val="1"/>
    </font>
    <font>
      <b/>
      <sz val="14"/>
      <name val="Arial"/>
      <charset val="1"/>
    </font>
    <font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Border="0" applyAlignment="0" applyProtection="0"/>
  </cellStyleXfs>
  <cellXfs count="6">
    <xf numFmtId="0" fontId="0" fillId="0" borderId="0" xfId="0"/>
    <xf numFmtId="164" fontId="0" fillId="0" borderId="0" xfId="0" applyNumberFormat="1"/>
    <xf numFmtId="0" fontId="4" fillId="0" borderId="0" xfId="0" applyFont="1"/>
    <xf numFmtId="0" fontId="2" fillId="2" borderId="0" xfId="0" applyFont="1" applyFill="1"/>
    <xf numFmtId="0" fontId="3" fillId="2" borderId="0" xfId="0" applyFont="1" applyFill="1"/>
    <xf numFmtId="9" fontId="1" fillId="0" borderId="0" xfId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5"/>
  <sheetViews>
    <sheetView tabSelected="1" zoomScale="70" zoomScaleNormal="70" workbookViewId="0">
      <selection activeCell="B14" sqref="B14"/>
    </sheetView>
  </sheetViews>
  <sheetFormatPr defaultColWidth="8.6640625" defaultRowHeight="14.4" x14ac:dyDescent="0.3"/>
  <cols>
    <col min="1" max="1" width="133.44140625" bestFit="1" customWidth="1"/>
    <col min="2" max="2" width="40" customWidth="1"/>
    <col min="4" max="4" width="16.21875" bestFit="1" customWidth="1"/>
    <col min="8" max="8" width="16.21875" bestFit="1" customWidth="1"/>
  </cols>
  <sheetData>
    <row r="1" spans="1:9" ht="17.399999999999999" x14ac:dyDescent="0.3">
      <c r="A1" s="4" t="s">
        <v>64</v>
      </c>
    </row>
    <row r="2" spans="1:9" x14ac:dyDescent="0.3">
      <c r="A2" t="s">
        <v>65</v>
      </c>
      <c r="H2" t="s">
        <v>107</v>
      </c>
    </row>
    <row r="3" spans="1:9" x14ac:dyDescent="0.3">
      <c r="H3" t="str" cm="1">
        <f t="array" ref="H3:H7">_xlfn.UNIQUE(Data!E2:E161)</f>
        <v>Web Development</v>
      </c>
      <c r="I3">
        <f>SUMIFS(Data!$I$2:$I$161,Data!$L$2:$L$161,"Completed",Data!$E$2:$E$161,'Formula Test'!H3)</f>
        <v>84324.210000000021</v>
      </c>
    </row>
    <row r="4" spans="1:9" x14ac:dyDescent="0.3">
      <c r="A4" s="2" t="s">
        <v>66</v>
      </c>
      <c r="B4">
        <f>SUMIFS(Data!I2:I161,Data!L2:L161,"Completed",Data!E2:E161,"Data Science")</f>
        <v>25235.14</v>
      </c>
      <c r="H4" t="str">
        <v>Marketing</v>
      </c>
      <c r="I4">
        <f>SUMIFS(Data!$I$2:$I$161,Data!$L$2:$L$161,"Completed",Data!$E$2:$E$161,'Formula Test'!H4)</f>
        <v>36250.449999999997</v>
      </c>
    </row>
    <row r="5" spans="1:9" x14ac:dyDescent="0.3">
      <c r="A5" s="2" t="s">
        <v>67</v>
      </c>
      <c r="B5">
        <f>COUNTIFS(Data!L2:L161,"Dropped",Data!J2:J161,"&lt;20")</f>
        <v>11</v>
      </c>
      <c r="H5" t="str">
        <v>Design</v>
      </c>
      <c r="I5">
        <f>SUMIFS(Data!$I$2:$I$161,Data!$L$2:$L$161,"Completed",Data!$E$2:$E$161,'Formula Test'!H5)</f>
        <v>37381.51</v>
      </c>
    </row>
    <row r="6" spans="1:9" x14ac:dyDescent="0.3">
      <c r="A6" s="2" t="s">
        <v>68</v>
      </c>
      <c r="B6" t="str">
        <f>_xlfn.XLOOKUP(40055,Data!A2:A161,Data!F2:F161,"",0)</f>
        <v>Neel Chatterjee</v>
      </c>
      <c r="H6" t="str">
        <v>Finance</v>
      </c>
      <c r="I6">
        <f>SUMIFS(Data!$I$2:$I$161,Data!$L$2:$L$161,"Completed",Data!$E$2:$E$161,'Formula Test'!H6)</f>
        <v>19837.02</v>
      </c>
    </row>
    <row r="7" spans="1:9" x14ac:dyDescent="0.3">
      <c r="A7" s="2" t="s">
        <v>69</v>
      </c>
      <c r="B7">
        <f>AVERAGEIFS(Data!K2:K161,Data!L2:L161,"Completed",Data!D2:D161,"Excel Mastery")</f>
        <v>3.2857142857142856</v>
      </c>
      <c r="H7" t="str">
        <v>Data Science</v>
      </c>
      <c r="I7">
        <f>SUMIFS(Data!$I$2:$I$161,Data!$L$2:$L$161,"Completed",Data!$E$2:$E$161,'Formula Test'!H7)</f>
        <v>25235.14</v>
      </c>
    </row>
    <row r="8" spans="1:9" x14ac:dyDescent="0.3">
      <c r="A8" s="2" t="s">
        <v>70</v>
      </c>
      <c r="B8">
        <f>SUMIFS(Data!I2:I161,Data!L2:L161,"&lt;&gt;Dropped")</f>
        <v>315283.88999999984</v>
      </c>
    </row>
    <row r="9" spans="1:9" x14ac:dyDescent="0.3">
      <c r="A9" s="2" t="s">
        <v>71</v>
      </c>
      <c r="B9" t="str">
        <f>IF(Data!J2&lt;=30,"Low",IF(Data!J2&lt;=70,"Medium","High"))</f>
        <v>Low</v>
      </c>
      <c r="D9" t="s">
        <v>119</v>
      </c>
    </row>
    <row r="10" spans="1:9" x14ac:dyDescent="0.3">
      <c r="A10" s="2" t="s">
        <v>72</v>
      </c>
      <c r="B10" t="str">
        <f>TEXT(Data!B22,"mmmm yyyy")</f>
        <v>May 2025</v>
      </c>
      <c r="D10" t="str" cm="1">
        <f t="array" ref="D10:D14">_xlfn.UNIQUE(Data!E2:E161)</f>
        <v>Web Development</v>
      </c>
      <c r="E10">
        <f>COUNTIF(Data!$Q$2:$Q$161,'Formula Test'!D10)</f>
        <v>14</v>
      </c>
    </row>
    <row r="11" spans="1:9" x14ac:dyDescent="0.3">
      <c r="A11" s="2" t="s">
        <v>73</v>
      </c>
      <c r="B11" cm="1">
        <f t="array" ref="B11">SUMPRODUCT((Data!D2:D161="Investment Basics")*(Data!G2:G161="Mobile App"),Data!I2:I161)</f>
        <v>15097.349999999999</v>
      </c>
      <c r="D11" t="str">
        <v>Marketing</v>
      </c>
      <c r="E11">
        <f>COUNTIF(Data!$Q$2:$Q$161,'Formula Test'!D11)</f>
        <v>6</v>
      </c>
      <c r="H11" t="s">
        <v>105</v>
      </c>
    </row>
    <row r="12" spans="1:9" x14ac:dyDescent="0.3">
      <c r="A12" s="2" t="s">
        <v>74</v>
      </c>
      <c r="B12" t="s">
        <v>104</v>
      </c>
      <c r="D12" t="str">
        <v>Design</v>
      </c>
      <c r="E12">
        <f>COUNTIF(Data!$Q$2:$Q$161,'Formula Test'!D12)</f>
        <v>10</v>
      </c>
      <c r="H12" t="str" cm="1">
        <f t="array" ref="H12:H17">_xlfn._xlws.SORT(_xlfn.UNIQUE(Data!F2:F161))</f>
        <v>Alina Fernandes</v>
      </c>
    </row>
    <row r="13" spans="1:9" x14ac:dyDescent="0.3">
      <c r="A13" s="2" t="s">
        <v>75</v>
      </c>
      <c r="B13" t="s">
        <v>104</v>
      </c>
      <c r="D13" t="str">
        <v>Finance</v>
      </c>
      <c r="E13">
        <f>COUNTIF(Data!$Q$2:$Q$161,'Formula Test'!D13)</f>
        <v>5</v>
      </c>
      <c r="H13" t="str">
        <v>Neel Chatterjee</v>
      </c>
    </row>
    <row r="14" spans="1:9" x14ac:dyDescent="0.3">
      <c r="A14" s="2" t="s">
        <v>76</v>
      </c>
      <c r="B14">
        <f>COUNTIF(Data!C2:C161,"*Nambiar*")</f>
        <v>6</v>
      </c>
      <c r="D14" t="str">
        <v>Data Science</v>
      </c>
      <c r="E14">
        <f>COUNTIF(Data!$Q$2:$Q$161,'Formula Test'!D14)</f>
        <v>5</v>
      </c>
      <c r="H14" t="str">
        <v>Omkar Deshmukh</v>
      </c>
    </row>
    <row r="15" spans="1:9" x14ac:dyDescent="0.3">
      <c r="A15" s="2" t="s">
        <v>77</v>
      </c>
      <c r="B15" t="str" cm="1">
        <f t="array" ref="B15">_xlfn.XLOOKUP(MAX(I3:I7),I3:I7,_xlfn.ANCHORARRAY(H3),"",0)</f>
        <v>Web Development</v>
      </c>
      <c r="H15" t="str">
        <v>Rhea Kapoor</v>
      </c>
    </row>
    <row r="16" spans="1:9" x14ac:dyDescent="0.3">
      <c r="A16" s="2" t="s">
        <v>78</v>
      </c>
      <c r="B16" cm="1">
        <f t="array" ref="B16">COUNTA(_xlfn.UNIQUE(_xlfn._xlws.FILTER(Data!C2:C161,Data!D2:D161="Machine Learning Intro","")))</f>
        <v>8</v>
      </c>
      <c r="H16" t="str">
        <v>Sara Thomas</v>
      </c>
    </row>
    <row r="17" spans="1:8" x14ac:dyDescent="0.3">
      <c r="A17" s="2" t="s">
        <v>79</v>
      </c>
      <c r="B17">
        <f>LARGE(Data!I2:I161,2)</f>
        <v>4988.7700000000004</v>
      </c>
      <c r="H17" t="str">
        <v>Vikram Sethi</v>
      </c>
    </row>
    <row r="18" spans="1:8" x14ac:dyDescent="0.3">
      <c r="A18" s="2" t="s">
        <v>80</v>
      </c>
      <c r="B18" t="str">
        <f>INDEX(Data!C2:C161,MATCH(MAX(Data!J2:J161),Data!J2:J161,0))</f>
        <v>Rohan Gupta</v>
      </c>
    </row>
    <row r="19" spans="1:8" x14ac:dyDescent="0.3">
      <c r="A19" s="2" t="s">
        <v>81</v>
      </c>
      <c r="B19">
        <f>COUNTIFS(Data!N2:N161,2,Data!O2:O161,2025)</f>
        <v>31</v>
      </c>
      <c r="H19" t="s">
        <v>106</v>
      </c>
    </row>
    <row r="20" spans="1:8" x14ac:dyDescent="0.3">
      <c r="A20" s="2" t="s">
        <v>82</v>
      </c>
      <c r="B20" s="5">
        <f>COUNTIF(Data!L2:L161,"Dropped")/COUNTA(Data!L2:L161)</f>
        <v>0.16875000000000001</v>
      </c>
      <c r="D20" t="s">
        <v>110</v>
      </c>
      <c r="H20" cm="1">
        <f t="array" ref="H20:H53">_xlfn._xlws.FILTER(Data!A2:A161,(Data!H2:H161="Advanced")*(Data!L2:L161="Completed"))</f>
        <v>40003</v>
      </c>
    </row>
    <row r="21" spans="1:8" x14ac:dyDescent="0.3">
      <c r="A21" s="2" t="s">
        <v>83</v>
      </c>
      <c r="B21" t="str" cm="1">
        <f t="array" ref="B21">INDEX(Data!D2:D161,MATCH(MAX(COUNTIF(Data!D2:D161,Data!D2:D161)),COUNTIF(Data!D2:D161,Data!D2:D161),0))</f>
        <v>Python Basics</v>
      </c>
      <c r="D21" t="str" cm="1">
        <f t="array" ref="D21:D23">_xlfn.UNIQUE(Data!G2:G161)</f>
        <v>Mobile App</v>
      </c>
      <c r="E21">
        <f>SUMIF(Data!$G$2:$G$161,'Formula Test'!D21,Data!$I$2:$I$161)</f>
        <v>118045.03000000006</v>
      </c>
      <c r="H21">
        <v>40016</v>
      </c>
    </row>
    <row r="22" spans="1:8" x14ac:dyDescent="0.3">
      <c r="A22" s="2" t="s">
        <v>84</v>
      </c>
      <c r="B22" t="s">
        <v>104</v>
      </c>
      <c r="D22" t="str">
        <v>Desktop App</v>
      </c>
      <c r="E22">
        <f>SUMIF(Data!$G$2:$G$161,'Formula Test'!D22,Data!$I$2:$I$161)</f>
        <v>147533.01000000004</v>
      </c>
      <c r="H22">
        <v>40030</v>
      </c>
    </row>
    <row r="23" spans="1:8" x14ac:dyDescent="0.3">
      <c r="A23" s="2" t="s">
        <v>85</v>
      </c>
      <c r="B23" t="str">
        <f>TEXT(Data!B42,"dddd")</f>
        <v>Friday</v>
      </c>
      <c r="D23" t="str">
        <v>Web</v>
      </c>
      <c r="E23">
        <f>SUMIF(Data!$G$2:$G$161,'Formula Test'!D23,Data!$I$2:$I$161)</f>
        <v>120699.22000000004</v>
      </c>
      <c r="H23">
        <v>40035</v>
      </c>
    </row>
    <row r="24" spans="1:8" x14ac:dyDescent="0.3">
      <c r="A24" s="2" t="s">
        <v>86</v>
      </c>
      <c r="B24">
        <f>AVERAGEIF(Data!I2:I161,"&gt;2500",Data!J2:J161)</f>
        <v>68.853333333333339</v>
      </c>
      <c r="H24">
        <v>40036</v>
      </c>
    </row>
    <row r="25" spans="1:8" x14ac:dyDescent="0.3">
      <c r="A25" s="2" t="s">
        <v>87</v>
      </c>
      <c r="B25" t="str" cm="1">
        <f t="array" ref="B25">_xlfn.XLOOKUP(MAX(E10:E14),E10:E14,_xlfn.ANCHORARRAY(D10),"",0)</f>
        <v>Web Development</v>
      </c>
      <c r="D25" t="s">
        <v>118</v>
      </c>
      <c r="H25">
        <v>40040</v>
      </c>
    </row>
    <row r="26" spans="1:8" x14ac:dyDescent="0.3">
      <c r="A26" s="2" t="s">
        <v>88</v>
      </c>
      <c r="B26" cm="1">
        <f t="array" ref="B26">COUNTA(_xlfn.UNIQUE(_xlfn._xlws.FILTER(Data!D2:D161,Data!F2:F161="Rhea Kapoor","")))</f>
        <v>3</v>
      </c>
      <c r="D26" t="str" cm="1">
        <f t="array" ref="D26:D31">_xlfn.UNIQUE(Data!F2:F161)</f>
        <v>Sara Thomas</v>
      </c>
      <c r="E26">
        <f>AVERAGEIFS(Data!$J$2:$J$161,Data!$F$2:$F$161,'Formula Test'!D26,Data!$L$2:$L$161,"In Progress")</f>
        <v>42.285714285714285</v>
      </c>
      <c r="H26">
        <v>40048</v>
      </c>
    </row>
    <row r="27" spans="1:8" x14ac:dyDescent="0.3">
      <c r="A27" s="2" t="s">
        <v>89</v>
      </c>
      <c r="B27">
        <f ca="1">DATEDIF(Data!B12,TODAY(),"D")</f>
        <v>496</v>
      </c>
      <c r="D27" t="str">
        <v>Omkar Deshmukh</v>
      </c>
      <c r="E27">
        <f>AVERAGEIFS(Data!$J$2:$J$161,Data!$F$2:$F$161,'Formula Test'!D27,Data!$L$2:$L$161,"In Progress")</f>
        <v>44.06666666666667</v>
      </c>
      <c r="H27">
        <v>40050</v>
      </c>
    </row>
    <row r="28" spans="1:8" x14ac:dyDescent="0.3">
      <c r="A28" s="2" t="s">
        <v>90</v>
      </c>
      <c r="B28" t="b" cm="1">
        <f t="array" ref="B28">SUMPRODUCT((Data!H2:H161="Beginner")*(Data!I2:I161&gt;=3000))=0</f>
        <v>0</v>
      </c>
      <c r="D28" t="str">
        <v>Neel Chatterjee</v>
      </c>
      <c r="E28">
        <f>AVERAGEIFS(Data!$J$2:$J$161,Data!$F$2:$F$161,'Formula Test'!D28,Data!$L$2:$L$161,"In Progress")</f>
        <v>59.857142857142854</v>
      </c>
      <c r="H28">
        <v>40058</v>
      </c>
    </row>
    <row r="29" spans="1:8" x14ac:dyDescent="0.3">
      <c r="A29" s="2" t="s">
        <v>91</v>
      </c>
      <c r="B29" t="str">
        <f>_xlfn.TEXTJOIN("-",TRUE,Data!C27,Data!D27)</f>
        <v>Ritika Sen-Content Strategy</v>
      </c>
      <c r="D29" t="str">
        <v>Alina Fernandes</v>
      </c>
      <c r="E29">
        <f>AVERAGEIFS(Data!$J$2:$J$161,Data!$F$2:$F$161,'Formula Test'!D29,Data!$L$2:$L$161,"In Progress")</f>
        <v>36</v>
      </c>
      <c r="H29">
        <v>40067</v>
      </c>
    </row>
    <row r="30" spans="1:8" x14ac:dyDescent="0.3">
      <c r="A30" s="2" t="s">
        <v>92</v>
      </c>
      <c r="B30" t="str">
        <f>_xlfn.TEXTJOIN(" to ",TRUE,C31,C32)</f>
        <v>Jan 2025 to Dec 2025</v>
      </c>
      <c r="C30" t="s">
        <v>111</v>
      </c>
      <c r="D30" t="str">
        <v>Rhea Kapoor</v>
      </c>
      <c r="E30">
        <f>AVERAGEIFS(Data!$J$2:$J$161,Data!$F$2:$F$161,'Formula Test'!D30,Data!$L$2:$L$161,"In Progress")</f>
        <v>45.81818181818182</v>
      </c>
      <c r="H30">
        <v>40079</v>
      </c>
    </row>
    <row r="31" spans="1:8" x14ac:dyDescent="0.3">
      <c r="A31" s="2" t="s">
        <v>93</v>
      </c>
      <c r="B31">
        <f>ROUND(AVERAGE(Data!I2:I161),0)</f>
        <v>2414</v>
      </c>
      <c r="C31" t="str">
        <f>TEXT(MIN(Data!B2:B161),"mmm yyyy")</f>
        <v>Jan 2025</v>
      </c>
      <c r="D31" t="str">
        <v>Vikram Sethi</v>
      </c>
      <c r="E31">
        <f>AVERAGEIFS(Data!$J$2:$J$161,Data!$F$2:$F$161,'Formula Test'!D31,Data!$L$2:$L$161,"In Progress")</f>
        <v>37.75</v>
      </c>
      <c r="H31">
        <v>40082</v>
      </c>
    </row>
    <row r="32" spans="1:8" x14ac:dyDescent="0.3">
      <c r="A32" s="2" t="s">
        <v>94</v>
      </c>
      <c r="B32" t="str" cm="1">
        <f t="array" ref="B32">_xlfn.XLOOKUP(MIN(F34:F39),F34:F39,_xlfn.ANCHORARRAY(D34),"",0)</f>
        <v>Sara Thomas</v>
      </c>
      <c r="C32" t="str">
        <f>TEXT(MAX(Data!B2:B161),"mmm yyyy")</f>
        <v>Dec 2025</v>
      </c>
      <c r="H32">
        <v>40084</v>
      </c>
    </row>
    <row r="33" spans="1:8" x14ac:dyDescent="0.3">
      <c r="A33" s="2" t="s">
        <v>95</v>
      </c>
      <c r="B33">
        <f>_xlfn.RANK.EQ(Data!I7,Data!I2:I161)</f>
        <v>115</v>
      </c>
      <c r="D33" t="s">
        <v>112</v>
      </c>
      <c r="H33">
        <v>40087</v>
      </c>
    </row>
    <row r="34" spans="1:8" x14ac:dyDescent="0.3">
      <c r="A34" s="2" t="s">
        <v>96</v>
      </c>
      <c r="B34" t="str">
        <f>LEFT(Data!D17,SEARCH(" ",Data!D17,1)-1)</f>
        <v>Digital</v>
      </c>
      <c r="D34" t="str" cm="1">
        <f t="array" ref="D34:D39">_xlfn.UNIQUE(Data!F2:F161)</f>
        <v>Sara Thomas</v>
      </c>
      <c r="E34">
        <f>COUNTIF(Data!$F$2:$F$161,'Formula Test'!D34)</f>
        <v>19</v>
      </c>
      <c r="F34">
        <f>IF(E34&gt;=15,AVERAGEIF(Data!$F$2:$F$161,'Formula Test'!D34,Data!$K$2:$K$161),"")</f>
        <v>1.631578947368421</v>
      </c>
      <c r="H34">
        <v>40088</v>
      </c>
    </row>
    <row r="35" spans="1:8" x14ac:dyDescent="0.3">
      <c r="A35" s="2" t="s">
        <v>97</v>
      </c>
      <c r="B35" cm="1">
        <f t="array" ref="B35">SUMPRODUCT((Data!P2:P161="Saturday")+(Data!P2:P161="Sunday"),Data!I2:I161)</f>
        <v>115694.65000000008</v>
      </c>
      <c r="D35" t="str">
        <v>Omkar Deshmukh</v>
      </c>
      <c r="E35">
        <f>COUNTIF(Data!$F$2:$F$161,'Formula Test'!D35)</f>
        <v>56</v>
      </c>
      <c r="F35">
        <f>IF(E35&gt;=15,AVERAGEIF(Data!$F$2:$F$161,'Formula Test'!D35,Data!$K$2:$K$161),"")</f>
        <v>2</v>
      </c>
      <c r="H35">
        <v>40090</v>
      </c>
    </row>
    <row r="36" spans="1:8" x14ac:dyDescent="0.3">
      <c r="A36" s="2" t="s">
        <v>98</v>
      </c>
      <c r="B36">
        <f>COUNTIF(Data!J2:J161,"&gt;"&amp;1.5*'Formula Test'!D42)</f>
        <v>0</v>
      </c>
      <c r="D36" t="str">
        <v>Neel Chatterjee</v>
      </c>
      <c r="E36">
        <f>COUNTIF(Data!$F$2:$F$161,'Formula Test'!D36)</f>
        <v>19</v>
      </c>
      <c r="F36">
        <f>IF(E36&gt;=15,AVERAGEIF(Data!$F$2:$F$161,'Formula Test'!D36,Data!$K$2:$K$161),"")</f>
        <v>2.1052631578947367</v>
      </c>
      <c r="H36">
        <v>40093</v>
      </c>
    </row>
    <row r="37" spans="1:8" x14ac:dyDescent="0.3">
      <c r="A37" s="2" t="s">
        <v>99</v>
      </c>
      <c r="B37" t="str" cm="1">
        <f t="array" ref="B37">_xlfn.XLOOKUP(MAX(F46:F50),F46:F50,_xlfn.ANCHORARRAY(D46),"",0)</f>
        <v>Design</v>
      </c>
      <c r="D37" t="str">
        <v>Alina Fernandes</v>
      </c>
      <c r="E37">
        <f>COUNTIF(Data!$F$2:$F$161,'Formula Test'!D37)</f>
        <v>14</v>
      </c>
      <c r="F37" t="str">
        <f>IF(E37&gt;=15,AVERAGEIF(Data!$F$2:$F$161,'Formula Test'!D37,Data!$K$2:$K$161),"")</f>
        <v/>
      </c>
      <c r="H37">
        <v>40094</v>
      </c>
    </row>
    <row r="38" spans="1:8" x14ac:dyDescent="0.3">
      <c r="A38" s="2" t="s">
        <v>100</v>
      </c>
      <c r="B38" t="s">
        <v>104</v>
      </c>
      <c r="D38" t="str">
        <v>Rhea Kapoor</v>
      </c>
      <c r="E38">
        <f>COUNTIF(Data!$F$2:$F$161,'Formula Test'!D38)</f>
        <v>38</v>
      </c>
      <c r="F38">
        <f>IF(E38&gt;=15,AVERAGEIF(Data!$F$2:$F$161,'Formula Test'!D38,Data!$K$2:$K$161),"")</f>
        <v>1.763157894736842</v>
      </c>
      <c r="H38">
        <v>40103</v>
      </c>
    </row>
    <row r="39" spans="1:8" x14ac:dyDescent="0.3">
      <c r="A39" s="2" t="s">
        <v>101</v>
      </c>
      <c r="B39">
        <f ca="1">NETWORKDAYS(Data!B10,TODAY())</f>
        <v>187</v>
      </c>
      <c r="D39" t="str">
        <v>Vikram Sethi</v>
      </c>
      <c r="E39">
        <f>COUNTIF(Data!$F$2:$F$161,'Formula Test'!D39)</f>
        <v>14</v>
      </c>
      <c r="F39" t="str">
        <f>IF(E39&gt;=15,AVERAGEIF(Data!$F$2:$F$161,'Formula Test'!D39,Data!$K$2:$K$161),"")</f>
        <v/>
      </c>
      <c r="H39">
        <v>40106</v>
      </c>
    </row>
    <row r="40" spans="1:8" x14ac:dyDescent="0.3">
      <c r="A40" s="2" t="s">
        <v>102</v>
      </c>
      <c r="B40" t="str" cm="1">
        <f t="array" ref="B40">_xlfn.XLOOKUP(MAX(E26:E31),E26:E31,_xlfn.ANCHORARRAY(D26),"",0)</f>
        <v>Neel Chatterjee</v>
      </c>
      <c r="H40">
        <v>40107</v>
      </c>
    </row>
    <row r="41" spans="1:8" x14ac:dyDescent="0.3">
      <c r="A41" s="2" t="s">
        <v>103</v>
      </c>
      <c r="B41" cm="1">
        <f t="array" ref="B41">SUM(LARGE(IF(Data!L2:L161="Completed",Data!I2:I161),{1,2,3,4,5}))</f>
        <v>24943.850000000002</v>
      </c>
      <c r="D41" t="s">
        <v>115</v>
      </c>
      <c r="H41">
        <v>40111</v>
      </c>
    </row>
    <row r="42" spans="1:8" x14ac:dyDescent="0.3">
      <c r="D42">
        <f>AVERAGE(Data!J2:J161)</f>
        <v>70.693749999999994</v>
      </c>
      <c r="H42">
        <v>40114</v>
      </c>
    </row>
    <row r="43" spans="1:8" x14ac:dyDescent="0.3">
      <c r="H43">
        <v>40120</v>
      </c>
    </row>
    <row r="44" spans="1:8" x14ac:dyDescent="0.3">
      <c r="H44">
        <v>40122</v>
      </c>
    </row>
    <row r="45" spans="1:8" x14ac:dyDescent="0.3">
      <c r="D45" t="s">
        <v>116</v>
      </c>
      <c r="H45">
        <v>40124</v>
      </c>
    </row>
    <row r="46" spans="1:8" x14ac:dyDescent="0.3">
      <c r="D46" t="str" cm="1">
        <f t="array" ref="D46:D50">_xlfn.UNIQUE(Data!E2:E161)</f>
        <v>Web Development</v>
      </c>
      <c r="E46">
        <f>COUNTIF(Data!$E$2:$E$161,D46)</f>
        <v>56</v>
      </c>
      <c r="F46">
        <f>IF(E46&gt;=15,AVERAGEIF(Data!$E$2:$E$161,'Formula Test'!D46,Data!$J$2:$J$161))</f>
        <v>66.607142857142861</v>
      </c>
      <c r="H46">
        <v>40129</v>
      </c>
    </row>
    <row r="47" spans="1:8" x14ac:dyDescent="0.3">
      <c r="D47" t="str">
        <v>Marketing</v>
      </c>
      <c r="E47">
        <f>COUNTIF(Data!$E$2:$E$161,D47)</f>
        <v>26</v>
      </c>
      <c r="F47">
        <f>IF(E47&gt;=15,AVERAGEIF(Data!$E$2:$E$161,'Formula Test'!D47,Data!$J$2:$J$161))</f>
        <v>68.115384615384613</v>
      </c>
      <c r="H47">
        <v>40136</v>
      </c>
    </row>
    <row r="48" spans="1:8" x14ac:dyDescent="0.3">
      <c r="D48" t="str">
        <v>Design</v>
      </c>
      <c r="E48">
        <f>COUNTIF(Data!$E$2:$E$161,D48)</f>
        <v>33</v>
      </c>
      <c r="F48">
        <f>IF(E48&gt;=15,AVERAGEIF(Data!$E$2:$E$161,'Formula Test'!D48,Data!$J$2:$J$161))</f>
        <v>77.909090909090907</v>
      </c>
      <c r="H48">
        <v>40142</v>
      </c>
    </row>
    <row r="49" spans="4:8" x14ac:dyDescent="0.3">
      <c r="D49" t="str">
        <v>Finance</v>
      </c>
      <c r="E49">
        <f>COUNTIF(Data!$E$2:$E$161,D49)</f>
        <v>18</v>
      </c>
      <c r="F49">
        <f>IF(E49&gt;=15,AVERAGEIF(Data!$E$2:$E$161,'Formula Test'!D49,Data!$J$2:$J$161))</f>
        <v>74.722222222222229</v>
      </c>
      <c r="H49">
        <v>40144</v>
      </c>
    </row>
    <row r="50" spans="4:8" x14ac:dyDescent="0.3">
      <c r="D50" t="str">
        <v>Data Science</v>
      </c>
      <c r="E50">
        <f>COUNTIF(Data!$E$2:$E$161,D50)</f>
        <v>27</v>
      </c>
      <c r="F50">
        <f>IF(E50&gt;=15,AVERAGEIF(Data!$E$2:$E$161,'Formula Test'!D50,Data!$J$2:$J$161))</f>
        <v>70.148148148148152</v>
      </c>
      <c r="H50">
        <v>40145</v>
      </c>
    </row>
    <row r="51" spans="4:8" x14ac:dyDescent="0.3">
      <c r="H51">
        <v>40148</v>
      </c>
    </row>
    <row r="52" spans="4:8" x14ac:dyDescent="0.3">
      <c r="D52" t="s">
        <v>117</v>
      </c>
      <c r="H52">
        <v>40149</v>
      </c>
    </row>
    <row r="53" spans="4:8" x14ac:dyDescent="0.3">
      <c r="D53" t="str" cm="1">
        <f t="array" ref="D53:D55">_xlfn.UNIQUE(Data!H2:H161)</f>
        <v>Beginner</v>
      </c>
      <c r="E53" s="5">
        <f>COUNTIFS(Data!$H$2:$H$161,'Formula Test'!D53,Data!$L$2:$L$161,"Completed")/COUNTA(Data!$L$2:$L$161)</f>
        <v>0.21875</v>
      </c>
      <c r="H53">
        <v>40150</v>
      </c>
    </row>
    <row r="54" spans="4:8" x14ac:dyDescent="0.3">
      <c r="D54" t="str">
        <v>Intermediate</v>
      </c>
      <c r="E54" s="5">
        <f>COUNTIFS(Data!$H$2:$H$161,'Formula Test'!D54,Data!$L$2:$L$161,"Completed")/COUNTA(Data!$L$2:$L$161)</f>
        <v>0.10625</v>
      </c>
    </row>
    <row r="55" spans="4:8" x14ac:dyDescent="0.3">
      <c r="D55" t="str">
        <v>Advanced</v>
      </c>
      <c r="E55" s="5">
        <f>COUNTIFS(Data!$H$2:$H$161,'Formula Test'!D55,Data!$L$2:$L$161,"Completed")/COUNTA(Data!$L$2:$L$161)</f>
        <v>0.21249999999999999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1"/>
  <sheetViews>
    <sheetView zoomScaleNormal="100" workbookViewId="0">
      <pane ySplit="1" topLeftCell="A136" activePane="bottomLeft" state="frozen"/>
      <selection pane="bottomLeft" activeCell="Q2" sqref="Q2:Q161"/>
    </sheetView>
  </sheetViews>
  <sheetFormatPr defaultColWidth="8.6640625" defaultRowHeight="14.4" x14ac:dyDescent="0.3"/>
  <cols>
    <col min="1" max="1" width="8.6640625" bestFit="1" customWidth="1"/>
    <col min="2" max="2" width="11.88671875" bestFit="1" customWidth="1"/>
    <col min="3" max="3" width="13.77734375" bestFit="1" customWidth="1"/>
    <col min="4" max="4" width="20" customWidth="1"/>
    <col min="5" max="5" width="16.21875" bestFit="1" customWidth="1"/>
    <col min="6" max="6" width="15.44140625" bestFit="1" customWidth="1"/>
    <col min="7" max="7" width="11.21875" bestFit="1" customWidth="1"/>
    <col min="8" max="8" width="11.5546875" bestFit="1" customWidth="1"/>
    <col min="9" max="9" width="8" bestFit="1" customWidth="1"/>
    <col min="10" max="10" width="12.88671875" bestFit="1" customWidth="1"/>
    <col min="11" max="11" width="7.21875" bestFit="1" customWidth="1"/>
    <col min="12" max="12" width="9.88671875" bestFit="1" customWidth="1"/>
    <col min="16" max="16" width="11" bestFit="1" customWidth="1"/>
    <col min="17" max="17" width="16.21875" bestFit="1" customWidth="1"/>
  </cols>
  <sheetData>
    <row r="1" spans="1:1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N1" s="3" t="s">
        <v>108</v>
      </c>
      <c r="O1" s="3" t="s">
        <v>109</v>
      </c>
      <c r="P1" s="3" t="s">
        <v>113</v>
      </c>
      <c r="Q1" s="3" t="s">
        <v>114</v>
      </c>
    </row>
    <row r="2" spans="1:17" x14ac:dyDescent="0.3">
      <c r="A2">
        <v>40000</v>
      </c>
      <c r="B2" s="1">
        <v>45933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1814.46</v>
      </c>
      <c r="J2">
        <v>10</v>
      </c>
      <c r="K2">
        <v>0</v>
      </c>
      <c r="L2" t="s">
        <v>18</v>
      </c>
      <c r="N2">
        <f>ROUNDUP(MONTH(B2)/3,0)</f>
        <v>4</v>
      </c>
      <c r="O2">
        <f>YEAR(B2)</f>
        <v>2025</v>
      </c>
      <c r="P2" t="str">
        <f>TEXT(B2,"dddd")</f>
        <v>Friday</v>
      </c>
      <c r="Q2" t="str">
        <f>IF(K2=5,E2,"")</f>
        <v/>
      </c>
    </row>
    <row r="3" spans="1:17" x14ac:dyDescent="0.3">
      <c r="A3">
        <v>40001</v>
      </c>
      <c r="B3" s="1">
        <v>45720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17</v>
      </c>
      <c r="I3">
        <v>1990.7</v>
      </c>
      <c r="J3">
        <v>70</v>
      </c>
      <c r="K3">
        <v>0</v>
      </c>
      <c r="L3" t="s">
        <v>18</v>
      </c>
      <c r="N3">
        <f t="shared" ref="N3:N66" si="0">ROUNDUP(MONTH(B3)/3,0)</f>
        <v>1</v>
      </c>
      <c r="O3">
        <f t="shared" ref="O3:O66" si="1">YEAR(B3)</f>
        <v>2025</v>
      </c>
      <c r="P3" t="str">
        <f t="shared" ref="P3:P66" si="2">TEXT(B3,"dddd")</f>
        <v>Tuesday</v>
      </c>
      <c r="Q3" t="str">
        <f t="shared" ref="Q3:Q66" si="3">IF(K3=5,E3,"")</f>
        <v/>
      </c>
    </row>
    <row r="4" spans="1:17" x14ac:dyDescent="0.3">
      <c r="A4">
        <v>40002</v>
      </c>
      <c r="B4" s="1">
        <v>45956</v>
      </c>
      <c r="C4" t="s">
        <v>24</v>
      </c>
      <c r="D4" t="s">
        <v>25</v>
      </c>
      <c r="E4" t="s">
        <v>26</v>
      </c>
      <c r="F4" t="s">
        <v>27</v>
      </c>
      <c r="G4" t="s">
        <v>23</v>
      </c>
      <c r="H4" t="s">
        <v>28</v>
      </c>
      <c r="I4">
        <v>1386.91</v>
      </c>
      <c r="J4">
        <v>51</v>
      </c>
      <c r="K4">
        <v>0</v>
      </c>
      <c r="L4" t="s">
        <v>18</v>
      </c>
      <c r="N4">
        <f t="shared" si="0"/>
        <v>4</v>
      </c>
      <c r="O4">
        <f t="shared" si="1"/>
        <v>2025</v>
      </c>
      <c r="P4" t="str">
        <f t="shared" si="2"/>
        <v>Sunday</v>
      </c>
      <c r="Q4" t="str">
        <f t="shared" si="3"/>
        <v/>
      </c>
    </row>
    <row r="5" spans="1:17" x14ac:dyDescent="0.3">
      <c r="A5">
        <v>40003</v>
      </c>
      <c r="B5" s="1">
        <v>45864</v>
      </c>
      <c r="C5" t="s">
        <v>29</v>
      </c>
      <c r="D5" t="s">
        <v>30</v>
      </c>
      <c r="E5" t="s">
        <v>31</v>
      </c>
      <c r="F5" t="s">
        <v>15</v>
      </c>
      <c r="G5" t="s">
        <v>16</v>
      </c>
      <c r="H5" t="s">
        <v>32</v>
      </c>
      <c r="I5">
        <v>3474.04</v>
      </c>
      <c r="J5">
        <v>100</v>
      </c>
      <c r="K5">
        <v>5</v>
      </c>
      <c r="L5" t="s">
        <v>33</v>
      </c>
      <c r="N5">
        <f t="shared" si="0"/>
        <v>3</v>
      </c>
      <c r="O5">
        <f t="shared" si="1"/>
        <v>2025</v>
      </c>
      <c r="P5" t="str">
        <f t="shared" si="2"/>
        <v>Saturday</v>
      </c>
      <c r="Q5" t="str">
        <f t="shared" si="3"/>
        <v>Finance</v>
      </c>
    </row>
    <row r="6" spans="1:17" x14ac:dyDescent="0.3">
      <c r="A6">
        <v>40004</v>
      </c>
      <c r="B6" s="1">
        <v>45684</v>
      </c>
      <c r="C6" t="s">
        <v>34</v>
      </c>
      <c r="D6" t="s">
        <v>25</v>
      </c>
      <c r="E6" t="s">
        <v>26</v>
      </c>
      <c r="F6" t="s">
        <v>27</v>
      </c>
      <c r="G6" t="s">
        <v>23</v>
      </c>
      <c r="H6" t="s">
        <v>28</v>
      </c>
      <c r="I6">
        <v>1386.91</v>
      </c>
      <c r="J6">
        <v>2</v>
      </c>
      <c r="K6">
        <v>0</v>
      </c>
      <c r="L6" t="s">
        <v>35</v>
      </c>
      <c r="N6">
        <f t="shared" si="0"/>
        <v>1</v>
      </c>
      <c r="O6">
        <f t="shared" si="1"/>
        <v>2025</v>
      </c>
      <c r="P6" t="str">
        <f t="shared" si="2"/>
        <v>Monday</v>
      </c>
      <c r="Q6" t="str">
        <f t="shared" si="3"/>
        <v/>
      </c>
    </row>
    <row r="7" spans="1:17" x14ac:dyDescent="0.3">
      <c r="A7">
        <v>40005</v>
      </c>
      <c r="B7" s="1">
        <v>45718</v>
      </c>
      <c r="C7" t="s">
        <v>36</v>
      </c>
      <c r="D7" t="s">
        <v>25</v>
      </c>
      <c r="E7" t="s">
        <v>26</v>
      </c>
      <c r="F7" t="s">
        <v>27</v>
      </c>
      <c r="G7" t="s">
        <v>23</v>
      </c>
      <c r="H7" t="s">
        <v>28</v>
      </c>
      <c r="I7">
        <v>1386.91</v>
      </c>
      <c r="J7">
        <v>55</v>
      </c>
      <c r="K7">
        <v>0</v>
      </c>
      <c r="L7" t="s">
        <v>18</v>
      </c>
      <c r="N7">
        <f t="shared" si="0"/>
        <v>1</v>
      </c>
      <c r="O7">
        <f t="shared" si="1"/>
        <v>2025</v>
      </c>
      <c r="P7" t="str">
        <f t="shared" si="2"/>
        <v>Sunday</v>
      </c>
      <c r="Q7" t="str">
        <f t="shared" si="3"/>
        <v/>
      </c>
    </row>
    <row r="8" spans="1:17" x14ac:dyDescent="0.3">
      <c r="A8">
        <v>40006</v>
      </c>
      <c r="B8" s="1">
        <v>45991</v>
      </c>
      <c r="C8" t="s">
        <v>34</v>
      </c>
      <c r="D8" t="s">
        <v>37</v>
      </c>
      <c r="E8" t="s">
        <v>26</v>
      </c>
      <c r="F8" t="s">
        <v>22</v>
      </c>
      <c r="G8" t="s">
        <v>23</v>
      </c>
      <c r="H8" t="s">
        <v>32</v>
      </c>
      <c r="I8">
        <v>2612.4899999999998</v>
      </c>
      <c r="J8">
        <v>7</v>
      </c>
      <c r="K8">
        <v>0</v>
      </c>
      <c r="L8" t="s">
        <v>18</v>
      </c>
      <c r="N8">
        <f t="shared" si="0"/>
        <v>4</v>
      </c>
      <c r="O8">
        <f t="shared" si="1"/>
        <v>2025</v>
      </c>
      <c r="P8" t="str">
        <f t="shared" si="2"/>
        <v>Sunday</v>
      </c>
      <c r="Q8" t="str">
        <f t="shared" si="3"/>
        <v/>
      </c>
    </row>
    <row r="9" spans="1:17" x14ac:dyDescent="0.3">
      <c r="A9">
        <v>40007</v>
      </c>
      <c r="B9" s="1">
        <v>45929</v>
      </c>
      <c r="C9" t="s">
        <v>38</v>
      </c>
      <c r="D9" t="s">
        <v>39</v>
      </c>
      <c r="E9" t="s">
        <v>14</v>
      </c>
      <c r="F9" t="s">
        <v>40</v>
      </c>
      <c r="G9" t="s">
        <v>41</v>
      </c>
      <c r="H9" t="s">
        <v>17</v>
      </c>
      <c r="I9">
        <v>822.47</v>
      </c>
      <c r="J9">
        <v>100</v>
      </c>
      <c r="K9">
        <v>4</v>
      </c>
      <c r="L9" t="s">
        <v>33</v>
      </c>
      <c r="N9">
        <f t="shared" si="0"/>
        <v>3</v>
      </c>
      <c r="O9">
        <f t="shared" si="1"/>
        <v>2025</v>
      </c>
      <c r="P9" t="str">
        <f t="shared" si="2"/>
        <v>Monday</v>
      </c>
      <c r="Q9" t="str">
        <f t="shared" si="3"/>
        <v/>
      </c>
    </row>
    <row r="10" spans="1:17" x14ac:dyDescent="0.3">
      <c r="A10">
        <v>40008</v>
      </c>
      <c r="B10" s="1">
        <v>45952</v>
      </c>
      <c r="C10" t="s">
        <v>42</v>
      </c>
      <c r="D10" t="s">
        <v>20</v>
      </c>
      <c r="E10" t="s">
        <v>21</v>
      </c>
      <c r="F10" t="s">
        <v>22</v>
      </c>
      <c r="G10" t="s">
        <v>41</v>
      </c>
      <c r="H10" t="s">
        <v>17</v>
      </c>
      <c r="I10">
        <v>1990.7</v>
      </c>
      <c r="J10">
        <v>26</v>
      </c>
      <c r="K10">
        <v>0</v>
      </c>
      <c r="L10" t="s">
        <v>35</v>
      </c>
      <c r="N10">
        <f t="shared" si="0"/>
        <v>4</v>
      </c>
      <c r="O10">
        <f t="shared" si="1"/>
        <v>2025</v>
      </c>
      <c r="P10" t="str">
        <f t="shared" si="2"/>
        <v>Wednesday</v>
      </c>
      <c r="Q10" t="str">
        <f t="shared" si="3"/>
        <v/>
      </c>
    </row>
    <row r="11" spans="1:17" x14ac:dyDescent="0.3">
      <c r="A11">
        <v>40009</v>
      </c>
      <c r="B11" s="1">
        <v>46016</v>
      </c>
      <c r="C11" t="s">
        <v>42</v>
      </c>
      <c r="D11" t="s">
        <v>20</v>
      </c>
      <c r="E11" t="s">
        <v>21</v>
      </c>
      <c r="F11" t="s">
        <v>22</v>
      </c>
      <c r="G11" t="s">
        <v>41</v>
      </c>
      <c r="H11" t="s">
        <v>17</v>
      </c>
      <c r="I11">
        <v>1990.7</v>
      </c>
      <c r="J11">
        <v>100</v>
      </c>
      <c r="K11">
        <v>0</v>
      </c>
      <c r="L11" t="s">
        <v>33</v>
      </c>
      <c r="N11">
        <f t="shared" si="0"/>
        <v>4</v>
      </c>
      <c r="O11">
        <f t="shared" si="1"/>
        <v>2025</v>
      </c>
      <c r="P11" t="str">
        <f t="shared" si="2"/>
        <v>Thursday</v>
      </c>
      <c r="Q11" t="str">
        <f t="shared" si="3"/>
        <v/>
      </c>
    </row>
    <row r="12" spans="1:17" x14ac:dyDescent="0.3">
      <c r="A12">
        <v>40010</v>
      </c>
      <c r="B12" s="1">
        <v>45716</v>
      </c>
      <c r="C12" t="s">
        <v>43</v>
      </c>
      <c r="D12" t="s">
        <v>13</v>
      </c>
      <c r="E12" t="s">
        <v>14</v>
      </c>
      <c r="F12" t="s">
        <v>15</v>
      </c>
      <c r="G12" t="s">
        <v>16</v>
      </c>
      <c r="H12" t="s">
        <v>17</v>
      </c>
      <c r="I12">
        <v>1814.46</v>
      </c>
      <c r="J12">
        <v>59</v>
      </c>
      <c r="K12">
        <v>0</v>
      </c>
      <c r="L12" t="s">
        <v>18</v>
      </c>
      <c r="N12">
        <f t="shared" si="0"/>
        <v>1</v>
      </c>
      <c r="O12">
        <f t="shared" si="1"/>
        <v>2025</v>
      </c>
      <c r="P12" t="str">
        <f t="shared" si="2"/>
        <v>Friday</v>
      </c>
      <c r="Q12" t="str">
        <f t="shared" si="3"/>
        <v/>
      </c>
    </row>
    <row r="13" spans="1:17" x14ac:dyDescent="0.3">
      <c r="A13">
        <v>40011</v>
      </c>
      <c r="B13" s="1">
        <v>45780</v>
      </c>
      <c r="C13" t="s">
        <v>36</v>
      </c>
      <c r="D13" t="s">
        <v>13</v>
      </c>
      <c r="E13" t="s">
        <v>14</v>
      </c>
      <c r="F13" t="s">
        <v>15</v>
      </c>
      <c r="G13" t="s">
        <v>41</v>
      </c>
      <c r="H13" t="s">
        <v>17</v>
      </c>
      <c r="I13">
        <v>1814.46</v>
      </c>
      <c r="J13">
        <v>8</v>
      </c>
      <c r="K13">
        <v>0</v>
      </c>
      <c r="L13" t="s">
        <v>35</v>
      </c>
      <c r="N13">
        <f t="shared" si="0"/>
        <v>2</v>
      </c>
      <c r="O13">
        <f t="shared" si="1"/>
        <v>2025</v>
      </c>
      <c r="P13" t="str">
        <f t="shared" si="2"/>
        <v>Saturday</v>
      </c>
      <c r="Q13" t="str">
        <f t="shared" si="3"/>
        <v/>
      </c>
    </row>
    <row r="14" spans="1:17" x14ac:dyDescent="0.3">
      <c r="A14">
        <v>40012</v>
      </c>
      <c r="B14" s="1">
        <v>45670</v>
      </c>
      <c r="C14" t="s">
        <v>44</v>
      </c>
      <c r="D14" t="s">
        <v>13</v>
      </c>
      <c r="E14" t="s">
        <v>14</v>
      </c>
      <c r="F14" t="s">
        <v>15</v>
      </c>
      <c r="G14" t="s">
        <v>41</v>
      </c>
      <c r="H14" t="s">
        <v>17</v>
      </c>
      <c r="I14">
        <v>1814.46</v>
      </c>
      <c r="J14">
        <v>100</v>
      </c>
      <c r="K14">
        <v>3</v>
      </c>
      <c r="L14" t="s">
        <v>33</v>
      </c>
      <c r="N14">
        <f t="shared" si="0"/>
        <v>1</v>
      </c>
      <c r="O14">
        <f t="shared" si="1"/>
        <v>2025</v>
      </c>
      <c r="P14" t="str">
        <f t="shared" si="2"/>
        <v>Monday</v>
      </c>
      <c r="Q14" t="str">
        <f t="shared" si="3"/>
        <v/>
      </c>
    </row>
    <row r="15" spans="1:17" x14ac:dyDescent="0.3">
      <c r="A15">
        <v>40013</v>
      </c>
      <c r="B15" s="1">
        <v>45953</v>
      </c>
      <c r="C15" t="s">
        <v>24</v>
      </c>
      <c r="D15" t="s">
        <v>39</v>
      </c>
      <c r="E15" t="s">
        <v>14</v>
      </c>
      <c r="F15" t="s">
        <v>40</v>
      </c>
      <c r="G15" t="s">
        <v>16</v>
      </c>
      <c r="H15" t="s">
        <v>17</v>
      </c>
      <c r="I15">
        <v>822.47</v>
      </c>
      <c r="J15">
        <v>100</v>
      </c>
      <c r="K15">
        <v>5</v>
      </c>
      <c r="L15" t="s">
        <v>33</v>
      </c>
      <c r="N15">
        <f t="shared" si="0"/>
        <v>4</v>
      </c>
      <c r="O15">
        <f t="shared" si="1"/>
        <v>2025</v>
      </c>
      <c r="P15" t="str">
        <f t="shared" si="2"/>
        <v>Thursday</v>
      </c>
      <c r="Q15" t="str">
        <f t="shared" si="3"/>
        <v>Web Development</v>
      </c>
    </row>
    <row r="16" spans="1:17" x14ac:dyDescent="0.3">
      <c r="A16">
        <v>40014</v>
      </c>
      <c r="B16" s="1">
        <v>45899</v>
      </c>
      <c r="C16" t="s">
        <v>24</v>
      </c>
      <c r="D16" t="s">
        <v>20</v>
      </c>
      <c r="E16" t="s">
        <v>21</v>
      </c>
      <c r="F16" t="s">
        <v>22</v>
      </c>
      <c r="G16" t="s">
        <v>16</v>
      </c>
      <c r="H16" t="s">
        <v>17</v>
      </c>
      <c r="I16">
        <v>1990.7</v>
      </c>
      <c r="J16">
        <v>100</v>
      </c>
      <c r="K16">
        <v>0</v>
      </c>
      <c r="L16" t="s">
        <v>33</v>
      </c>
      <c r="N16">
        <f t="shared" si="0"/>
        <v>3</v>
      </c>
      <c r="O16">
        <f t="shared" si="1"/>
        <v>2025</v>
      </c>
      <c r="P16" t="str">
        <f t="shared" si="2"/>
        <v>Saturday</v>
      </c>
      <c r="Q16" t="str">
        <f t="shared" si="3"/>
        <v/>
      </c>
    </row>
    <row r="17" spans="1:17" x14ac:dyDescent="0.3">
      <c r="A17">
        <v>40015</v>
      </c>
      <c r="B17" s="1">
        <v>45890</v>
      </c>
      <c r="C17" t="s">
        <v>45</v>
      </c>
      <c r="D17" t="s">
        <v>46</v>
      </c>
      <c r="E17" t="s">
        <v>47</v>
      </c>
      <c r="F17" t="s">
        <v>48</v>
      </c>
      <c r="G17" t="s">
        <v>41</v>
      </c>
      <c r="H17" t="s">
        <v>28</v>
      </c>
      <c r="I17">
        <v>626.58000000000004</v>
      </c>
      <c r="J17">
        <v>100</v>
      </c>
      <c r="K17">
        <v>4</v>
      </c>
      <c r="L17" t="s">
        <v>33</v>
      </c>
      <c r="N17">
        <f t="shared" si="0"/>
        <v>3</v>
      </c>
      <c r="O17">
        <f t="shared" si="1"/>
        <v>2025</v>
      </c>
      <c r="P17" t="str">
        <f t="shared" si="2"/>
        <v>Thursday</v>
      </c>
      <c r="Q17" t="str">
        <f t="shared" si="3"/>
        <v/>
      </c>
    </row>
    <row r="18" spans="1:17" x14ac:dyDescent="0.3">
      <c r="A18">
        <v>40016</v>
      </c>
      <c r="B18" s="1">
        <v>45667</v>
      </c>
      <c r="C18" t="s">
        <v>29</v>
      </c>
      <c r="D18" t="s">
        <v>37</v>
      </c>
      <c r="E18" t="s">
        <v>26</v>
      </c>
      <c r="F18" t="s">
        <v>22</v>
      </c>
      <c r="G18" t="s">
        <v>41</v>
      </c>
      <c r="H18" t="s">
        <v>32</v>
      </c>
      <c r="I18">
        <v>2612.4899999999998</v>
      </c>
      <c r="J18">
        <v>100</v>
      </c>
      <c r="K18">
        <v>0</v>
      </c>
      <c r="L18" t="s">
        <v>33</v>
      </c>
      <c r="N18">
        <f t="shared" si="0"/>
        <v>1</v>
      </c>
      <c r="O18">
        <f t="shared" si="1"/>
        <v>2025</v>
      </c>
      <c r="P18" t="str">
        <f t="shared" si="2"/>
        <v>Friday</v>
      </c>
      <c r="Q18" t="str">
        <f t="shared" si="3"/>
        <v/>
      </c>
    </row>
    <row r="19" spans="1:17" x14ac:dyDescent="0.3">
      <c r="A19">
        <v>40017</v>
      </c>
      <c r="B19" s="1">
        <v>45919</v>
      </c>
      <c r="C19" t="s">
        <v>45</v>
      </c>
      <c r="D19" t="s">
        <v>13</v>
      </c>
      <c r="E19" t="s">
        <v>14</v>
      </c>
      <c r="F19" t="s">
        <v>15</v>
      </c>
      <c r="G19" t="s">
        <v>23</v>
      </c>
      <c r="H19" t="s">
        <v>17</v>
      </c>
      <c r="I19">
        <v>1814.46</v>
      </c>
      <c r="J19">
        <v>13</v>
      </c>
      <c r="K19">
        <v>0</v>
      </c>
      <c r="L19" t="s">
        <v>18</v>
      </c>
      <c r="N19">
        <f t="shared" si="0"/>
        <v>3</v>
      </c>
      <c r="O19">
        <f t="shared" si="1"/>
        <v>2025</v>
      </c>
      <c r="P19" t="str">
        <f t="shared" si="2"/>
        <v>Friday</v>
      </c>
      <c r="Q19" t="str">
        <f t="shared" si="3"/>
        <v/>
      </c>
    </row>
    <row r="20" spans="1:17" x14ac:dyDescent="0.3">
      <c r="A20">
        <v>40018</v>
      </c>
      <c r="B20" s="1">
        <v>45713</v>
      </c>
      <c r="C20" t="s">
        <v>43</v>
      </c>
      <c r="D20" t="s">
        <v>13</v>
      </c>
      <c r="E20" t="s">
        <v>14</v>
      </c>
      <c r="F20" t="s">
        <v>15</v>
      </c>
      <c r="G20" t="s">
        <v>16</v>
      </c>
      <c r="H20" t="s">
        <v>17</v>
      </c>
      <c r="I20">
        <v>1814.46</v>
      </c>
      <c r="J20">
        <v>21</v>
      </c>
      <c r="K20">
        <v>0</v>
      </c>
      <c r="L20" t="s">
        <v>18</v>
      </c>
      <c r="N20">
        <f t="shared" si="0"/>
        <v>1</v>
      </c>
      <c r="O20">
        <f t="shared" si="1"/>
        <v>2025</v>
      </c>
      <c r="P20" t="str">
        <f t="shared" si="2"/>
        <v>Tuesday</v>
      </c>
      <c r="Q20" t="str">
        <f t="shared" si="3"/>
        <v/>
      </c>
    </row>
    <row r="21" spans="1:17" x14ac:dyDescent="0.3">
      <c r="A21">
        <v>40019</v>
      </c>
      <c r="B21" s="1">
        <v>46013</v>
      </c>
      <c r="C21" t="s">
        <v>43</v>
      </c>
      <c r="D21" t="s">
        <v>20</v>
      </c>
      <c r="E21" t="s">
        <v>21</v>
      </c>
      <c r="F21" t="s">
        <v>22</v>
      </c>
      <c r="G21" t="s">
        <v>41</v>
      </c>
      <c r="H21" t="s">
        <v>17</v>
      </c>
      <c r="I21">
        <v>1990.7</v>
      </c>
      <c r="J21">
        <v>34</v>
      </c>
      <c r="K21">
        <v>0</v>
      </c>
      <c r="L21" t="s">
        <v>35</v>
      </c>
      <c r="N21">
        <f t="shared" si="0"/>
        <v>4</v>
      </c>
      <c r="O21">
        <f t="shared" si="1"/>
        <v>2025</v>
      </c>
      <c r="P21" t="str">
        <f t="shared" si="2"/>
        <v>Monday</v>
      </c>
      <c r="Q21" t="str">
        <f t="shared" si="3"/>
        <v/>
      </c>
    </row>
    <row r="22" spans="1:17" x14ac:dyDescent="0.3">
      <c r="A22">
        <v>40020</v>
      </c>
      <c r="B22" s="1">
        <v>45803</v>
      </c>
      <c r="C22" t="s">
        <v>38</v>
      </c>
      <c r="D22" t="s">
        <v>39</v>
      </c>
      <c r="E22" t="s">
        <v>14</v>
      </c>
      <c r="F22" t="s">
        <v>40</v>
      </c>
      <c r="G22" t="s">
        <v>23</v>
      </c>
      <c r="H22" t="s">
        <v>17</v>
      </c>
      <c r="I22">
        <v>822.47</v>
      </c>
      <c r="J22">
        <v>100</v>
      </c>
      <c r="K22">
        <v>4</v>
      </c>
      <c r="L22" t="s">
        <v>33</v>
      </c>
      <c r="N22">
        <f t="shared" si="0"/>
        <v>2</v>
      </c>
      <c r="O22">
        <f t="shared" si="1"/>
        <v>2025</v>
      </c>
      <c r="P22" t="str">
        <f t="shared" si="2"/>
        <v>Monday</v>
      </c>
      <c r="Q22" t="str">
        <f t="shared" si="3"/>
        <v/>
      </c>
    </row>
    <row r="23" spans="1:17" x14ac:dyDescent="0.3">
      <c r="A23">
        <v>40021</v>
      </c>
      <c r="B23" s="1">
        <v>45801</v>
      </c>
      <c r="C23" t="s">
        <v>19</v>
      </c>
      <c r="D23" t="s">
        <v>49</v>
      </c>
      <c r="E23" t="s">
        <v>21</v>
      </c>
      <c r="F23" t="s">
        <v>48</v>
      </c>
      <c r="G23" t="s">
        <v>23</v>
      </c>
      <c r="H23" t="s">
        <v>17</v>
      </c>
      <c r="I23">
        <v>4064.97</v>
      </c>
      <c r="J23">
        <v>100</v>
      </c>
      <c r="K23">
        <v>4</v>
      </c>
      <c r="L23" t="s">
        <v>33</v>
      </c>
      <c r="N23">
        <f t="shared" si="0"/>
        <v>2</v>
      </c>
      <c r="O23">
        <f t="shared" si="1"/>
        <v>2025</v>
      </c>
      <c r="P23" t="str">
        <f t="shared" si="2"/>
        <v>Saturday</v>
      </c>
      <c r="Q23" t="str">
        <f t="shared" si="3"/>
        <v/>
      </c>
    </row>
    <row r="24" spans="1:17" x14ac:dyDescent="0.3">
      <c r="A24">
        <v>40022</v>
      </c>
      <c r="B24" s="1">
        <v>45916</v>
      </c>
      <c r="C24" t="s">
        <v>50</v>
      </c>
      <c r="D24" t="s">
        <v>39</v>
      </c>
      <c r="E24" t="s">
        <v>14</v>
      </c>
      <c r="F24" t="s">
        <v>40</v>
      </c>
      <c r="G24" t="s">
        <v>16</v>
      </c>
      <c r="H24" t="s">
        <v>17</v>
      </c>
      <c r="I24">
        <v>822.47</v>
      </c>
      <c r="J24">
        <v>100</v>
      </c>
      <c r="K24">
        <v>5</v>
      </c>
      <c r="L24" t="s">
        <v>33</v>
      </c>
      <c r="N24">
        <f t="shared" si="0"/>
        <v>3</v>
      </c>
      <c r="O24">
        <f t="shared" si="1"/>
        <v>2025</v>
      </c>
      <c r="P24" t="str">
        <f t="shared" si="2"/>
        <v>Tuesday</v>
      </c>
      <c r="Q24" t="str">
        <f t="shared" si="3"/>
        <v>Web Development</v>
      </c>
    </row>
    <row r="25" spans="1:17" x14ac:dyDescent="0.3">
      <c r="A25">
        <v>40023</v>
      </c>
      <c r="B25" s="1">
        <v>45698</v>
      </c>
      <c r="C25" t="s">
        <v>36</v>
      </c>
      <c r="D25" t="s">
        <v>46</v>
      </c>
      <c r="E25" t="s">
        <v>47</v>
      </c>
      <c r="F25" t="s">
        <v>48</v>
      </c>
      <c r="G25" t="s">
        <v>23</v>
      </c>
      <c r="H25" t="s">
        <v>28</v>
      </c>
      <c r="I25">
        <v>626.58000000000004</v>
      </c>
      <c r="J25">
        <v>100</v>
      </c>
      <c r="K25">
        <v>4</v>
      </c>
      <c r="L25" t="s">
        <v>33</v>
      </c>
      <c r="N25">
        <f t="shared" si="0"/>
        <v>1</v>
      </c>
      <c r="O25">
        <f t="shared" si="1"/>
        <v>2025</v>
      </c>
      <c r="P25" t="str">
        <f t="shared" si="2"/>
        <v>Monday</v>
      </c>
      <c r="Q25" t="str">
        <f t="shared" si="3"/>
        <v/>
      </c>
    </row>
    <row r="26" spans="1:17" x14ac:dyDescent="0.3">
      <c r="A26">
        <v>40024</v>
      </c>
      <c r="B26" s="1">
        <v>46014</v>
      </c>
      <c r="C26" t="s">
        <v>44</v>
      </c>
      <c r="D26" t="s">
        <v>13</v>
      </c>
      <c r="E26" t="s">
        <v>14</v>
      </c>
      <c r="F26" t="s">
        <v>15</v>
      </c>
      <c r="G26" t="s">
        <v>41</v>
      </c>
      <c r="H26" t="s">
        <v>17</v>
      </c>
      <c r="I26">
        <v>1814.46</v>
      </c>
      <c r="J26">
        <v>100</v>
      </c>
      <c r="K26">
        <v>5</v>
      </c>
      <c r="L26" t="s">
        <v>33</v>
      </c>
      <c r="N26">
        <f t="shared" si="0"/>
        <v>4</v>
      </c>
      <c r="O26">
        <f t="shared" si="1"/>
        <v>2025</v>
      </c>
      <c r="P26" t="str">
        <f t="shared" si="2"/>
        <v>Tuesday</v>
      </c>
      <c r="Q26" t="str">
        <f t="shared" si="3"/>
        <v>Web Development</v>
      </c>
    </row>
    <row r="27" spans="1:17" x14ac:dyDescent="0.3">
      <c r="A27">
        <v>40025</v>
      </c>
      <c r="B27" s="1">
        <v>46004</v>
      </c>
      <c r="C27" t="s">
        <v>51</v>
      </c>
      <c r="D27" t="s">
        <v>37</v>
      </c>
      <c r="E27" t="s">
        <v>26</v>
      </c>
      <c r="F27" t="s">
        <v>22</v>
      </c>
      <c r="G27" t="s">
        <v>41</v>
      </c>
      <c r="H27" t="s">
        <v>32</v>
      </c>
      <c r="I27">
        <v>2612.4899999999998</v>
      </c>
      <c r="J27">
        <v>77</v>
      </c>
      <c r="K27">
        <v>0</v>
      </c>
      <c r="L27" t="s">
        <v>18</v>
      </c>
      <c r="N27">
        <f t="shared" si="0"/>
        <v>4</v>
      </c>
      <c r="O27">
        <f t="shared" si="1"/>
        <v>2025</v>
      </c>
      <c r="P27" t="str">
        <f t="shared" si="2"/>
        <v>Saturday</v>
      </c>
      <c r="Q27" t="str">
        <f t="shared" si="3"/>
        <v/>
      </c>
    </row>
    <row r="28" spans="1:17" x14ac:dyDescent="0.3">
      <c r="A28">
        <v>40026</v>
      </c>
      <c r="B28" s="1">
        <v>45985</v>
      </c>
      <c r="C28" t="s">
        <v>29</v>
      </c>
      <c r="D28" t="s">
        <v>52</v>
      </c>
      <c r="E28" t="s">
        <v>47</v>
      </c>
      <c r="F28" t="s">
        <v>53</v>
      </c>
      <c r="G28" t="s">
        <v>16</v>
      </c>
      <c r="H28" t="s">
        <v>17</v>
      </c>
      <c r="I28">
        <v>2978.44</v>
      </c>
      <c r="J28">
        <v>100</v>
      </c>
      <c r="K28">
        <v>0</v>
      </c>
      <c r="L28" t="s">
        <v>33</v>
      </c>
      <c r="N28">
        <f t="shared" si="0"/>
        <v>4</v>
      </c>
      <c r="O28">
        <f t="shared" si="1"/>
        <v>2025</v>
      </c>
      <c r="P28" t="str">
        <f t="shared" si="2"/>
        <v>Monday</v>
      </c>
      <c r="Q28" t="str">
        <f t="shared" si="3"/>
        <v/>
      </c>
    </row>
    <row r="29" spans="1:17" x14ac:dyDescent="0.3">
      <c r="A29">
        <v>40027</v>
      </c>
      <c r="B29" s="1">
        <v>45688</v>
      </c>
      <c r="C29" t="s">
        <v>54</v>
      </c>
      <c r="D29" t="s">
        <v>55</v>
      </c>
      <c r="E29" t="s">
        <v>31</v>
      </c>
      <c r="F29" t="s">
        <v>22</v>
      </c>
      <c r="G29" t="s">
        <v>23</v>
      </c>
      <c r="H29" t="s">
        <v>32</v>
      </c>
      <c r="I29">
        <v>1569.15</v>
      </c>
      <c r="J29">
        <v>43</v>
      </c>
      <c r="K29">
        <v>0</v>
      </c>
      <c r="L29" t="s">
        <v>18</v>
      </c>
      <c r="N29">
        <f t="shared" si="0"/>
        <v>1</v>
      </c>
      <c r="O29">
        <f t="shared" si="1"/>
        <v>2025</v>
      </c>
      <c r="P29" t="str">
        <f t="shared" si="2"/>
        <v>Friday</v>
      </c>
      <c r="Q29" t="str">
        <f t="shared" si="3"/>
        <v/>
      </c>
    </row>
    <row r="30" spans="1:17" x14ac:dyDescent="0.3">
      <c r="A30">
        <v>40028</v>
      </c>
      <c r="B30" s="1">
        <v>45702</v>
      </c>
      <c r="C30" t="s">
        <v>56</v>
      </c>
      <c r="D30" t="s">
        <v>37</v>
      </c>
      <c r="E30" t="s">
        <v>26</v>
      </c>
      <c r="F30" t="s">
        <v>22</v>
      </c>
      <c r="G30" t="s">
        <v>41</v>
      </c>
      <c r="H30" t="s">
        <v>32</v>
      </c>
      <c r="I30">
        <v>2612.4899999999998</v>
      </c>
      <c r="J30">
        <v>48</v>
      </c>
      <c r="K30">
        <v>0</v>
      </c>
      <c r="L30" t="s">
        <v>18</v>
      </c>
      <c r="N30">
        <f t="shared" si="0"/>
        <v>1</v>
      </c>
      <c r="O30">
        <f t="shared" si="1"/>
        <v>2025</v>
      </c>
      <c r="P30" t="str">
        <f t="shared" si="2"/>
        <v>Friday</v>
      </c>
      <c r="Q30" t="str">
        <f t="shared" si="3"/>
        <v/>
      </c>
    </row>
    <row r="31" spans="1:17" x14ac:dyDescent="0.3">
      <c r="A31">
        <v>40029</v>
      </c>
      <c r="B31" s="1">
        <v>45682</v>
      </c>
      <c r="C31" t="s">
        <v>57</v>
      </c>
      <c r="D31" t="s">
        <v>49</v>
      </c>
      <c r="E31" t="s">
        <v>21</v>
      </c>
      <c r="F31" t="s">
        <v>48</v>
      </c>
      <c r="G31" t="s">
        <v>23</v>
      </c>
      <c r="H31" t="s">
        <v>17</v>
      </c>
      <c r="I31">
        <v>4064.97</v>
      </c>
      <c r="J31">
        <v>100</v>
      </c>
      <c r="K31">
        <v>0</v>
      </c>
      <c r="L31" t="s">
        <v>33</v>
      </c>
      <c r="N31">
        <f t="shared" si="0"/>
        <v>1</v>
      </c>
      <c r="O31">
        <f t="shared" si="1"/>
        <v>2025</v>
      </c>
      <c r="P31" t="str">
        <f t="shared" si="2"/>
        <v>Saturday</v>
      </c>
      <c r="Q31" t="str">
        <f t="shared" si="3"/>
        <v/>
      </c>
    </row>
    <row r="32" spans="1:17" x14ac:dyDescent="0.3">
      <c r="A32">
        <v>40030</v>
      </c>
      <c r="B32" s="1">
        <v>45878</v>
      </c>
      <c r="C32" t="s">
        <v>42</v>
      </c>
      <c r="D32" t="s">
        <v>55</v>
      </c>
      <c r="E32" t="s">
        <v>31</v>
      </c>
      <c r="F32" t="s">
        <v>22</v>
      </c>
      <c r="G32" t="s">
        <v>41</v>
      </c>
      <c r="H32" t="s">
        <v>32</v>
      </c>
      <c r="I32">
        <v>1569.15</v>
      </c>
      <c r="J32">
        <v>100</v>
      </c>
      <c r="K32">
        <v>0</v>
      </c>
      <c r="L32" t="s">
        <v>33</v>
      </c>
      <c r="N32">
        <f t="shared" si="0"/>
        <v>3</v>
      </c>
      <c r="O32">
        <f t="shared" si="1"/>
        <v>2025</v>
      </c>
      <c r="P32" t="str">
        <f t="shared" si="2"/>
        <v>Saturday</v>
      </c>
      <c r="Q32" t="str">
        <f t="shared" si="3"/>
        <v/>
      </c>
    </row>
    <row r="33" spans="1:17" x14ac:dyDescent="0.3">
      <c r="A33">
        <v>40031</v>
      </c>
      <c r="B33" s="1">
        <v>45677</v>
      </c>
      <c r="C33" t="s">
        <v>36</v>
      </c>
      <c r="D33" t="s">
        <v>25</v>
      </c>
      <c r="E33" t="s">
        <v>26</v>
      </c>
      <c r="F33" t="s">
        <v>27</v>
      </c>
      <c r="G33" t="s">
        <v>23</v>
      </c>
      <c r="H33" t="s">
        <v>28</v>
      </c>
      <c r="I33">
        <v>1386.91</v>
      </c>
      <c r="J33">
        <v>100</v>
      </c>
      <c r="K33">
        <v>3</v>
      </c>
      <c r="L33" t="s">
        <v>33</v>
      </c>
      <c r="N33">
        <f t="shared" si="0"/>
        <v>1</v>
      </c>
      <c r="O33">
        <f t="shared" si="1"/>
        <v>2025</v>
      </c>
      <c r="P33" t="str">
        <f t="shared" si="2"/>
        <v>Monday</v>
      </c>
      <c r="Q33" t="str">
        <f t="shared" si="3"/>
        <v/>
      </c>
    </row>
    <row r="34" spans="1:17" x14ac:dyDescent="0.3">
      <c r="A34">
        <v>40032</v>
      </c>
      <c r="B34" s="1">
        <v>45935</v>
      </c>
      <c r="C34" t="s">
        <v>38</v>
      </c>
      <c r="D34" t="s">
        <v>46</v>
      </c>
      <c r="E34" t="s">
        <v>47</v>
      </c>
      <c r="F34" t="s">
        <v>48</v>
      </c>
      <c r="G34" t="s">
        <v>41</v>
      </c>
      <c r="H34" t="s">
        <v>28</v>
      </c>
      <c r="I34">
        <v>626.58000000000004</v>
      </c>
      <c r="J34">
        <v>22</v>
      </c>
      <c r="K34">
        <v>0</v>
      </c>
      <c r="L34" t="s">
        <v>18</v>
      </c>
      <c r="N34">
        <f t="shared" si="0"/>
        <v>4</v>
      </c>
      <c r="O34">
        <f t="shared" si="1"/>
        <v>2025</v>
      </c>
      <c r="P34" t="str">
        <f t="shared" si="2"/>
        <v>Sunday</v>
      </c>
      <c r="Q34" t="str">
        <f t="shared" si="3"/>
        <v/>
      </c>
    </row>
    <row r="35" spans="1:17" x14ac:dyDescent="0.3">
      <c r="A35">
        <v>40033</v>
      </c>
      <c r="B35" s="1">
        <v>45856</v>
      </c>
      <c r="C35" t="s">
        <v>54</v>
      </c>
      <c r="D35" t="s">
        <v>25</v>
      </c>
      <c r="E35" t="s">
        <v>26</v>
      </c>
      <c r="F35" t="s">
        <v>27</v>
      </c>
      <c r="G35" t="s">
        <v>23</v>
      </c>
      <c r="H35" t="s">
        <v>28</v>
      </c>
      <c r="I35">
        <v>1386.91</v>
      </c>
      <c r="J35">
        <v>93</v>
      </c>
      <c r="K35">
        <v>0</v>
      </c>
      <c r="L35" t="s">
        <v>18</v>
      </c>
      <c r="N35">
        <f t="shared" si="0"/>
        <v>3</v>
      </c>
      <c r="O35">
        <f t="shared" si="1"/>
        <v>2025</v>
      </c>
      <c r="P35" t="str">
        <f t="shared" si="2"/>
        <v>Friday</v>
      </c>
      <c r="Q35" t="str">
        <f t="shared" si="3"/>
        <v/>
      </c>
    </row>
    <row r="36" spans="1:17" x14ac:dyDescent="0.3">
      <c r="A36">
        <v>40034</v>
      </c>
      <c r="B36" s="1">
        <v>45762</v>
      </c>
      <c r="C36" t="s">
        <v>50</v>
      </c>
      <c r="D36" t="s">
        <v>13</v>
      </c>
      <c r="E36" t="s">
        <v>14</v>
      </c>
      <c r="F36" t="s">
        <v>15</v>
      </c>
      <c r="G36" t="s">
        <v>23</v>
      </c>
      <c r="H36" t="s">
        <v>17</v>
      </c>
      <c r="I36">
        <v>1814.46</v>
      </c>
      <c r="J36">
        <v>100</v>
      </c>
      <c r="K36">
        <v>5</v>
      </c>
      <c r="L36" t="s">
        <v>33</v>
      </c>
      <c r="N36">
        <f t="shared" si="0"/>
        <v>2</v>
      </c>
      <c r="O36">
        <f t="shared" si="1"/>
        <v>2025</v>
      </c>
      <c r="P36" t="str">
        <f t="shared" si="2"/>
        <v>Tuesday</v>
      </c>
      <c r="Q36" t="str">
        <f t="shared" si="3"/>
        <v>Web Development</v>
      </c>
    </row>
    <row r="37" spans="1:17" x14ac:dyDescent="0.3">
      <c r="A37">
        <v>40035</v>
      </c>
      <c r="B37" s="1">
        <v>45775</v>
      </c>
      <c r="C37" t="s">
        <v>45</v>
      </c>
      <c r="D37" t="s">
        <v>58</v>
      </c>
      <c r="E37" t="s">
        <v>14</v>
      </c>
      <c r="F37" t="s">
        <v>48</v>
      </c>
      <c r="G37" t="s">
        <v>16</v>
      </c>
      <c r="H37" t="s">
        <v>32</v>
      </c>
      <c r="I37">
        <v>3019.47</v>
      </c>
      <c r="J37">
        <v>100</v>
      </c>
      <c r="K37">
        <v>5</v>
      </c>
      <c r="L37" t="s">
        <v>33</v>
      </c>
      <c r="N37">
        <f t="shared" si="0"/>
        <v>2</v>
      </c>
      <c r="O37">
        <f t="shared" si="1"/>
        <v>2025</v>
      </c>
      <c r="P37" t="str">
        <f t="shared" si="2"/>
        <v>Monday</v>
      </c>
      <c r="Q37" t="str">
        <f t="shared" si="3"/>
        <v>Web Development</v>
      </c>
    </row>
    <row r="38" spans="1:17" x14ac:dyDescent="0.3">
      <c r="A38">
        <v>40036</v>
      </c>
      <c r="B38" s="1">
        <v>45995</v>
      </c>
      <c r="C38" t="s">
        <v>50</v>
      </c>
      <c r="D38" t="s">
        <v>37</v>
      </c>
      <c r="E38" t="s">
        <v>26</v>
      </c>
      <c r="F38" t="s">
        <v>22</v>
      </c>
      <c r="G38" t="s">
        <v>41</v>
      </c>
      <c r="H38" t="s">
        <v>32</v>
      </c>
      <c r="I38">
        <v>2612.4899999999998</v>
      </c>
      <c r="J38">
        <v>100</v>
      </c>
      <c r="K38">
        <v>5</v>
      </c>
      <c r="L38" t="s">
        <v>33</v>
      </c>
      <c r="N38">
        <f t="shared" si="0"/>
        <v>4</v>
      </c>
      <c r="O38">
        <f t="shared" si="1"/>
        <v>2025</v>
      </c>
      <c r="P38" t="str">
        <f t="shared" si="2"/>
        <v>Thursday</v>
      </c>
      <c r="Q38" t="str">
        <f t="shared" si="3"/>
        <v>Design</v>
      </c>
    </row>
    <row r="39" spans="1:17" x14ac:dyDescent="0.3">
      <c r="A39">
        <v>40037</v>
      </c>
      <c r="B39" s="1">
        <v>45972</v>
      </c>
      <c r="C39" t="s">
        <v>56</v>
      </c>
      <c r="D39" t="s">
        <v>59</v>
      </c>
      <c r="E39" t="s">
        <v>14</v>
      </c>
      <c r="F39" t="s">
        <v>22</v>
      </c>
      <c r="G39" t="s">
        <v>23</v>
      </c>
      <c r="H39" t="s">
        <v>32</v>
      </c>
      <c r="I39">
        <v>4988.7700000000004</v>
      </c>
      <c r="J39">
        <v>27</v>
      </c>
      <c r="K39">
        <v>0</v>
      </c>
      <c r="L39" t="s">
        <v>18</v>
      </c>
      <c r="N39">
        <f t="shared" si="0"/>
        <v>4</v>
      </c>
      <c r="O39">
        <f t="shared" si="1"/>
        <v>2025</v>
      </c>
      <c r="P39" t="str">
        <f t="shared" si="2"/>
        <v>Tuesday</v>
      </c>
      <c r="Q39" t="str">
        <f t="shared" si="3"/>
        <v/>
      </c>
    </row>
    <row r="40" spans="1:17" x14ac:dyDescent="0.3">
      <c r="A40">
        <v>40038</v>
      </c>
      <c r="B40" s="1">
        <v>45755</v>
      </c>
      <c r="C40" t="s">
        <v>54</v>
      </c>
      <c r="D40" t="s">
        <v>39</v>
      </c>
      <c r="E40" t="s">
        <v>14</v>
      </c>
      <c r="F40" t="s">
        <v>40</v>
      </c>
      <c r="G40" t="s">
        <v>23</v>
      </c>
      <c r="H40" t="s">
        <v>17</v>
      </c>
      <c r="I40">
        <v>822.47</v>
      </c>
      <c r="J40">
        <v>100</v>
      </c>
      <c r="K40">
        <v>5</v>
      </c>
      <c r="L40" t="s">
        <v>33</v>
      </c>
      <c r="N40">
        <f t="shared" si="0"/>
        <v>2</v>
      </c>
      <c r="O40">
        <f t="shared" si="1"/>
        <v>2025</v>
      </c>
      <c r="P40" t="str">
        <f t="shared" si="2"/>
        <v>Tuesday</v>
      </c>
      <c r="Q40" t="str">
        <f t="shared" si="3"/>
        <v>Web Development</v>
      </c>
    </row>
    <row r="41" spans="1:17" x14ac:dyDescent="0.3">
      <c r="A41">
        <v>40039</v>
      </c>
      <c r="B41" s="1">
        <v>45788</v>
      </c>
      <c r="C41" t="s">
        <v>19</v>
      </c>
      <c r="D41" t="s">
        <v>49</v>
      </c>
      <c r="E41" t="s">
        <v>21</v>
      </c>
      <c r="F41" t="s">
        <v>48</v>
      </c>
      <c r="G41" t="s">
        <v>41</v>
      </c>
      <c r="H41" t="s">
        <v>17</v>
      </c>
      <c r="I41">
        <v>4064.97</v>
      </c>
      <c r="J41">
        <v>27</v>
      </c>
      <c r="K41">
        <v>0</v>
      </c>
      <c r="L41" t="s">
        <v>18</v>
      </c>
      <c r="N41">
        <f t="shared" si="0"/>
        <v>2</v>
      </c>
      <c r="O41">
        <f t="shared" si="1"/>
        <v>2025</v>
      </c>
      <c r="P41" t="str">
        <f t="shared" si="2"/>
        <v>Sunday</v>
      </c>
      <c r="Q41" t="str">
        <f t="shared" si="3"/>
        <v/>
      </c>
    </row>
    <row r="42" spans="1:17" x14ac:dyDescent="0.3">
      <c r="A42">
        <v>40040</v>
      </c>
      <c r="B42" s="1">
        <v>45793</v>
      </c>
      <c r="C42" t="s">
        <v>54</v>
      </c>
      <c r="D42" t="s">
        <v>55</v>
      </c>
      <c r="E42" t="s">
        <v>31</v>
      </c>
      <c r="F42" t="s">
        <v>22</v>
      </c>
      <c r="G42" t="s">
        <v>16</v>
      </c>
      <c r="H42" t="s">
        <v>32</v>
      </c>
      <c r="I42">
        <v>1569.15</v>
      </c>
      <c r="J42">
        <v>100</v>
      </c>
      <c r="K42">
        <v>3</v>
      </c>
      <c r="L42" t="s">
        <v>33</v>
      </c>
      <c r="N42">
        <f t="shared" si="0"/>
        <v>2</v>
      </c>
      <c r="O42">
        <f t="shared" si="1"/>
        <v>2025</v>
      </c>
      <c r="P42" t="str">
        <f t="shared" si="2"/>
        <v>Friday</v>
      </c>
      <c r="Q42" t="str">
        <f t="shared" si="3"/>
        <v/>
      </c>
    </row>
    <row r="43" spans="1:17" x14ac:dyDescent="0.3">
      <c r="A43">
        <v>40041</v>
      </c>
      <c r="B43" s="1">
        <v>46014</v>
      </c>
      <c r="C43" t="s">
        <v>12</v>
      </c>
      <c r="D43" t="s">
        <v>46</v>
      </c>
      <c r="E43" t="s">
        <v>47</v>
      </c>
      <c r="F43" t="s">
        <v>48</v>
      </c>
      <c r="G43" t="s">
        <v>16</v>
      </c>
      <c r="H43" t="s">
        <v>28</v>
      </c>
      <c r="I43">
        <v>626.58000000000004</v>
      </c>
      <c r="J43">
        <v>100</v>
      </c>
      <c r="K43">
        <v>4</v>
      </c>
      <c r="L43" t="s">
        <v>33</v>
      </c>
      <c r="N43">
        <f t="shared" si="0"/>
        <v>4</v>
      </c>
      <c r="O43">
        <f t="shared" si="1"/>
        <v>2025</v>
      </c>
      <c r="P43" t="str">
        <f t="shared" si="2"/>
        <v>Tuesday</v>
      </c>
      <c r="Q43" t="str">
        <f t="shared" si="3"/>
        <v/>
      </c>
    </row>
    <row r="44" spans="1:17" x14ac:dyDescent="0.3">
      <c r="A44">
        <v>40042</v>
      </c>
      <c r="B44" s="1">
        <v>45806</v>
      </c>
      <c r="C44" t="s">
        <v>60</v>
      </c>
      <c r="D44" t="s">
        <v>37</v>
      </c>
      <c r="E44" t="s">
        <v>26</v>
      </c>
      <c r="F44" t="s">
        <v>22</v>
      </c>
      <c r="G44" t="s">
        <v>41</v>
      </c>
      <c r="H44" t="s">
        <v>32</v>
      </c>
      <c r="I44">
        <v>2612.4899999999998</v>
      </c>
      <c r="J44">
        <v>35</v>
      </c>
      <c r="K44">
        <v>0</v>
      </c>
      <c r="L44" t="s">
        <v>18</v>
      </c>
      <c r="N44">
        <f t="shared" si="0"/>
        <v>2</v>
      </c>
      <c r="O44">
        <f t="shared" si="1"/>
        <v>2025</v>
      </c>
      <c r="P44" t="str">
        <f t="shared" si="2"/>
        <v>Thursday</v>
      </c>
      <c r="Q44" t="str">
        <f t="shared" si="3"/>
        <v/>
      </c>
    </row>
    <row r="45" spans="1:17" x14ac:dyDescent="0.3">
      <c r="A45">
        <v>40043</v>
      </c>
      <c r="B45" s="1">
        <v>45924</v>
      </c>
      <c r="C45" t="s">
        <v>54</v>
      </c>
      <c r="D45" t="s">
        <v>46</v>
      </c>
      <c r="E45" t="s">
        <v>47</v>
      </c>
      <c r="F45" t="s">
        <v>48</v>
      </c>
      <c r="G45" t="s">
        <v>23</v>
      </c>
      <c r="H45" t="s">
        <v>28</v>
      </c>
      <c r="I45">
        <v>626.58000000000004</v>
      </c>
      <c r="J45">
        <v>55</v>
      </c>
      <c r="K45">
        <v>0</v>
      </c>
      <c r="L45" t="s">
        <v>18</v>
      </c>
      <c r="N45">
        <f t="shared" si="0"/>
        <v>3</v>
      </c>
      <c r="O45">
        <f t="shared" si="1"/>
        <v>2025</v>
      </c>
      <c r="P45" t="str">
        <f t="shared" si="2"/>
        <v>Wednesday</v>
      </c>
      <c r="Q45" t="str">
        <f t="shared" si="3"/>
        <v/>
      </c>
    </row>
    <row r="46" spans="1:17" x14ac:dyDescent="0.3">
      <c r="A46">
        <v>40044</v>
      </c>
      <c r="B46" s="1">
        <v>46009</v>
      </c>
      <c r="C46" t="s">
        <v>57</v>
      </c>
      <c r="D46" t="s">
        <v>59</v>
      </c>
      <c r="E46" t="s">
        <v>14</v>
      </c>
      <c r="F46" t="s">
        <v>22</v>
      </c>
      <c r="G46" t="s">
        <v>23</v>
      </c>
      <c r="H46" t="s">
        <v>32</v>
      </c>
      <c r="I46">
        <v>4988.7700000000004</v>
      </c>
      <c r="J46">
        <v>13</v>
      </c>
      <c r="K46">
        <v>0</v>
      </c>
      <c r="L46" t="s">
        <v>18</v>
      </c>
      <c r="N46">
        <f t="shared" si="0"/>
        <v>4</v>
      </c>
      <c r="O46">
        <f t="shared" si="1"/>
        <v>2025</v>
      </c>
      <c r="P46" t="str">
        <f t="shared" si="2"/>
        <v>Thursday</v>
      </c>
      <c r="Q46" t="str">
        <f t="shared" si="3"/>
        <v/>
      </c>
    </row>
    <row r="47" spans="1:17" x14ac:dyDescent="0.3">
      <c r="A47">
        <v>40045</v>
      </c>
      <c r="B47" s="1">
        <v>45744</v>
      </c>
      <c r="C47" t="s">
        <v>43</v>
      </c>
      <c r="D47" t="s">
        <v>49</v>
      </c>
      <c r="E47" t="s">
        <v>21</v>
      </c>
      <c r="F47" t="s">
        <v>48</v>
      </c>
      <c r="G47" t="s">
        <v>16</v>
      </c>
      <c r="H47" t="s">
        <v>17</v>
      </c>
      <c r="I47">
        <v>4064.97</v>
      </c>
      <c r="J47">
        <v>100</v>
      </c>
      <c r="K47">
        <v>5</v>
      </c>
      <c r="L47" t="s">
        <v>33</v>
      </c>
      <c r="N47">
        <f t="shared" si="0"/>
        <v>1</v>
      </c>
      <c r="O47">
        <f t="shared" si="1"/>
        <v>2025</v>
      </c>
      <c r="P47" t="str">
        <f t="shared" si="2"/>
        <v>Friday</v>
      </c>
      <c r="Q47" t="str">
        <f t="shared" si="3"/>
        <v>Marketing</v>
      </c>
    </row>
    <row r="48" spans="1:17" x14ac:dyDescent="0.3">
      <c r="A48">
        <v>40046</v>
      </c>
      <c r="B48" s="1">
        <v>45670</v>
      </c>
      <c r="C48" t="s">
        <v>24</v>
      </c>
      <c r="D48" t="s">
        <v>52</v>
      </c>
      <c r="E48" t="s">
        <v>47</v>
      </c>
      <c r="F48" t="s">
        <v>53</v>
      </c>
      <c r="G48" t="s">
        <v>16</v>
      </c>
      <c r="H48" t="s">
        <v>17</v>
      </c>
      <c r="I48">
        <v>2978.44</v>
      </c>
      <c r="J48">
        <v>100</v>
      </c>
      <c r="K48">
        <v>4</v>
      </c>
      <c r="L48" t="s">
        <v>33</v>
      </c>
      <c r="N48">
        <f t="shared" si="0"/>
        <v>1</v>
      </c>
      <c r="O48">
        <f t="shared" si="1"/>
        <v>2025</v>
      </c>
      <c r="P48" t="str">
        <f t="shared" si="2"/>
        <v>Monday</v>
      </c>
      <c r="Q48" t="str">
        <f t="shared" si="3"/>
        <v/>
      </c>
    </row>
    <row r="49" spans="1:17" x14ac:dyDescent="0.3">
      <c r="A49">
        <v>40047</v>
      </c>
      <c r="B49" s="1">
        <v>46006</v>
      </c>
      <c r="C49" t="s">
        <v>51</v>
      </c>
      <c r="D49" t="s">
        <v>46</v>
      </c>
      <c r="E49" t="s">
        <v>47</v>
      </c>
      <c r="F49" t="s">
        <v>48</v>
      </c>
      <c r="G49" t="s">
        <v>41</v>
      </c>
      <c r="H49" t="s">
        <v>28</v>
      </c>
      <c r="I49">
        <v>626.58000000000004</v>
      </c>
      <c r="J49">
        <v>100</v>
      </c>
      <c r="K49">
        <v>5</v>
      </c>
      <c r="L49" t="s">
        <v>33</v>
      </c>
      <c r="N49">
        <f t="shared" si="0"/>
        <v>4</v>
      </c>
      <c r="O49">
        <f t="shared" si="1"/>
        <v>2025</v>
      </c>
      <c r="P49" t="str">
        <f t="shared" si="2"/>
        <v>Monday</v>
      </c>
      <c r="Q49" t="str">
        <f t="shared" si="3"/>
        <v>Data Science</v>
      </c>
    </row>
    <row r="50" spans="1:17" x14ac:dyDescent="0.3">
      <c r="A50">
        <v>40048</v>
      </c>
      <c r="B50" s="1">
        <v>45849</v>
      </c>
      <c r="C50" t="s">
        <v>36</v>
      </c>
      <c r="D50" t="s">
        <v>37</v>
      </c>
      <c r="E50" t="s">
        <v>26</v>
      </c>
      <c r="F50" t="s">
        <v>22</v>
      </c>
      <c r="G50" t="s">
        <v>23</v>
      </c>
      <c r="H50" t="s">
        <v>32</v>
      </c>
      <c r="I50">
        <v>2612.4899999999998</v>
      </c>
      <c r="J50">
        <v>100</v>
      </c>
      <c r="K50">
        <v>5</v>
      </c>
      <c r="L50" t="s">
        <v>33</v>
      </c>
      <c r="N50">
        <f t="shared" si="0"/>
        <v>3</v>
      </c>
      <c r="O50">
        <f t="shared" si="1"/>
        <v>2025</v>
      </c>
      <c r="P50" t="str">
        <f t="shared" si="2"/>
        <v>Friday</v>
      </c>
      <c r="Q50" t="str">
        <f t="shared" si="3"/>
        <v>Design</v>
      </c>
    </row>
    <row r="51" spans="1:17" x14ac:dyDescent="0.3">
      <c r="A51">
        <v>40049</v>
      </c>
      <c r="B51" s="1">
        <v>45721</v>
      </c>
      <c r="C51" t="s">
        <v>57</v>
      </c>
      <c r="D51" t="s">
        <v>13</v>
      </c>
      <c r="E51" t="s">
        <v>14</v>
      </c>
      <c r="F51" t="s">
        <v>15</v>
      </c>
      <c r="G51" t="s">
        <v>23</v>
      </c>
      <c r="H51" t="s">
        <v>17</v>
      </c>
      <c r="I51">
        <v>1814.46</v>
      </c>
      <c r="J51">
        <v>100</v>
      </c>
      <c r="K51">
        <v>3</v>
      </c>
      <c r="L51" t="s">
        <v>33</v>
      </c>
      <c r="N51">
        <f t="shared" si="0"/>
        <v>1</v>
      </c>
      <c r="O51">
        <f t="shared" si="1"/>
        <v>2025</v>
      </c>
      <c r="P51" t="str">
        <f t="shared" si="2"/>
        <v>Wednesday</v>
      </c>
      <c r="Q51" t="str">
        <f t="shared" si="3"/>
        <v/>
      </c>
    </row>
    <row r="52" spans="1:17" x14ac:dyDescent="0.3">
      <c r="A52">
        <v>40050</v>
      </c>
      <c r="B52" s="1">
        <v>45953</v>
      </c>
      <c r="C52" t="s">
        <v>56</v>
      </c>
      <c r="D52" t="s">
        <v>55</v>
      </c>
      <c r="E52" t="s">
        <v>31</v>
      </c>
      <c r="F52" t="s">
        <v>22</v>
      </c>
      <c r="G52" t="s">
        <v>16</v>
      </c>
      <c r="H52" t="s">
        <v>32</v>
      </c>
      <c r="I52">
        <v>1569.15</v>
      </c>
      <c r="J52">
        <v>100</v>
      </c>
      <c r="K52">
        <v>5</v>
      </c>
      <c r="L52" t="s">
        <v>33</v>
      </c>
      <c r="N52">
        <f t="shared" si="0"/>
        <v>4</v>
      </c>
      <c r="O52">
        <f t="shared" si="1"/>
        <v>2025</v>
      </c>
      <c r="P52" t="str">
        <f t="shared" si="2"/>
        <v>Thursday</v>
      </c>
      <c r="Q52" t="str">
        <f t="shared" si="3"/>
        <v>Finance</v>
      </c>
    </row>
    <row r="53" spans="1:17" x14ac:dyDescent="0.3">
      <c r="A53">
        <v>40051</v>
      </c>
      <c r="B53" s="1">
        <v>45728</v>
      </c>
      <c r="C53" t="s">
        <v>60</v>
      </c>
      <c r="D53" t="s">
        <v>49</v>
      </c>
      <c r="E53" t="s">
        <v>21</v>
      </c>
      <c r="F53" t="s">
        <v>48</v>
      </c>
      <c r="G53" t="s">
        <v>16</v>
      </c>
      <c r="H53" t="s">
        <v>17</v>
      </c>
      <c r="I53">
        <v>4064.97</v>
      </c>
      <c r="J53">
        <v>16</v>
      </c>
      <c r="K53">
        <v>0</v>
      </c>
      <c r="L53" t="s">
        <v>35</v>
      </c>
      <c r="N53">
        <f t="shared" si="0"/>
        <v>1</v>
      </c>
      <c r="O53">
        <f t="shared" si="1"/>
        <v>2025</v>
      </c>
      <c r="P53" t="str">
        <f t="shared" si="2"/>
        <v>Wednesday</v>
      </c>
      <c r="Q53" t="str">
        <f t="shared" si="3"/>
        <v/>
      </c>
    </row>
    <row r="54" spans="1:17" x14ac:dyDescent="0.3">
      <c r="A54">
        <v>40052</v>
      </c>
      <c r="B54" s="1">
        <v>45959</v>
      </c>
      <c r="C54" t="s">
        <v>12</v>
      </c>
      <c r="D54" t="s">
        <v>59</v>
      </c>
      <c r="E54" t="s">
        <v>14</v>
      </c>
      <c r="F54" t="s">
        <v>22</v>
      </c>
      <c r="G54" t="s">
        <v>23</v>
      </c>
      <c r="H54" t="s">
        <v>32</v>
      </c>
      <c r="I54">
        <v>4988.7700000000004</v>
      </c>
      <c r="J54">
        <v>60</v>
      </c>
      <c r="K54">
        <v>0</v>
      </c>
      <c r="L54" t="s">
        <v>18</v>
      </c>
      <c r="N54">
        <f t="shared" si="0"/>
        <v>4</v>
      </c>
      <c r="O54">
        <f t="shared" si="1"/>
        <v>2025</v>
      </c>
      <c r="P54" t="str">
        <f t="shared" si="2"/>
        <v>Wednesday</v>
      </c>
      <c r="Q54" t="str">
        <f t="shared" si="3"/>
        <v/>
      </c>
    </row>
    <row r="55" spans="1:17" x14ac:dyDescent="0.3">
      <c r="A55">
        <v>40053</v>
      </c>
      <c r="B55" s="1">
        <v>45984</v>
      </c>
      <c r="C55" t="s">
        <v>51</v>
      </c>
      <c r="D55" t="s">
        <v>39</v>
      </c>
      <c r="E55" t="s">
        <v>14</v>
      </c>
      <c r="F55" t="s">
        <v>40</v>
      </c>
      <c r="G55" t="s">
        <v>41</v>
      </c>
      <c r="H55" t="s">
        <v>17</v>
      </c>
      <c r="I55">
        <v>822.47</v>
      </c>
      <c r="J55">
        <v>100</v>
      </c>
      <c r="K55">
        <v>4</v>
      </c>
      <c r="L55" t="s">
        <v>33</v>
      </c>
      <c r="N55">
        <f t="shared" si="0"/>
        <v>4</v>
      </c>
      <c r="O55">
        <f t="shared" si="1"/>
        <v>2025</v>
      </c>
      <c r="P55" t="str">
        <f t="shared" si="2"/>
        <v>Sunday</v>
      </c>
      <c r="Q55" t="str">
        <f t="shared" si="3"/>
        <v/>
      </c>
    </row>
    <row r="56" spans="1:17" x14ac:dyDescent="0.3">
      <c r="A56">
        <v>40054</v>
      </c>
      <c r="B56" s="1">
        <v>45669</v>
      </c>
      <c r="C56" t="s">
        <v>38</v>
      </c>
      <c r="D56" t="s">
        <v>20</v>
      </c>
      <c r="E56" t="s">
        <v>21</v>
      </c>
      <c r="F56" t="s">
        <v>22</v>
      </c>
      <c r="G56" t="s">
        <v>41</v>
      </c>
      <c r="H56" t="s">
        <v>17</v>
      </c>
      <c r="I56">
        <v>1990.7</v>
      </c>
      <c r="J56">
        <v>100</v>
      </c>
      <c r="K56">
        <v>5</v>
      </c>
      <c r="L56" t="s">
        <v>33</v>
      </c>
      <c r="N56">
        <f t="shared" si="0"/>
        <v>1</v>
      </c>
      <c r="O56">
        <f t="shared" si="1"/>
        <v>2025</v>
      </c>
      <c r="P56" t="str">
        <f t="shared" si="2"/>
        <v>Sunday</v>
      </c>
      <c r="Q56" t="str">
        <f t="shared" si="3"/>
        <v>Marketing</v>
      </c>
    </row>
    <row r="57" spans="1:17" x14ac:dyDescent="0.3">
      <c r="A57">
        <v>40055</v>
      </c>
      <c r="B57" s="1">
        <v>45897</v>
      </c>
      <c r="C57" t="s">
        <v>36</v>
      </c>
      <c r="D57" t="s">
        <v>25</v>
      </c>
      <c r="E57" t="s">
        <v>26</v>
      </c>
      <c r="F57" t="s">
        <v>27</v>
      </c>
      <c r="G57" t="s">
        <v>16</v>
      </c>
      <c r="H57" t="s">
        <v>28</v>
      </c>
      <c r="I57">
        <v>1386.91</v>
      </c>
      <c r="J57">
        <v>62</v>
      </c>
      <c r="K57">
        <v>0</v>
      </c>
      <c r="L57" t="s">
        <v>18</v>
      </c>
      <c r="N57">
        <f t="shared" si="0"/>
        <v>3</v>
      </c>
      <c r="O57">
        <f t="shared" si="1"/>
        <v>2025</v>
      </c>
      <c r="P57" t="str">
        <f t="shared" si="2"/>
        <v>Thursday</v>
      </c>
      <c r="Q57" t="str">
        <f t="shared" si="3"/>
        <v/>
      </c>
    </row>
    <row r="58" spans="1:17" x14ac:dyDescent="0.3">
      <c r="A58">
        <v>40056</v>
      </c>
      <c r="B58" s="1">
        <v>45918</v>
      </c>
      <c r="C58" t="s">
        <v>19</v>
      </c>
      <c r="D58" t="s">
        <v>52</v>
      </c>
      <c r="E58" t="s">
        <v>47</v>
      </c>
      <c r="F58" t="s">
        <v>53</v>
      </c>
      <c r="G58" t="s">
        <v>23</v>
      </c>
      <c r="H58" t="s">
        <v>17</v>
      </c>
      <c r="I58">
        <v>2978.44</v>
      </c>
      <c r="J58">
        <v>100</v>
      </c>
      <c r="K58">
        <v>4</v>
      </c>
      <c r="L58" t="s">
        <v>33</v>
      </c>
      <c r="N58">
        <f t="shared" si="0"/>
        <v>3</v>
      </c>
      <c r="O58">
        <f t="shared" si="1"/>
        <v>2025</v>
      </c>
      <c r="P58" t="str">
        <f t="shared" si="2"/>
        <v>Thursday</v>
      </c>
      <c r="Q58" t="str">
        <f t="shared" si="3"/>
        <v/>
      </c>
    </row>
    <row r="59" spans="1:17" x14ac:dyDescent="0.3">
      <c r="A59">
        <v>40057</v>
      </c>
      <c r="B59" s="1">
        <v>45674</v>
      </c>
      <c r="C59" t="s">
        <v>51</v>
      </c>
      <c r="D59" t="s">
        <v>30</v>
      </c>
      <c r="E59" t="s">
        <v>31</v>
      </c>
      <c r="F59" t="s">
        <v>15</v>
      </c>
      <c r="G59" t="s">
        <v>23</v>
      </c>
      <c r="H59" t="s">
        <v>32</v>
      </c>
      <c r="I59">
        <v>3474.04</v>
      </c>
      <c r="J59">
        <v>89</v>
      </c>
      <c r="K59">
        <v>0</v>
      </c>
      <c r="L59" t="s">
        <v>18</v>
      </c>
      <c r="N59">
        <f t="shared" si="0"/>
        <v>1</v>
      </c>
      <c r="O59">
        <f t="shared" si="1"/>
        <v>2025</v>
      </c>
      <c r="P59" t="str">
        <f t="shared" si="2"/>
        <v>Friday</v>
      </c>
      <c r="Q59" t="str">
        <f t="shared" si="3"/>
        <v/>
      </c>
    </row>
    <row r="60" spans="1:17" x14ac:dyDescent="0.3">
      <c r="A60">
        <v>40058</v>
      </c>
      <c r="B60" s="1">
        <v>45800</v>
      </c>
      <c r="C60" t="s">
        <v>19</v>
      </c>
      <c r="D60" t="s">
        <v>58</v>
      </c>
      <c r="E60" t="s">
        <v>14</v>
      </c>
      <c r="F60" t="s">
        <v>48</v>
      </c>
      <c r="G60" t="s">
        <v>16</v>
      </c>
      <c r="H60" t="s">
        <v>32</v>
      </c>
      <c r="I60">
        <v>3019.47</v>
      </c>
      <c r="J60">
        <v>100</v>
      </c>
      <c r="K60">
        <v>4</v>
      </c>
      <c r="L60" t="s">
        <v>33</v>
      </c>
      <c r="N60">
        <f t="shared" si="0"/>
        <v>2</v>
      </c>
      <c r="O60">
        <f t="shared" si="1"/>
        <v>2025</v>
      </c>
      <c r="P60" t="str">
        <f t="shared" si="2"/>
        <v>Friday</v>
      </c>
      <c r="Q60" t="str">
        <f t="shared" si="3"/>
        <v/>
      </c>
    </row>
    <row r="61" spans="1:17" x14ac:dyDescent="0.3">
      <c r="A61">
        <v>40059</v>
      </c>
      <c r="B61" s="1">
        <v>45702</v>
      </c>
      <c r="C61" t="s">
        <v>54</v>
      </c>
      <c r="D61" t="s">
        <v>25</v>
      </c>
      <c r="E61" t="s">
        <v>26</v>
      </c>
      <c r="F61" t="s">
        <v>27</v>
      </c>
      <c r="G61" t="s">
        <v>41</v>
      </c>
      <c r="H61" t="s">
        <v>28</v>
      </c>
      <c r="I61">
        <v>1386.91</v>
      </c>
      <c r="J61">
        <v>68</v>
      </c>
      <c r="K61">
        <v>0</v>
      </c>
      <c r="L61" t="s">
        <v>18</v>
      </c>
      <c r="N61">
        <f t="shared" si="0"/>
        <v>1</v>
      </c>
      <c r="O61">
        <f t="shared" si="1"/>
        <v>2025</v>
      </c>
      <c r="P61" t="str">
        <f t="shared" si="2"/>
        <v>Friday</v>
      </c>
      <c r="Q61" t="str">
        <f t="shared" si="3"/>
        <v/>
      </c>
    </row>
    <row r="62" spans="1:17" x14ac:dyDescent="0.3">
      <c r="A62">
        <v>40060</v>
      </c>
      <c r="B62" s="1">
        <v>45995</v>
      </c>
      <c r="C62" t="s">
        <v>34</v>
      </c>
      <c r="D62" t="s">
        <v>49</v>
      </c>
      <c r="E62" t="s">
        <v>21</v>
      </c>
      <c r="F62" t="s">
        <v>48</v>
      </c>
      <c r="G62" t="s">
        <v>41</v>
      </c>
      <c r="H62" t="s">
        <v>17</v>
      </c>
      <c r="I62">
        <v>4064.97</v>
      </c>
      <c r="J62">
        <v>90</v>
      </c>
      <c r="K62">
        <v>0</v>
      </c>
      <c r="L62" t="s">
        <v>18</v>
      </c>
      <c r="N62">
        <f t="shared" si="0"/>
        <v>4</v>
      </c>
      <c r="O62">
        <f t="shared" si="1"/>
        <v>2025</v>
      </c>
      <c r="P62" t="str">
        <f t="shared" si="2"/>
        <v>Thursday</v>
      </c>
      <c r="Q62" t="str">
        <f t="shared" si="3"/>
        <v/>
      </c>
    </row>
    <row r="63" spans="1:17" x14ac:dyDescent="0.3">
      <c r="A63">
        <v>40061</v>
      </c>
      <c r="B63" s="1">
        <v>45854</v>
      </c>
      <c r="C63" t="s">
        <v>61</v>
      </c>
      <c r="D63" t="s">
        <v>13</v>
      </c>
      <c r="E63" t="s">
        <v>14</v>
      </c>
      <c r="F63" t="s">
        <v>15</v>
      </c>
      <c r="G63" t="s">
        <v>23</v>
      </c>
      <c r="H63" t="s">
        <v>17</v>
      </c>
      <c r="I63">
        <v>1814.46</v>
      </c>
      <c r="J63">
        <v>100</v>
      </c>
      <c r="K63">
        <v>5</v>
      </c>
      <c r="L63" t="s">
        <v>33</v>
      </c>
      <c r="N63">
        <f t="shared" si="0"/>
        <v>3</v>
      </c>
      <c r="O63">
        <f t="shared" si="1"/>
        <v>2025</v>
      </c>
      <c r="P63" t="str">
        <f t="shared" si="2"/>
        <v>Wednesday</v>
      </c>
      <c r="Q63" t="str">
        <f t="shared" si="3"/>
        <v>Web Development</v>
      </c>
    </row>
    <row r="64" spans="1:17" x14ac:dyDescent="0.3">
      <c r="A64">
        <v>40062</v>
      </c>
      <c r="B64" s="1">
        <v>45720</v>
      </c>
      <c r="C64" t="s">
        <v>34</v>
      </c>
      <c r="D64" t="s">
        <v>20</v>
      </c>
      <c r="E64" t="s">
        <v>21</v>
      </c>
      <c r="F64" t="s">
        <v>22</v>
      </c>
      <c r="G64" t="s">
        <v>41</v>
      </c>
      <c r="H64" t="s">
        <v>17</v>
      </c>
      <c r="I64">
        <v>1990.7</v>
      </c>
      <c r="J64">
        <v>100</v>
      </c>
      <c r="K64">
        <v>3</v>
      </c>
      <c r="L64" t="s">
        <v>33</v>
      </c>
      <c r="N64">
        <f t="shared" si="0"/>
        <v>1</v>
      </c>
      <c r="O64">
        <f t="shared" si="1"/>
        <v>2025</v>
      </c>
      <c r="P64" t="str">
        <f t="shared" si="2"/>
        <v>Tuesday</v>
      </c>
      <c r="Q64" t="str">
        <f t="shared" si="3"/>
        <v/>
      </c>
    </row>
    <row r="65" spans="1:17" x14ac:dyDescent="0.3">
      <c r="A65">
        <v>40063</v>
      </c>
      <c r="B65" s="1">
        <v>45818</v>
      </c>
      <c r="C65" t="s">
        <v>36</v>
      </c>
      <c r="D65" t="s">
        <v>46</v>
      </c>
      <c r="E65" t="s">
        <v>47</v>
      </c>
      <c r="F65" t="s">
        <v>48</v>
      </c>
      <c r="G65" t="s">
        <v>16</v>
      </c>
      <c r="H65" t="s">
        <v>28</v>
      </c>
      <c r="I65">
        <v>626.58000000000004</v>
      </c>
      <c r="J65">
        <v>64</v>
      </c>
      <c r="K65">
        <v>0</v>
      </c>
      <c r="L65" t="s">
        <v>18</v>
      </c>
      <c r="N65">
        <f t="shared" si="0"/>
        <v>2</v>
      </c>
      <c r="O65">
        <f t="shared" si="1"/>
        <v>2025</v>
      </c>
      <c r="P65" t="str">
        <f t="shared" si="2"/>
        <v>Tuesday</v>
      </c>
      <c r="Q65" t="str">
        <f t="shared" si="3"/>
        <v/>
      </c>
    </row>
    <row r="66" spans="1:17" x14ac:dyDescent="0.3">
      <c r="A66">
        <v>40064</v>
      </c>
      <c r="B66" s="1">
        <v>45775</v>
      </c>
      <c r="C66" t="s">
        <v>42</v>
      </c>
      <c r="D66" t="s">
        <v>20</v>
      </c>
      <c r="E66" t="s">
        <v>21</v>
      </c>
      <c r="F66" t="s">
        <v>22</v>
      </c>
      <c r="G66" t="s">
        <v>41</v>
      </c>
      <c r="H66" t="s">
        <v>17</v>
      </c>
      <c r="I66">
        <v>1990.7</v>
      </c>
      <c r="J66">
        <v>100</v>
      </c>
      <c r="K66">
        <v>5</v>
      </c>
      <c r="L66" t="s">
        <v>33</v>
      </c>
      <c r="N66">
        <f t="shared" si="0"/>
        <v>2</v>
      </c>
      <c r="O66">
        <f t="shared" si="1"/>
        <v>2025</v>
      </c>
      <c r="P66" t="str">
        <f t="shared" si="2"/>
        <v>Monday</v>
      </c>
      <c r="Q66" t="str">
        <f t="shared" si="3"/>
        <v>Marketing</v>
      </c>
    </row>
    <row r="67" spans="1:17" x14ac:dyDescent="0.3">
      <c r="A67">
        <v>40065</v>
      </c>
      <c r="B67" s="1">
        <v>45785</v>
      </c>
      <c r="C67" t="s">
        <v>24</v>
      </c>
      <c r="D67" t="s">
        <v>25</v>
      </c>
      <c r="E67" t="s">
        <v>26</v>
      </c>
      <c r="F67" t="s">
        <v>27</v>
      </c>
      <c r="G67" t="s">
        <v>41</v>
      </c>
      <c r="H67" t="s">
        <v>28</v>
      </c>
      <c r="I67">
        <v>1386.91</v>
      </c>
      <c r="J67">
        <v>35</v>
      </c>
      <c r="K67">
        <v>0</v>
      </c>
      <c r="L67" t="s">
        <v>35</v>
      </c>
      <c r="N67">
        <f t="shared" ref="N67:N130" si="4">ROUNDUP(MONTH(B67)/3,0)</f>
        <v>2</v>
      </c>
      <c r="O67">
        <f t="shared" ref="O67:O130" si="5">YEAR(B67)</f>
        <v>2025</v>
      </c>
      <c r="P67" t="str">
        <f t="shared" ref="P67:P130" si="6">TEXT(B67,"dddd")</f>
        <v>Thursday</v>
      </c>
      <c r="Q67" t="str">
        <f t="shared" ref="Q67:Q130" si="7">IF(K67=5,E67,"")</f>
        <v/>
      </c>
    </row>
    <row r="68" spans="1:17" x14ac:dyDescent="0.3">
      <c r="A68">
        <v>40066</v>
      </c>
      <c r="B68" s="1">
        <v>46003</v>
      </c>
      <c r="C68" t="s">
        <v>61</v>
      </c>
      <c r="D68" t="s">
        <v>59</v>
      </c>
      <c r="E68" t="s">
        <v>14</v>
      </c>
      <c r="F68" t="s">
        <v>22</v>
      </c>
      <c r="G68" t="s">
        <v>41</v>
      </c>
      <c r="H68" t="s">
        <v>32</v>
      </c>
      <c r="I68">
        <v>4988.7700000000004</v>
      </c>
      <c r="J68">
        <v>13</v>
      </c>
      <c r="K68">
        <v>0</v>
      </c>
      <c r="L68" t="s">
        <v>35</v>
      </c>
      <c r="N68">
        <f t="shared" si="4"/>
        <v>4</v>
      </c>
      <c r="O68">
        <f t="shared" si="5"/>
        <v>2025</v>
      </c>
      <c r="P68" t="str">
        <f t="shared" si="6"/>
        <v>Friday</v>
      </c>
      <c r="Q68" t="str">
        <f t="shared" si="7"/>
        <v/>
      </c>
    </row>
    <row r="69" spans="1:17" x14ac:dyDescent="0.3">
      <c r="A69">
        <v>40067</v>
      </c>
      <c r="B69" s="1">
        <v>45814</v>
      </c>
      <c r="C69" t="s">
        <v>62</v>
      </c>
      <c r="D69" t="s">
        <v>37</v>
      </c>
      <c r="E69" t="s">
        <v>26</v>
      </c>
      <c r="F69" t="s">
        <v>22</v>
      </c>
      <c r="G69" t="s">
        <v>41</v>
      </c>
      <c r="H69" t="s">
        <v>32</v>
      </c>
      <c r="I69">
        <v>2612.4899999999998</v>
      </c>
      <c r="J69">
        <v>100</v>
      </c>
      <c r="K69">
        <v>4</v>
      </c>
      <c r="L69" t="s">
        <v>33</v>
      </c>
      <c r="N69">
        <f t="shared" si="4"/>
        <v>2</v>
      </c>
      <c r="O69">
        <f t="shared" si="5"/>
        <v>2025</v>
      </c>
      <c r="P69" t="str">
        <f t="shared" si="6"/>
        <v>Friday</v>
      </c>
      <c r="Q69" t="str">
        <f t="shared" si="7"/>
        <v/>
      </c>
    </row>
    <row r="70" spans="1:17" x14ac:dyDescent="0.3">
      <c r="A70">
        <v>40068</v>
      </c>
      <c r="B70" s="1">
        <v>45962</v>
      </c>
      <c r="C70" t="s">
        <v>51</v>
      </c>
      <c r="D70" t="s">
        <v>13</v>
      </c>
      <c r="E70" t="s">
        <v>14</v>
      </c>
      <c r="F70" t="s">
        <v>15</v>
      </c>
      <c r="G70" t="s">
        <v>16</v>
      </c>
      <c r="H70" t="s">
        <v>17</v>
      </c>
      <c r="I70">
        <v>1814.46</v>
      </c>
      <c r="J70">
        <v>62</v>
      </c>
      <c r="K70">
        <v>0</v>
      </c>
      <c r="L70" t="s">
        <v>18</v>
      </c>
      <c r="N70">
        <f t="shared" si="4"/>
        <v>4</v>
      </c>
      <c r="O70">
        <f t="shared" si="5"/>
        <v>2025</v>
      </c>
      <c r="P70" t="str">
        <f t="shared" si="6"/>
        <v>Saturday</v>
      </c>
      <c r="Q70" t="str">
        <f t="shared" si="7"/>
        <v/>
      </c>
    </row>
    <row r="71" spans="1:17" x14ac:dyDescent="0.3">
      <c r="A71">
        <v>40069</v>
      </c>
      <c r="B71" s="1">
        <v>45867</v>
      </c>
      <c r="C71" t="s">
        <v>29</v>
      </c>
      <c r="D71" t="s">
        <v>55</v>
      </c>
      <c r="E71" t="s">
        <v>31</v>
      </c>
      <c r="F71" t="s">
        <v>22</v>
      </c>
      <c r="G71" t="s">
        <v>41</v>
      </c>
      <c r="H71" t="s">
        <v>32</v>
      </c>
      <c r="I71">
        <v>1569.15</v>
      </c>
      <c r="J71">
        <v>30</v>
      </c>
      <c r="K71">
        <v>0</v>
      </c>
      <c r="L71" t="s">
        <v>35</v>
      </c>
      <c r="N71">
        <f t="shared" si="4"/>
        <v>3</v>
      </c>
      <c r="O71">
        <f t="shared" si="5"/>
        <v>2025</v>
      </c>
      <c r="P71" t="str">
        <f t="shared" si="6"/>
        <v>Tuesday</v>
      </c>
      <c r="Q71" t="str">
        <f t="shared" si="7"/>
        <v/>
      </c>
    </row>
    <row r="72" spans="1:17" x14ac:dyDescent="0.3">
      <c r="A72">
        <v>40070</v>
      </c>
      <c r="B72" s="1">
        <v>45745</v>
      </c>
      <c r="C72" t="s">
        <v>42</v>
      </c>
      <c r="D72" t="s">
        <v>25</v>
      </c>
      <c r="E72" t="s">
        <v>26</v>
      </c>
      <c r="F72" t="s">
        <v>27</v>
      </c>
      <c r="G72" t="s">
        <v>16</v>
      </c>
      <c r="H72" t="s">
        <v>28</v>
      </c>
      <c r="I72">
        <v>1386.91</v>
      </c>
      <c r="J72">
        <v>6</v>
      </c>
      <c r="K72">
        <v>0</v>
      </c>
      <c r="L72" t="s">
        <v>18</v>
      </c>
      <c r="N72">
        <f t="shared" si="4"/>
        <v>1</v>
      </c>
      <c r="O72">
        <f t="shared" si="5"/>
        <v>2025</v>
      </c>
      <c r="P72" t="str">
        <f t="shared" si="6"/>
        <v>Saturday</v>
      </c>
      <c r="Q72" t="str">
        <f t="shared" si="7"/>
        <v/>
      </c>
    </row>
    <row r="73" spans="1:17" x14ac:dyDescent="0.3">
      <c r="A73">
        <v>40071</v>
      </c>
      <c r="B73" s="1">
        <v>45918</v>
      </c>
      <c r="C73" t="s">
        <v>38</v>
      </c>
      <c r="D73" t="s">
        <v>20</v>
      </c>
      <c r="E73" t="s">
        <v>21</v>
      </c>
      <c r="F73" t="s">
        <v>22</v>
      </c>
      <c r="G73" t="s">
        <v>16</v>
      </c>
      <c r="H73" t="s">
        <v>17</v>
      </c>
      <c r="I73">
        <v>1990.7</v>
      </c>
      <c r="J73">
        <v>100</v>
      </c>
      <c r="K73">
        <v>5</v>
      </c>
      <c r="L73" t="s">
        <v>33</v>
      </c>
      <c r="N73">
        <f t="shared" si="4"/>
        <v>3</v>
      </c>
      <c r="O73">
        <f t="shared" si="5"/>
        <v>2025</v>
      </c>
      <c r="P73" t="str">
        <f t="shared" si="6"/>
        <v>Thursday</v>
      </c>
      <c r="Q73" t="str">
        <f t="shared" si="7"/>
        <v>Marketing</v>
      </c>
    </row>
    <row r="74" spans="1:17" x14ac:dyDescent="0.3">
      <c r="A74">
        <v>40072</v>
      </c>
      <c r="B74" s="1">
        <v>45707</v>
      </c>
      <c r="C74" t="s">
        <v>24</v>
      </c>
      <c r="D74" t="s">
        <v>59</v>
      </c>
      <c r="E74" t="s">
        <v>14</v>
      </c>
      <c r="F74" t="s">
        <v>22</v>
      </c>
      <c r="G74" t="s">
        <v>16</v>
      </c>
      <c r="H74" t="s">
        <v>32</v>
      </c>
      <c r="I74">
        <v>4988.7700000000004</v>
      </c>
      <c r="J74">
        <v>34</v>
      </c>
      <c r="K74">
        <v>0</v>
      </c>
      <c r="L74" t="s">
        <v>35</v>
      </c>
      <c r="N74">
        <f t="shared" si="4"/>
        <v>1</v>
      </c>
      <c r="O74">
        <f t="shared" si="5"/>
        <v>2025</v>
      </c>
      <c r="P74" t="str">
        <f t="shared" si="6"/>
        <v>Wednesday</v>
      </c>
      <c r="Q74" t="str">
        <f t="shared" si="7"/>
        <v/>
      </c>
    </row>
    <row r="75" spans="1:17" x14ac:dyDescent="0.3">
      <c r="A75">
        <v>40073</v>
      </c>
      <c r="B75" s="1">
        <v>45894</v>
      </c>
      <c r="C75" t="s">
        <v>60</v>
      </c>
      <c r="D75" t="s">
        <v>25</v>
      </c>
      <c r="E75" t="s">
        <v>26</v>
      </c>
      <c r="F75" t="s">
        <v>27</v>
      </c>
      <c r="G75" t="s">
        <v>41</v>
      </c>
      <c r="H75" t="s">
        <v>28</v>
      </c>
      <c r="I75">
        <v>1386.91</v>
      </c>
      <c r="J75">
        <v>100</v>
      </c>
      <c r="K75">
        <v>5</v>
      </c>
      <c r="L75" t="s">
        <v>33</v>
      </c>
      <c r="N75">
        <f t="shared" si="4"/>
        <v>3</v>
      </c>
      <c r="O75">
        <f t="shared" si="5"/>
        <v>2025</v>
      </c>
      <c r="P75" t="str">
        <f t="shared" si="6"/>
        <v>Monday</v>
      </c>
      <c r="Q75" t="str">
        <f t="shared" si="7"/>
        <v>Design</v>
      </c>
    </row>
    <row r="76" spans="1:17" x14ac:dyDescent="0.3">
      <c r="A76">
        <v>40074</v>
      </c>
      <c r="B76" s="1">
        <v>45809</v>
      </c>
      <c r="C76" t="s">
        <v>12</v>
      </c>
      <c r="D76" t="s">
        <v>55</v>
      </c>
      <c r="E76" t="s">
        <v>31</v>
      </c>
      <c r="F76" t="s">
        <v>22</v>
      </c>
      <c r="G76" t="s">
        <v>23</v>
      </c>
      <c r="H76" t="s">
        <v>32</v>
      </c>
      <c r="I76">
        <v>1569.15</v>
      </c>
      <c r="J76">
        <v>17</v>
      </c>
      <c r="K76">
        <v>0</v>
      </c>
      <c r="L76" t="s">
        <v>35</v>
      </c>
      <c r="N76">
        <f t="shared" si="4"/>
        <v>2</v>
      </c>
      <c r="O76">
        <f t="shared" si="5"/>
        <v>2025</v>
      </c>
      <c r="P76" t="str">
        <f t="shared" si="6"/>
        <v>Sunday</v>
      </c>
      <c r="Q76" t="str">
        <f t="shared" si="7"/>
        <v/>
      </c>
    </row>
    <row r="77" spans="1:17" x14ac:dyDescent="0.3">
      <c r="A77">
        <v>40075</v>
      </c>
      <c r="B77" s="1">
        <v>45789</v>
      </c>
      <c r="C77" t="s">
        <v>42</v>
      </c>
      <c r="D77" t="s">
        <v>49</v>
      </c>
      <c r="E77" t="s">
        <v>21</v>
      </c>
      <c r="F77" t="s">
        <v>48</v>
      </c>
      <c r="G77" t="s">
        <v>41</v>
      </c>
      <c r="H77" t="s">
        <v>17</v>
      </c>
      <c r="I77">
        <v>4064.97</v>
      </c>
      <c r="J77">
        <v>33</v>
      </c>
      <c r="K77">
        <v>0</v>
      </c>
      <c r="L77" t="s">
        <v>35</v>
      </c>
      <c r="N77">
        <f t="shared" si="4"/>
        <v>2</v>
      </c>
      <c r="O77">
        <f t="shared" si="5"/>
        <v>2025</v>
      </c>
      <c r="P77" t="str">
        <f t="shared" si="6"/>
        <v>Monday</v>
      </c>
      <c r="Q77" t="str">
        <f t="shared" si="7"/>
        <v/>
      </c>
    </row>
    <row r="78" spans="1:17" x14ac:dyDescent="0.3">
      <c r="A78">
        <v>40076</v>
      </c>
      <c r="B78" s="1">
        <v>45869</v>
      </c>
      <c r="C78" t="s">
        <v>36</v>
      </c>
      <c r="D78" t="s">
        <v>46</v>
      </c>
      <c r="E78" t="s">
        <v>47</v>
      </c>
      <c r="F78" t="s">
        <v>48</v>
      </c>
      <c r="G78" t="s">
        <v>23</v>
      </c>
      <c r="H78" t="s">
        <v>28</v>
      </c>
      <c r="I78">
        <v>626.58000000000004</v>
      </c>
      <c r="J78">
        <v>100</v>
      </c>
      <c r="K78">
        <v>4</v>
      </c>
      <c r="L78" t="s">
        <v>33</v>
      </c>
      <c r="N78">
        <f t="shared" si="4"/>
        <v>3</v>
      </c>
      <c r="O78">
        <f t="shared" si="5"/>
        <v>2025</v>
      </c>
      <c r="P78" t="str">
        <f t="shared" si="6"/>
        <v>Thursday</v>
      </c>
      <c r="Q78" t="str">
        <f t="shared" si="7"/>
        <v/>
      </c>
    </row>
    <row r="79" spans="1:17" x14ac:dyDescent="0.3">
      <c r="A79">
        <v>40077</v>
      </c>
      <c r="B79" s="1">
        <v>45942</v>
      </c>
      <c r="C79" t="s">
        <v>34</v>
      </c>
      <c r="D79" t="s">
        <v>49</v>
      </c>
      <c r="E79" t="s">
        <v>21</v>
      </c>
      <c r="F79" t="s">
        <v>48</v>
      </c>
      <c r="G79" t="s">
        <v>23</v>
      </c>
      <c r="H79" t="s">
        <v>17</v>
      </c>
      <c r="I79">
        <v>4064.97</v>
      </c>
      <c r="J79">
        <v>100</v>
      </c>
      <c r="K79">
        <v>0</v>
      </c>
      <c r="L79" t="s">
        <v>33</v>
      </c>
      <c r="N79">
        <f t="shared" si="4"/>
        <v>4</v>
      </c>
      <c r="O79">
        <f t="shared" si="5"/>
        <v>2025</v>
      </c>
      <c r="P79" t="str">
        <f t="shared" si="6"/>
        <v>Sunday</v>
      </c>
      <c r="Q79" t="str">
        <f t="shared" si="7"/>
        <v/>
      </c>
    </row>
    <row r="80" spans="1:17" x14ac:dyDescent="0.3">
      <c r="A80">
        <v>40078</v>
      </c>
      <c r="B80" s="1">
        <v>45674</v>
      </c>
      <c r="C80" t="s">
        <v>42</v>
      </c>
      <c r="D80" t="s">
        <v>55</v>
      </c>
      <c r="E80" t="s">
        <v>31</v>
      </c>
      <c r="F80" t="s">
        <v>22</v>
      </c>
      <c r="G80" t="s">
        <v>23</v>
      </c>
      <c r="H80" t="s">
        <v>32</v>
      </c>
      <c r="I80">
        <v>1569.15</v>
      </c>
      <c r="J80">
        <v>85</v>
      </c>
      <c r="K80">
        <v>0</v>
      </c>
      <c r="L80" t="s">
        <v>18</v>
      </c>
      <c r="N80">
        <f t="shared" si="4"/>
        <v>1</v>
      </c>
      <c r="O80">
        <f t="shared" si="5"/>
        <v>2025</v>
      </c>
      <c r="P80" t="str">
        <f t="shared" si="6"/>
        <v>Friday</v>
      </c>
      <c r="Q80" t="str">
        <f t="shared" si="7"/>
        <v/>
      </c>
    </row>
    <row r="81" spans="1:17" x14ac:dyDescent="0.3">
      <c r="A81">
        <v>40079</v>
      </c>
      <c r="B81" s="1">
        <v>45766</v>
      </c>
      <c r="C81" t="s">
        <v>43</v>
      </c>
      <c r="D81" t="s">
        <v>58</v>
      </c>
      <c r="E81" t="s">
        <v>14</v>
      </c>
      <c r="F81" t="s">
        <v>48</v>
      </c>
      <c r="G81" t="s">
        <v>41</v>
      </c>
      <c r="H81" t="s">
        <v>32</v>
      </c>
      <c r="I81">
        <v>3019.47</v>
      </c>
      <c r="J81">
        <v>100</v>
      </c>
      <c r="K81">
        <v>5</v>
      </c>
      <c r="L81" t="s">
        <v>33</v>
      </c>
      <c r="N81">
        <f t="shared" si="4"/>
        <v>2</v>
      </c>
      <c r="O81">
        <f t="shared" si="5"/>
        <v>2025</v>
      </c>
      <c r="P81" t="str">
        <f t="shared" si="6"/>
        <v>Saturday</v>
      </c>
      <c r="Q81" t="str">
        <f t="shared" si="7"/>
        <v>Web Development</v>
      </c>
    </row>
    <row r="82" spans="1:17" x14ac:dyDescent="0.3">
      <c r="A82">
        <v>40080</v>
      </c>
      <c r="B82" s="1">
        <v>45831</v>
      </c>
      <c r="C82" t="s">
        <v>56</v>
      </c>
      <c r="D82" t="s">
        <v>13</v>
      </c>
      <c r="E82" t="s">
        <v>14</v>
      </c>
      <c r="F82" t="s">
        <v>15</v>
      </c>
      <c r="G82" t="s">
        <v>41</v>
      </c>
      <c r="H82" t="s">
        <v>17</v>
      </c>
      <c r="I82">
        <v>1814.46</v>
      </c>
      <c r="J82">
        <v>6</v>
      </c>
      <c r="K82">
        <v>0</v>
      </c>
      <c r="L82" t="s">
        <v>35</v>
      </c>
      <c r="N82">
        <f t="shared" si="4"/>
        <v>2</v>
      </c>
      <c r="O82">
        <f t="shared" si="5"/>
        <v>2025</v>
      </c>
      <c r="P82" t="str">
        <f t="shared" si="6"/>
        <v>Monday</v>
      </c>
      <c r="Q82" t="str">
        <f t="shared" si="7"/>
        <v/>
      </c>
    </row>
    <row r="83" spans="1:17" x14ac:dyDescent="0.3">
      <c r="A83">
        <v>40081</v>
      </c>
      <c r="B83" s="1">
        <v>45936</v>
      </c>
      <c r="C83" t="s">
        <v>36</v>
      </c>
      <c r="D83" t="s">
        <v>39</v>
      </c>
      <c r="E83" t="s">
        <v>14</v>
      </c>
      <c r="F83" t="s">
        <v>40</v>
      </c>
      <c r="G83" t="s">
        <v>23</v>
      </c>
      <c r="H83" t="s">
        <v>17</v>
      </c>
      <c r="I83">
        <v>822.47</v>
      </c>
      <c r="J83">
        <v>31</v>
      </c>
      <c r="K83">
        <v>0</v>
      </c>
      <c r="L83" t="s">
        <v>18</v>
      </c>
      <c r="N83">
        <f t="shared" si="4"/>
        <v>4</v>
      </c>
      <c r="O83">
        <f t="shared" si="5"/>
        <v>2025</v>
      </c>
      <c r="P83" t="str">
        <f t="shared" si="6"/>
        <v>Monday</v>
      </c>
      <c r="Q83" t="str">
        <f t="shared" si="7"/>
        <v/>
      </c>
    </row>
    <row r="84" spans="1:17" x14ac:dyDescent="0.3">
      <c r="A84">
        <v>40082</v>
      </c>
      <c r="B84" s="1">
        <v>45717</v>
      </c>
      <c r="C84" t="s">
        <v>54</v>
      </c>
      <c r="D84" t="s">
        <v>59</v>
      </c>
      <c r="E84" t="s">
        <v>14</v>
      </c>
      <c r="F84" t="s">
        <v>22</v>
      </c>
      <c r="G84" t="s">
        <v>23</v>
      </c>
      <c r="H84" t="s">
        <v>32</v>
      </c>
      <c r="I84">
        <v>4988.7700000000004</v>
      </c>
      <c r="J84">
        <v>100</v>
      </c>
      <c r="K84">
        <v>0</v>
      </c>
      <c r="L84" t="s">
        <v>33</v>
      </c>
      <c r="N84">
        <f t="shared" si="4"/>
        <v>1</v>
      </c>
      <c r="O84">
        <f t="shared" si="5"/>
        <v>2025</v>
      </c>
      <c r="P84" t="str">
        <f t="shared" si="6"/>
        <v>Saturday</v>
      </c>
      <c r="Q84" t="str">
        <f t="shared" si="7"/>
        <v/>
      </c>
    </row>
    <row r="85" spans="1:17" x14ac:dyDescent="0.3">
      <c r="A85">
        <v>40083</v>
      </c>
      <c r="B85" s="1">
        <v>45714</v>
      </c>
      <c r="C85" t="s">
        <v>57</v>
      </c>
      <c r="D85" t="s">
        <v>25</v>
      </c>
      <c r="E85" t="s">
        <v>26</v>
      </c>
      <c r="F85" t="s">
        <v>27</v>
      </c>
      <c r="G85" t="s">
        <v>16</v>
      </c>
      <c r="H85" t="s">
        <v>28</v>
      </c>
      <c r="I85">
        <v>1386.91</v>
      </c>
      <c r="J85">
        <v>100</v>
      </c>
      <c r="K85">
        <v>5</v>
      </c>
      <c r="L85" t="s">
        <v>33</v>
      </c>
      <c r="N85">
        <f t="shared" si="4"/>
        <v>1</v>
      </c>
      <c r="O85">
        <f t="shared" si="5"/>
        <v>2025</v>
      </c>
      <c r="P85" t="str">
        <f t="shared" si="6"/>
        <v>Wednesday</v>
      </c>
      <c r="Q85" t="str">
        <f t="shared" si="7"/>
        <v>Design</v>
      </c>
    </row>
    <row r="86" spans="1:17" x14ac:dyDescent="0.3">
      <c r="A86">
        <v>40084</v>
      </c>
      <c r="B86" s="1">
        <v>45911</v>
      </c>
      <c r="C86" t="s">
        <v>38</v>
      </c>
      <c r="D86" t="s">
        <v>37</v>
      </c>
      <c r="E86" t="s">
        <v>26</v>
      </c>
      <c r="F86" t="s">
        <v>22</v>
      </c>
      <c r="G86" t="s">
        <v>23</v>
      </c>
      <c r="H86" t="s">
        <v>32</v>
      </c>
      <c r="I86">
        <v>2612.4899999999998</v>
      </c>
      <c r="J86">
        <v>100</v>
      </c>
      <c r="K86">
        <v>3</v>
      </c>
      <c r="L86" t="s">
        <v>33</v>
      </c>
      <c r="N86">
        <f t="shared" si="4"/>
        <v>3</v>
      </c>
      <c r="O86">
        <f t="shared" si="5"/>
        <v>2025</v>
      </c>
      <c r="P86" t="str">
        <f t="shared" si="6"/>
        <v>Thursday</v>
      </c>
      <c r="Q86" t="str">
        <f t="shared" si="7"/>
        <v/>
      </c>
    </row>
    <row r="87" spans="1:17" x14ac:dyDescent="0.3">
      <c r="A87">
        <v>40085</v>
      </c>
      <c r="B87" s="1">
        <v>45773</v>
      </c>
      <c r="C87" t="s">
        <v>61</v>
      </c>
      <c r="D87" t="s">
        <v>49</v>
      </c>
      <c r="E87" t="s">
        <v>21</v>
      </c>
      <c r="F87" t="s">
        <v>48</v>
      </c>
      <c r="G87" t="s">
        <v>16</v>
      </c>
      <c r="H87" t="s">
        <v>17</v>
      </c>
      <c r="I87">
        <v>4064.97</v>
      </c>
      <c r="J87">
        <v>66</v>
      </c>
      <c r="K87">
        <v>0</v>
      </c>
      <c r="L87" t="s">
        <v>18</v>
      </c>
      <c r="N87">
        <f t="shared" si="4"/>
        <v>2</v>
      </c>
      <c r="O87">
        <f t="shared" si="5"/>
        <v>2025</v>
      </c>
      <c r="P87" t="str">
        <f t="shared" si="6"/>
        <v>Saturday</v>
      </c>
      <c r="Q87" t="str">
        <f t="shared" si="7"/>
        <v/>
      </c>
    </row>
    <row r="88" spans="1:17" x14ac:dyDescent="0.3">
      <c r="A88">
        <v>40086</v>
      </c>
      <c r="B88" s="1">
        <v>45760</v>
      </c>
      <c r="C88" t="s">
        <v>45</v>
      </c>
      <c r="D88" t="s">
        <v>59</v>
      </c>
      <c r="E88" t="s">
        <v>14</v>
      </c>
      <c r="F88" t="s">
        <v>22</v>
      </c>
      <c r="G88" t="s">
        <v>41</v>
      </c>
      <c r="H88" t="s">
        <v>32</v>
      </c>
      <c r="I88">
        <v>4988.7700000000004</v>
      </c>
      <c r="J88">
        <v>3</v>
      </c>
      <c r="K88">
        <v>0</v>
      </c>
      <c r="L88" t="s">
        <v>18</v>
      </c>
      <c r="N88">
        <f t="shared" si="4"/>
        <v>2</v>
      </c>
      <c r="O88">
        <f t="shared" si="5"/>
        <v>2025</v>
      </c>
      <c r="P88" t="str">
        <f t="shared" si="6"/>
        <v>Sunday</v>
      </c>
      <c r="Q88" t="str">
        <f t="shared" si="7"/>
        <v/>
      </c>
    </row>
    <row r="89" spans="1:17" x14ac:dyDescent="0.3">
      <c r="A89">
        <v>40087</v>
      </c>
      <c r="B89" s="1">
        <v>45714</v>
      </c>
      <c r="C89" t="s">
        <v>12</v>
      </c>
      <c r="D89" t="s">
        <v>37</v>
      </c>
      <c r="E89" t="s">
        <v>26</v>
      </c>
      <c r="F89" t="s">
        <v>22</v>
      </c>
      <c r="G89" t="s">
        <v>23</v>
      </c>
      <c r="H89" t="s">
        <v>32</v>
      </c>
      <c r="I89">
        <v>2612.4899999999998</v>
      </c>
      <c r="J89">
        <v>100</v>
      </c>
      <c r="K89">
        <v>5</v>
      </c>
      <c r="L89" t="s">
        <v>33</v>
      </c>
      <c r="N89">
        <f t="shared" si="4"/>
        <v>1</v>
      </c>
      <c r="O89">
        <f t="shared" si="5"/>
        <v>2025</v>
      </c>
      <c r="P89" t="str">
        <f t="shared" si="6"/>
        <v>Wednesday</v>
      </c>
      <c r="Q89" t="str">
        <f t="shared" si="7"/>
        <v>Design</v>
      </c>
    </row>
    <row r="90" spans="1:17" x14ac:dyDescent="0.3">
      <c r="A90">
        <v>40088</v>
      </c>
      <c r="B90" s="1">
        <v>45967</v>
      </c>
      <c r="C90" t="s">
        <v>54</v>
      </c>
      <c r="D90" t="s">
        <v>55</v>
      </c>
      <c r="E90" t="s">
        <v>31</v>
      </c>
      <c r="F90" t="s">
        <v>22</v>
      </c>
      <c r="G90" t="s">
        <v>23</v>
      </c>
      <c r="H90" t="s">
        <v>32</v>
      </c>
      <c r="I90">
        <v>1569.15</v>
      </c>
      <c r="J90">
        <v>100</v>
      </c>
      <c r="K90">
        <v>5</v>
      </c>
      <c r="L90" t="s">
        <v>33</v>
      </c>
      <c r="N90">
        <f t="shared" si="4"/>
        <v>4</v>
      </c>
      <c r="O90">
        <f t="shared" si="5"/>
        <v>2025</v>
      </c>
      <c r="P90" t="str">
        <f t="shared" si="6"/>
        <v>Thursday</v>
      </c>
      <c r="Q90" t="str">
        <f t="shared" si="7"/>
        <v>Finance</v>
      </c>
    </row>
    <row r="91" spans="1:17" x14ac:dyDescent="0.3">
      <c r="A91">
        <v>40089</v>
      </c>
      <c r="B91" s="1">
        <v>45742</v>
      </c>
      <c r="C91" t="s">
        <v>56</v>
      </c>
      <c r="D91" t="s">
        <v>52</v>
      </c>
      <c r="E91" t="s">
        <v>47</v>
      </c>
      <c r="F91" t="s">
        <v>53</v>
      </c>
      <c r="G91" t="s">
        <v>16</v>
      </c>
      <c r="H91" t="s">
        <v>17</v>
      </c>
      <c r="I91">
        <v>2978.44</v>
      </c>
      <c r="J91">
        <v>19</v>
      </c>
      <c r="K91">
        <v>0</v>
      </c>
      <c r="L91" t="s">
        <v>18</v>
      </c>
      <c r="N91">
        <f t="shared" si="4"/>
        <v>1</v>
      </c>
      <c r="O91">
        <f t="shared" si="5"/>
        <v>2025</v>
      </c>
      <c r="P91" t="str">
        <f t="shared" si="6"/>
        <v>Wednesday</v>
      </c>
      <c r="Q91" t="str">
        <f t="shared" si="7"/>
        <v/>
      </c>
    </row>
    <row r="92" spans="1:17" x14ac:dyDescent="0.3">
      <c r="A92">
        <v>40090</v>
      </c>
      <c r="B92" s="1">
        <v>45930</v>
      </c>
      <c r="C92" t="s">
        <v>38</v>
      </c>
      <c r="D92" t="s">
        <v>58</v>
      </c>
      <c r="E92" t="s">
        <v>14</v>
      </c>
      <c r="F92" t="s">
        <v>48</v>
      </c>
      <c r="G92" t="s">
        <v>41</v>
      </c>
      <c r="H92" t="s">
        <v>32</v>
      </c>
      <c r="I92">
        <v>3019.47</v>
      </c>
      <c r="J92">
        <v>100</v>
      </c>
      <c r="K92">
        <v>0</v>
      </c>
      <c r="L92" t="s">
        <v>33</v>
      </c>
      <c r="N92">
        <f t="shared" si="4"/>
        <v>3</v>
      </c>
      <c r="O92">
        <f t="shared" si="5"/>
        <v>2025</v>
      </c>
      <c r="P92" t="str">
        <f t="shared" si="6"/>
        <v>Tuesday</v>
      </c>
      <c r="Q92" t="str">
        <f t="shared" si="7"/>
        <v/>
      </c>
    </row>
    <row r="93" spans="1:17" x14ac:dyDescent="0.3">
      <c r="A93">
        <v>40091</v>
      </c>
      <c r="B93" s="1">
        <v>45859</v>
      </c>
      <c r="C93" t="s">
        <v>56</v>
      </c>
      <c r="D93" t="s">
        <v>25</v>
      </c>
      <c r="E93" t="s">
        <v>26</v>
      </c>
      <c r="F93" t="s">
        <v>27</v>
      </c>
      <c r="G93" t="s">
        <v>41</v>
      </c>
      <c r="H93" t="s">
        <v>28</v>
      </c>
      <c r="I93">
        <v>1386.91</v>
      </c>
      <c r="J93">
        <v>100</v>
      </c>
      <c r="K93">
        <v>4</v>
      </c>
      <c r="L93" t="s">
        <v>33</v>
      </c>
      <c r="N93">
        <f t="shared" si="4"/>
        <v>3</v>
      </c>
      <c r="O93">
        <f t="shared" si="5"/>
        <v>2025</v>
      </c>
      <c r="P93" t="str">
        <f t="shared" si="6"/>
        <v>Monday</v>
      </c>
      <c r="Q93" t="str">
        <f t="shared" si="7"/>
        <v/>
      </c>
    </row>
    <row r="94" spans="1:17" x14ac:dyDescent="0.3">
      <c r="A94">
        <v>40092</v>
      </c>
      <c r="B94" s="1">
        <v>45666</v>
      </c>
      <c r="C94" t="s">
        <v>61</v>
      </c>
      <c r="D94" t="s">
        <v>52</v>
      </c>
      <c r="E94" t="s">
        <v>47</v>
      </c>
      <c r="F94" t="s">
        <v>53</v>
      </c>
      <c r="G94" t="s">
        <v>16</v>
      </c>
      <c r="H94" t="s">
        <v>17</v>
      </c>
      <c r="I94">
        <v>2978.44</v>
      </c>
      <c r="J94">
        <v>100</v>
      </c>
      <c r="K94">
        <v>5</v>
      </c>
      <c r="L94" t="s">
        <v>33</v>
      </c>
      <c r="N94">
        <f t="shared" si="4"/>
        <v>1</v>
      </c>
      <c r="O94">
        <f t="shared" si="5"/>
        <v>2025</v>
      </c>
      <c r="P94" t="str">
        <f t="shared" si="6"/>
        <v>Thursday</v>
      </c>
      <c r="Q94" t="str">
        <f t="shared" si="7"/>
        <v>Data Science</v>
      </c>
    </row>
    <row r="95" spans="1:17" x14ac:dyDescent="0.3">
      <c r="A95">
        <v>40093</v>
      </c>
      <c r="B95" s="1">
        <v>46018</v>
      </c>
      <c r="C95" t="s">
        <v>44</v>
      </c>
      <c r="D95" t="s">
        <v>59</v>
      </c>
      <c r="E95" t="s">
        <v>14</v>
      </c>
      <c r="F95" t="s">
        <v>22</v>
      </c>
      <c r="G95" t="s">
        <v>41</v>
      </c>
      <c r="H95" t="s">
        <v>32</v>
      </c>
      <c r="I95">
        <v>4988.7700000000004</v>
      </c>
      <c r="J95">
        <v>100</v>
      </c>
      <c r="K95">
        <v>5</v>
      </c>
      <c r="L95" t="s">
        <v>33</v>
      </c>
      <c r="N95">
        <f t="shared" si="4"/>
        <v>4</v>
      </c>
      <c r="O95">
        <f t="shared" si="5"/>
        <v>2025</v>
      </c>
      <c r="P95" t="str">
        <f t="shared" si="6"/>
        <v>Saturday</v>
      </c>
      <c r="Q95" t="str">
        <f t="shared" si="7"/>
        <v>Web Development</v>
      </c>
    </row>
    <row r="96" spans="1:17" x14ac:dyDescent="0.3">
      <c r="A96">
        <v>40094</v>
      </c>
      <c r="B96" s="1">
        <v>45812</v>
      </c>
      <c r="C96" t="s">
        <v>56</v>
      </c>
      <c r="D96" t="s">
        <v>30</v>
      </c>
      <c r="E96" t="s">
        <v>31</v>
      </c>
      <c r="F96" t="s">
        <v>15</v>
      </c>
      <c r="G96" t="s">
        <v>41</v>
      </c>
      <c r="H96" t="s">
        <v>32</v>
      </c>
      <c r="I96">
        <v>3474.04</v>
      </c>
      <c r="J96">
        <v>100</v>
      </c>
      <c r="K96">
        <v>0</v>
      </c>
      <c r="L96" t="s">
        <v>33</v>
      </c>
      <c r="N96">
        <f t="shared" si="4"/>
        <v>2</v>
      </c>
      <c r="O96">
        <f t="shared" si="5"/>
        <v>2025</v>
      </c>
      <c r="P96" t="str">
        <f t="shared" si="6"/>
        <v>Wednesday</v>
      </c>
      <c r="Q96" t="str">
        <f t="shared" si="7"/>
        <v/>
      </c>
    </row>
    <row r="97" spans="1:17" x14ac:dyDescent="0.3">
      <c r="A97">
        <v>40095</v>
      </c>
      <c r="B97" s="1">
        <v>45878</v>
      </c>
      <c r="C97" t="s">
        <v>62</v>
      </c>
      <c r="D97" t="s">
        <v>20</v>
      </c>
      <c r="E97" t="s">
        <v>21</v>
      </c>
      <c r="F97" t="s">
        <v>22</v>
      </c>
      <c r="G97" t="s">
        <v>41</v>
      </c>
      <c r="H97" t="s">
        <v>17</v>
      </c>
      <c r="I97">
        <v>1990.7</v>
      </c>
      <c r="J97">
        <v>27</v>
      </c>
      <c r="K97">
        <v>0</v>
      </c>
      <c r="L97" t="s">
        <v>18</v>
      </c>
      <c r="N97">
        <f t="shared" si="4"/>
        <v>3</v>
      </c>
      <c r="O97">
        <f t="shared" si="5"/>
        <v>2025</v>
      </c>
      <c r="P97" t="str">
        <f t="shared" si="6"/>
        <v>Saturday</v>
      </c>
      <c r="Q97" t="str">
        <f t="shared" si="7"/>
        <v/>
      </c>
    </row>
    <row r="98" spans="1:17" x14ac:dyDescent="0.3">
      <c r="A98">
        <v>40096</v>
      </c>
      <c r="B98" s="1">
        <v>46004</v>
      </c>
      <c r="C98" t="s">
        <v>56</v>
      </c>
      <c r="D98" t="s">
        <v>25</v>
      </c>
      <c r="E98" t="s">
        <v>26</v>
      </c>
      <c r="F98" t="s">
        <v>27</v>
      </c>
      <c r="G98" t="s">
        <v>16</v>
      </c>
      <c r="H98" t="s">
        <v>28</v>
      </c>
      <c r="I98">
        <v>1386.91</v>
      </c>
      <c r="J98">
        <v>100</v>
      </c>
      <c r="K98">
        <v>5</v>
      </c>
      <c r="L98" t="s">
        <v>33</v>
      </c>
      <c r="N98">
        <f t="shared" si="4"/>
        <v>4</v>
      </c>
      <c r="O98">
        <f t="shared" si="5"/>
        <v>2025</v>
      </c>
      <c r="P98" t="str">
        <f t="shared" si="6"/>
        <v>Saturday</v>
      </c>
      <c r="Q98" t="str">
        <f t="shared" si="7"/>
        <v>Design</v>
      </c>
    </row>
    <row r="99" spans="1:17" x14ac:dyDescent="0.3">
      <c r="A99">
        <v>40097</v>
      </c>
      <c r="B99" s="1">
        <v>45841</v>
      </c>
      <c r="C99" t="s">
        <v>38</v>
      </c>
      <c r="D99" t="s">
        <v>25</v>
      </c>
      <c r="E99" t="s">
        <v>26</v>
      </c>
      <c r="F99" t="s">
        <v>27</v>
      </c>
      <c r="G99" t="s">
        <v>41</v>
      </c>
      <c r="H99" t="s">
        <v>28</v>
      </c>
      <c r="I99">
        <v>1386.91</v>
      </c>
      <c r="J99">
        <v>100</v>
      </c>
      <c r="K99">
        <v>4</v>
      </c>
      <c r="L99" t="s">
        <v>33</v>
      </c>
      <c r="N99">
        <f t="shared" si="4"/>
        <v>3</v>
      </c>
      <c r="O99">
        <f t="shared" si="5"/>
        <v>2025</v>
      </c>
      <c r="P99" t="str">
        <f t="shared" si="6"/>
        <v>Thursday</v>
      </c>
      <c r="Q99" t="str">
        <f t="shared" si="7"/>
        <v/>
      </c>
    </row>
    <row r="100" spans="1:17" x14ac:dyDescent="0.3">
      <c r="A100">
        <v>40098</v>
      </c>
      <c r="B100" s="1">
        <v>45914</v>
      </c>
      <c r="C100" t="s">
        <v>34</v>
      </c>
      <c r="D100" t="s">
        <v>39</v>
      </c>
      <c r="E100" t="s">
        <v>14</v>
      </c>
      <c r="F100" t="s">
        <v>40</v>
      </c>
      <c r="G100" t="s">
        <v>41</v>
      </c>
      <c r="H100" t="s">
        <v>17</v>
      </c>
      <c r="I100">
        <v>822.47</v>
      </c>
      <c r="J100">
        <v>31</v>
      </c>
      <c r="K100">
        <v>0</v>
      </c>
      <c r="L100" t="s">
        <v>35</v>
      </c>
      <c r="N100">
        <f t="shared" si="4"/>
        <v>3</v>
      </c>
      <c r="O100">
        <f t="shared" si="5"/>
        <v>2025</v>
      </c>
      <c r="P100" t="str">
        <f t="shared" si="6"/>
        <v>Sunday</v>
      </c>
      <c r="Q100" t="str">
        <f t="shared" si="7"/>
        <v/>
      </c>
    </row>
    <row r="101" spans="1:17" x14ac:dyDescent="0.3">
      <c r="A101">
        <v>40099</v>
      </c>
      <c r="B101" s="1">
        <v>45999</v>
      </c>
      <c r="C101" t="s">
        <v>44</v>
      </c>
      <c r="D101" t="s">
        <v>58</v>
      </c>
      <c r="E101" t="s">
        <v>14</v>
      </c>
      <c r="F101" t="s">
        <v>48</v>
      </c>
      <c r="G101" t="s">
        <v>23</v>
      </c>
      <c r="H101" t="s">
        <v>32</v>
      </c>
      <c r="I101">
        <v>3019.47</v>
      </c>
      <c r="J101">
        <v>24</v>
      </c>
      <c r="K101">
        <v>0</v>
      </c>
      <c r="L101" t="s">
        <v>35</v>
      </c>
      <c r="N101">
        <f t="shared" si="4"/>
        <v>4</v>
      </c>
      <c r="O101">
        <f t="shared" si="5"/>
        <v>2025</v>
      </c>
      <c r="P101" t="str">
        <f t="shared" si="6"/>
        <v>Monday</v>
      </c>
      <c r="Q101" t="str">
        <f t="shared" si="7"/>
        <v/>
      </c>
    </row>
    <row r="102" spans="1:17" x14ac:dyDescent="0.3">
      <c r="A102">
        <v>40100</v>
      </c>
      <c r="B102" s="1">
        <v>45816</v>
      </c>
      <c r="C102" t="s">
        <v>63</v>
      </c>
      <c r="D102" t="s">
        <v>37</v>
      </c>
      <c r="E102" t="s">
        <v>26</v>
      </c>
      <c r="F102" t="s">
        <v>22</v>
      </c>
      <c r="G102" t="s">
        <v>23</v>
      </c>
      <c r="H102" t="s">
        <v>32</v>
      </c>
      <c r="I102">
        <v>2612.4899999999998</v>
      </c>
      <c r="J102">
        <v>48</v>
      </c>
      <c r="K102">
        <v>0</v>
      </c>
      <c r="L102" t="s">
        <v>18</v>
      </c>
      <c r="N102">
        <f t="shared" si="4"/>
        <v>2</v>
      </c>
      <c r="O102">
        <f t="shared" si="5"/>
        <v>2025</v>
      </c>
      <c r="P102" t="str">
        <f t="shared" si="6"/>
        <v>Sunday</v>
      </c>
      <c r="Q102" t="str">
        <f t="shared" si="7"/>
        <v/>
      </c>
    </row>
    <row r="103" spans="1:17" x14ac:dyDescent="0.3">
      <c r="A103">
        <v>40101</v>
      </c>
      <c r="B103" s="1">
        <v>45955</v>
      </c>
      <c r="C103" t="s">
        <v>63</v>
      </c>
      <c r="D103" t="s">
        <v>39</v>
      </c>
      <c r="E103" t="s">
        <v>14</v>
      </c>
      <c r="F103" t="s">
        <v>40</v>
      </c>
      <c r="G103" t="s">
        <v>41</v>
      </c>
      <c r="H103" t="s">
        <v>17</v>
      </c>
      <c r="I103">
        <v>822.47</v>
      </c>
      <c r="J103">
        <v>10</v>
      </c>
      <c r="K103">
        <v>0</v>
      </c>
      <c r="L103" t="s">
        <v>35</v>
      </c>
      <c r="N103">
        <f t="shared" si="4"/>
        <v>4</v>
      </c>
      <c r="O103">
        <f t="shared" si="5"/>
        <v>2025</v>
      </c>
      <c r="P103" t="str">
        <f t="shared" si="6"/>
        <v>Saturday</v>
      </c>
      <c r="Q103" t="str">
        <f t="shared" si="7"/>
        <v/>
      </c>
    </row>
    <row r="104" spans="1:17" x14ac:dyDescent="0.3">
      <c r="A104">
        <v>40102</v>
      </c>
      <c r="B104" s="1">
        <v>45675</v>
      </c>
      <c r="C104" t="s">
        <v>61</v>
      </c>
      <c r="D104" t="s">
        <v>59</v>
      </c>
      <c r="E104" t="s">
        <v>14</v>
      </c>
      <c r="F104" t="s">
        <v>22</v>
      </c>
      <c r="G104" t="s">
        <v>23</v>
      </c>
      <c r="H104" t="s">
        <v>32</v>
      </c>
      <c r="I104">
        <v>4988.7700000000004</v>
      </c>
      <c r="J104">
        <v>31</v>
      </c>
      <c r="K104">
        <v>0</v>
      </c>
      <c r="L104" t="s">
        <v>35</v>
      </c>
      <c r="N104">
        <f t="shared" si="4"/>
        <v>1</v>
      </c>
      <c r="O104">
        <f t="shared" si="5"/>
        <v>2025</v>
      </c>
      <c r="P104" t="str">
        <f t="shared" si="6"/>
        <v>Saturday</v>
      </c>
      <c r="Q104" t="str">
        <f t="shared" si="7"/>
        <v/>
      </c>
    </row>
    <row r="105" spans="1:17" x14ac:dyDescent="0.3">
      <c r="A105">
        <v>40103</v>
      </c>
      <c r="B105" s="1">
        <v>45700</v>
      </c>
      <c r="C105" t="s">
        <v>44</v>
      </c>
      <c r="D105" t="s">
        <v>59</v>
      </c>
      <c r="E105" t="s">
        <v>14</v>
      </c>
      <c r="F105" t="s">
        <v>22</v>
      </c>
      <c r="G105" t="s">
        <v>41</v>
      </c>
      <c r="H105" t="s">
        <v>32</v>
      </c>
      <c r="I105">
        <v>4988.7700000000004</v>
      </c>
      <c r="J105">
        <v>100</v>
      </c>
      <c r="K105">
        <v>4</v>
      </c>
      <c r="L105" t="s">
        <v>33</v>
      </c>
      <c r="N105">
        <f t="shared" si="4"/>
        <v>1</v>
      </c>
      <c r="O105">
        <f t="shared" si="5"/>
        <v>2025</v>
      </c>
      <c r="P105" t="str">
        <f t="shared" si="6"/>
        <v>Wednesday</v>
      </c>
      <c r="Q105" t="str">
        <f t="shared" si="7"/>
        <v/>
      </c>
    </row>
    <row r="106" spans="1:17" x14ac:dyDescent="0.3">
      <c r="A106">
        <v>40104</v>
      </c>
      <c r="B106" s="1">
        <v>45853</v>
      </c>
      <c r="C106" t="s">
        <v>54</v>
      </c>
      <c r="D106" t="s">
        <v>52</v>
      </c>
      <c r="E106" t="s">
        <v>47</v>
      </c>
      <c r="F106" t="s">
        <v>53</v>
      </c>
      <c r="G106" t="s">
        <v>16</v>
      </c>
      <c r="H106" t="s">
        <v>17</v>
      </c>
      <c r="I106">
        <v>2978.44</v>
      </c>
      <c r="J106">
        <v>29</v>
      </c>
      <c r="K106">
        <v>0</v>
      </c>
      <c r="L106" t="s">
        <v>18</v>
      </c>
      <c r="N106">
        <f t="shared" si="4"/>
        <v>3</v>
      </c>
      <c r="O106">
        <f t="shared" si="5"/>
        <v>2025</v>
      </c>
      <c r="P106" t="str">
        <f t="shared" si="6"/>
        <v>Tuesday</v>
      </c>
      <c r="Q106" t="str">
        <f t="shared" si="7"/>
        <v/>
      </c>
    </row>
    <row r="107" spans="1:17" x14ac:dyDescent="0.3">
      <c r="A107">
        <v>40105</v>
      </c>
      <c r="B107" s="1">
        <v>45893</v>
      </c>
      <c r="C107" t="s">
        <v>54</v>
      </c>
      <c r="D107" t="s">
        <v>25</v>
      </c>
      <c r="E107" t="s">
        <v>26</v>
      </c>
      <c r="F107" t="s">
        <v>27</v>
      </c>
      <c r="G107" t="s">
        <v>16</v>
      </c>
      <c r="H107" t="s">
        <v>28</v>
      </c>
      <c r="I107">
        <v>1386.91</v>
      </c>
      <c r="J107">
        <v>100</v>
      </c>
      <c r="K107">
        <v>5</v>
      </c>
      <c r="L107" t="s">
        <v>33</v>
      </c>
      <c r="N107">
        <f t="shared" si="4"/>
        <v>3</v>
      </c>
      <c r="O107">
        <f t="shared" si="5"/>
        <v>2025</v>
      </c>
      <c r="P107" t="str">
        <f t="shared" si="6"/>
        <v>Sunday</v>
      </c>
      <c r="Q107" t="str">
        <f t="shared" si="7"/>
        <v>Design</v>
      </c>
    </row>
    <row r="108" spans="1:17" x14ac:dyDescent="0.3">
      <c r="A108">
        <v>40106</v>
      </c>
      <c r="B108" s="1">
        <v>45873</v>
      </c>
      <c r="C108" t="s">
        <v>51</v>
      </c>
      <c r="D108" t="s">
        <v>58</v>
      </c>
      <c r="E108" t="s">
        <v>14</v>
      </c>
      <c r="F108" t="s">
        <v>48</v>
      </c>
      <c r="G108" t="s">
        <v>16</v>
      </c>
      <c r="H108" t="s">
        <v>32</v>
      </c>
      <c r="I108">
        <v>3019.47</v>
      </c>
      <c r="J108">
        <v>100</v>
      </c>
      <c r="K108">
        <v>0</v>
      </c>
      <c r="L108" t="s">
        <v>33</v>
      </c>
      <c r="N108">
        <f t="shared" si="4"/>
        <v>3</v>
      </c>
      <c r="O108">
        <f t="shared" si="5"/>
        <v>2025</v>
      </c>
      <c r="P108" t="str">
        <f t="shared" si="6"/>
        <v>Monday</v>
      </c>
      <c r="Q108" t="str">
        <f t="shared" si="7"/>
        <v/>
      </c>
    </row>
    <row r="109" spans="1:17" x14ac:dyDescent="0.3">
      <c r="A109">
        <v>40107</v>
      </c>
      <c r="B109" s="1">
        <v>45713</v>
      </c>
      <c r="C109" t="s">
        <v>38</v>
      </c>
      <c r="D109" t="s">
        <v>59</v>
      </c>
      <c r="E109" t="s">
        <v>14</v>
      </c>
      <c r="F109" t="s">
        <v>22</v>
      </c>
      <c r="G109" t="s">
        <v>16</v>
      </c>
      <c r="H109" t="s">
        <v>32</v>
      </c>
      <c r="I109">
        <v>4988.7700000000004</v>
      </c>
      <c r="J109">
        <v>100</v>
      </c>
      <c r="K109">
        <v>0</v>
      </c>
      <c r="L109" t="s">
        <v>33</v>
      </c>
      <c r="N109">
        <f t="shared" si="4"/>
        <v>1</v>
      </c>
      <c r="O109">
        <f t="shared" si="5"/>
        <v>2025</v>
      </c>
      <c r="P109" t="str">
        <f t="shared" si="6"/>
        <v>Tuesday</v>
      </c>
      <c r="Q109" t="str">
        <f t="shared" si="7"/>
        <v/>
      </c>
    </row>
    <row r="110" spans="1:17" x14ac:dyDescent="0.3">
      <c r="A110">
        <v>40108</v>
      </c>
      <c r="B110" s="1">
        <v>45797</v>
      </c>
      <c r="C110" t="s">
        <v>63</v>
      </c>
      <c r="D110" t="s">
        <v>46</v>
      </c>
      <c r="E110" t="s">
        <v>47</v>
      </c>
      <c r="F110" t="s">
        <v>48</v>
      </c>
      <c r="G110" t="s">
        <v>16</v>
      </c>
      <c r="H110" t="s">
        <v>28</v>
      </c>
      <c r="I110">
        <v>626.58000000000004</v>
      </c>
      <c r="J110">
        <v>100</v>
      </c>
      <c r="K110">
        <v>5</v>
      </c>
      <c r="L110" t="s">
        <v>33</v>
      </c>
      <c r="N110">
        <f t="shared" si="4"/>
        <v>2</v>
      </c>
      <c r="O110">
        <f t="shared" si="5"/>
        <v>2025</v>
      </c>
      <c r="P110" t="str">
        <f t="shared" si="6"/>
        <v>Tuesday</v>
      </c>
      <c r="Q110" t="str">
        <f t="shared" si="7"/>
        <v>Data Science</v>
      </c>
    </row>
    <row r="111" spans="1:17" x14ac:dyDescent="0.3">
      <c r="A111">
        <v>40109</v>
      </c>
      <c r="B111" s="1">
        <v>45724</v>
      </c>
      <c r="C111" t="s">
        <v>50</v>
      </c>
      <c r="D111" t="s">
        <v>52</v>
      </c>
      <c r="E111" t="s">
        <v>47</v>
      </c>
      <c r="F111" t="s">
        <v>53</v>
      </c>
      <c r="G111" t="s">
        <v>16</v>
      </c>
      <c r="H111" t="s">
        <v>17</v>
      </c>
      <c r="I111">
        <v>2978.44</v>
      </c>
      <c r="J111">
        <v>42</v>
      </c>
      <c r="K111">
        <v>0</v>
      </c>
      <c r="L111" t="s">
        <v>18</v>
      </c>
      <c r="N111">
        <f t="shared" si="4"/>
        <v>1</v>
      </c>
      <c r="O111">
        <f t="shared" si="5"/>
        <v>2025</v>
      </c>
      <c r="P111" t="str">
        <f t="shared" si="6"/>
        <v>Saturday</v>
      </c>
      <c r="Q111" t="str">
        <f t="shared" si="7"/>
        <v/>
      </c>
    </row>
    <row r="112" spans="1:17" x14ac:dyDescent="0.3">
      <c r="A112">
        <v>40110</v>
      </c>
      <c r="B112" s="1">
        <v>45739</v>
      </c>
      <c r="C112" t="s">
        <v>61</v>
      </c>
      <c r="D112" t="s">
        <v>49</v>
      </c>
      <c r="E112" t="s">
        <v>21</v>
      </c>
      <c r="F112" t="s">
        <v>48</v>
      </c>
      <c r="G112" t="s">
        <v>41</v>
      </c>
      <c r="H112" t="s">
        <v>17</v>
      </c>
      <c r="I112">
        <v>4064.97</v>
      </c>
      <c r="J112">
        <v>7</v>
      </c>
      <c r="K112">
        <v>0</v>
      </c>
      <c r="L112" t="s">
        <v>18</v>
      </c>
      <c r="N112">
        <f t="shared" si="4"/>
        <v>1</v>
      </c>
      <c r="O112">
        <f t="shared" si="5"/>
        <v>2025</v>
      </c>
      <c r="P112" t="str">
        <f t="shared" si="6"/>
        <v>Sunday</v>
      </c>
      <c r="Q112" t="str">
        <f t="shared" si="7"/>
        <v/>
      </c>
    </row>
    <row r="113" spans="1:17" x14ac:dyDescent="0.3">
      <c r="A113">
        <v>40111</v>
      </c>
      <c r="B113" s="1">
        <v>45753</v>
      </c>
      <c r="C113" t="s">
        <v>44</v>
      </c>
      <c r="D113" t="s">
        <v>59</v>
      </c>
      <c r="E113" t="s">
        <v>14</v>
      </c>
      <c r="F113" t="s">
        <v>22</v>
      </c>
      <c r="G113" t="s">
        <v>23</v>
      </c>
      <c r="H113" t="s">
        <v>32</v>
      </c>
      <c r="I113">
        <v>4988.7700000000004</v>
      </c>
      <c r="J113">
        <v>100</v>
      </c>
      <c r="K113">
        <v>5</v>
      </c>
      <c r="L113" t="s">
        <v>33</v>
      </c>
      <c r="N113">
        <f t="shared" si="4"/>
        <v>2</v>
      </c>
      <c r="O113">
        <f t="shared" si="5"/>
        <v>2025</v>
      </c>
      <c r="P113" t="str">
        <f t="shared" si="6"/>
        <v>Sunday</v>
      </c>
      <c r="Q113" t="str">
        <f t="shared" si="7"/>
        <v>Web Development</v>
      </c>
    </row>
    <row r="114" spans="1:17" x14ac:dyDescent="0.3">
      <c r="A114">
        <v>40112</v>
      </c>
      <c r="B114" s="1">
        <v>45727</v>
      </c>
      <c r="C114" t="s">
        <v>45</v>
      </c>
      <c r="D114" t="s">
        <v>52</v>
      </c>
      <c r="E114" t="s">
        <v>47</v>
      </c>
      <c r="F114" t="s">
        <v>53</v>
      </c>
      <c r="G114" t="s">
        <v>23</v>
      </c>
      <c r="H114" t="s">
        <v>17</v>
      </c>
      <c r="I114">
        <v>2978.44</v>
      </c>
      <c r="J114">
        <v>100</v>
      </c>
      <c r="K114">
        <v>5</v>
      </c>
      <c r="L114" t="s">
        <v>33</v>
      </c>
      <c r="N114">
        <f t="shared" si="4"/>
        <v>1</v>
      </c>
      <c r="O114">
        <f t="shared" si="5"/>
        <v>2025</v>
      </c>
      <c r="P114" t="str">
        <f t="shared" si="6"/>
        <v>Tuesday</v>
      </c>
      <c r="Q114" t="str">
        <f t="shared" si="7"/>
        <v>Data Science</v>
      </c>
    </row>
    <row r="115" spans="1:17" x14ac:dyDescent="0.3">
      <c r="A115">
        <v>40113</v>
      </c>
      <c r="B115" s="1">
        <v>45863</v>
      </c>
      <c r="C115" t="s">
        <v>12</v>
      </c>
      <c r="D115" t="s">
        <v>52</v>
      </c>
      <c r="E115" t="s">
        <v>47</v>
      </c>
      <c r="F115" t="s">
        <v>53</v>
      </c>
      <c r="G115" t="s">
        <v>23</v>
      </c>
      <c r="H115" t="s">
        <v>17</v>
      </c>
      <c r="I115">
        <v>2978.44</v>
      </c>
      <c r="J115">
        <v>8</v>
      </c>
      <c r="K115">
        <v>0</v>
      </c>
      <c r="L115" t="s">
        <v>35</v>
      </c>
      <c r="N115">
        <f t="shared" si="4"/>
        <v>3</v>
      </c>
      <c r="O115">
        <f t="shared" si="5"/>
        <v>2025</v>
      </c>
      <c r="P115" t="str">
        <f t="shared" si="6"/>
        <v>Friday</v>
      </c>
      <c r="Q115" t="str">
        <f t="shared" si="7"/>
        <v/>
      </c>
    </row>
    <row r="116" spans="1:17" x14ac:dyDescent="0.3">
      <c r="A116">
        <v>40114</v>
      </c>
      <c r="B116" s="1">
        <v>45757</v>
      </c>
      <c r="C116" t="s">
        <v>63</v>
      </c>
      <c r="D116" t="s">
        <v>55</v>
      </c>
      <c r="E116" t="s">
        <v>31</v>
      </c>
      <c r="F116" t="s">
        <v>22</v>
      </c>
      <c r="G116" t="s">
        <v>16</v>
      </c>
      <c r="H116" t="s">
        <v>32</v>
      </c>
      <c r="I116">
        <v>1569.15</v>
      </c>
      <c r="J116">
        <v>100</v>
      </c>
      <c r="K116">
        <v>5</v>
      </c>
      <c r="L116" t="s">
        <v>33</v>
      </c>
      <c r="N116">
        <f t="shared" si="4"/>
        <v>2</v>
      </c>
      <c r="O116">
        <f t="shared" si="5"/>
        <v>2025</v>
      </c>
      <c r="P116" t="str">
        <f t="shared" si="6"/>
        <v>Thursday</v>
      </c>
      <c r="Q116" t="str">
        <f t="shared" si="7"/>
        <v>Finance</v>
      </c>
    </row>
    <row r="117" spans="1:17" x14ac:dyDescent="0.3">
      <c r="A117">
        <v>40115</v>
      </c>
      <c r="B117" s="1">
        <v>45974</v>
      </c>
      <c r="C117" t="s">
        <v>34</v>
      </c>
      <c r="D117" t="s">
        <v>25</v>
      </c>
      <c r="E117" t="s">
        <v>26</v>
      </c>
      <c r="F117" t="s">
        <v>27</v>
      </c>
      <c r="G117" t="s">
        <v>16</v>
      </c>
      <c r="H117" t="s">
        <v>28</v>
      </c>
      <c r="I117">
        <v>1386.91</v>
      </c>
      <c r="J117">
        <v>84</v>
      </c>
      <c r="K117">
        <v>0</v>
      </c>
      <c r="L117" t="s">
        <v>18</v>
      </c>
      <c r="N117">
        <f t="shared" si="4"/>
        <v>4</v>
      </c>
      <c r="O117">
        <f t="shared" si="5"/>
        <v>2025</v>
      </c>
      <c r="P117" t="str">
        <f t="shared" si="6"/>
        <v>Thursday</v>
      </c>
      <c r="Q117" t="str">
        <f t="shared" si="7"/>
        <v/>
      </c>
    </row>
    <row r="118" spans="1:17" x14ac:dyDescent="0.3">
      <c r="A118">
        <v>40116</v>
      </c>
      <c r="B118" s="1">
        <v>45714</v>
      </c>
      <c r="C118" t="s">
        <v>44</v>
      </c>
      <c r="D118" t="s">
        <v>52</v>
      </c>
      <c r="E118" t="s">
        <v>47</v>
      </c>
      <c r="F118" t="s">
        <v>53</v>
      </c>
      <c r="G118" t="s">
        <v>23</v>
      </c>
      <c r="H118" t="s">
        <v>17</v>
      </c>
      <c r="I118">
        <v>2978.44</v>
      </c>
      <c r="J118">
        <v>30</v>
      </c>
      <c r="K118">
        <v>0</v>
      </c>
      <c r="L118" t="s">
        <v>35</v>
      </c>
      <c r="N118">
        <f t="shared" si="4"/>
        <v>1</v>
      </c>
      <c r="O118">
        <f t="shared" si="5"/>
        <v>2025</v>
      </c>
      <c r="P118" t="str">
        <f t="shared" si="6"/>
        <v>Wednesday</v>
      </c>
      <c r="Q118" t="str">
        <f t="shared" si="7"/>
        <v/>
      </c>
    </row>
    <row r="119" spans="1:17" x14ac:dyDescent="0.3">
      <c r="A119">
        <v>40117</v>
      </c>
      <c r="B119" s="1">
        <v>45666</v>
      </c>
      <c r="C119" t="s">
        <v>44</v>
      </c>
      <c r="D119" t="s">
        <v>46</v>
      </c>
      <c r="E119" t="s">
        <v>47</v>
      </c>
      <c r="F119" t="s">
        <v>48</v>
      </c>
      <c r="G119" t="s">
        <v>41</v>
      </c>
      <c r="H119" t="s">
        <v>28</v>
      </c>
      <c r="I119">
        <v>626.58000000000004</v>
      </c>
      <c r="J119">
        <v>100</v>
      </c>
      <c r="K119">
        <v>4</v>
      </c>
      <c r="L119" t="s">
        <v>33</v>
      </c>
      <c r="N119">
        <f t="shared" si="4"/>
        <v>1</v>
      </c>
      <c r="O119">
        <f t="shared" si="5"/>
        <v>2025</v>
      </c>
      <c r="P119" t="str">
        <f t="shared" si="6"/>
        <v>Thursday</v>
      </c>
      <c r="Q119" t="str">
        <f t="shared" si="7"/>
        <v/>
      </c>
    </row>
    <row r="120" spans="1:17" x14ac:dyDescent="0.3">
      <c r="A120">
        <v>40118</v>
      </c>
      <c r="B120" s="1">
        <v>45902</v>
      </c>
      <c r="C120" t="s">
        <v>12</v>
      </c>
      <c r="D120" t="s">
        <v>58</v>
      </c>
      <c r="E120" t="s">
        <v>14</v>
      </c>
      <c r="F120" t="s">
        <v>48</v>
      </c>
      <c r="G120" t="s">
        <v>16</v>
      </c>
      <c r="H120" t="s">
        <v>32</v>
      </c>
      <c r="I120">
        <v>3019.47</v>
      </c>
      <c r="J120">
        <v>22</v>
      </c>
      <c r="K120">
        <v>0</v>
      </c>
      <c r="L120" t="s">
        <v>18</v>
      </c>
      <c r="N120">
        <f t="shared" si="4"/>
        <v>3</v>
      </c>
      <c r="O120">
        <f t="shared" si="5"/>
        <v>2025</v>
      </c>
      <c r="P120" t="str">
        <f t="shared" si="6"/>
        <v>Tuesday</v>
      </c>
      <c r="Q120" t="str">
        <f t="shared" si="7"/>
        <v/>
      </c>
    </row>
    <row r="121" spans="1:17" x14ac:dyDescent="0.3">
      <c r="A121">
        <v>40119</v>
      </c>
      <c r="B121" s="1">
        <v>45662</v>
      </c>
      <c r="C121" t="s">
        <v>54</v>
      </c>
      <c r="D121" t="s">
        <v>46</v>
      </c>
      <c r="E121" t="s">
        <v>47</v>
      </c>
      <c r="F121" t="s">
        <v>48</v>
      </c>
      <c r="G121" t="s">
        <v>23</v>
      </c>
      <c r="H121" t="s">
        <v>28</v>
      </c>
      <c r="I121">
        <v>626.58000000000004</v>
      </c>
      <c r="J121">
        <v>24</v>
      </c>
      <c r="K121">
        <v>0</v>
      </c>
      <c r="L121" t="s">
        <v>35</v>
      </c>
      <c r="N121">
        <f t="shared" si="4"/>
        <v>1</v>
      </c>
      <c r="O121">
        <f t="shared" si="5"/>
        <v>2025</v>
      </c>
      <c r="P121" t="str">
        <f t="shared" si="6"/>
        <v>Sunday</v>
      </c>
      <c r="Q121" t="str">
        <f t="shared" si="7"/>
        <v/>
      </c>
    </row>
    <row r="122" spans="1:17" x14ac:dyDescent="0.3">
      <c r="A122">
        <v>40120</v>
      </c>
      <c r="B122" s="1">
        <v>45903</v>
      </c>
      <c r="C122" t="s">
        <v>19</v>
      </c>
      <c r="D122" t="s">
        <v>30</v>
      </c>
      <c r="E122" t="s">
        <v>31</v>
      </c>
      <c r="F122" t="s">
        <v>15</v>
      </c>
      <c r="G122" t="s">
        <v>23</v>
      </c>
      <c r="H122" t="s">
        <v>32</v>
      </c>
      <c r="I122">
        <v>3474.04</v>
      </c>
      <c r="J122">
        <v>100</v>
      </c>
      <c r="K122">
        <v>0</v>
      </c>
      <c r="L122" t="s">
        <v>33</v>
      </c>
      <c r="N122">
        <f t="shared" si="4"/>
        <v>3</v>
      </c>
      <c r="O122">
        <f t="shared" si="5"/>
        <v>2025</v>
      </c>
      <c r="P122" t="str">
        <f t="shared" si="6"/>
        <v>Wednesday</v>
      </c>
      <c r="Q122" t="str">
        <f t="shared" si="7"/>
        <v/>
      </c>
    </row>
    <row r="123" spans="1:17" x14ac:dyDescent="0.3">
      <c r="A123">
        <v>40121</v>
      </c>
      <c r="B123" s="1">
        <v>45912</v>
      </c>
      <c r="C123" t="s">
        <v>62</v>
      </c>
      <c r="D123" t="s">
        <v>13</v>
      </c>
      <c r="E123" t="s">
        <v>14</v>
      </c>
      <c r="F123" t="s">
        <v>15</v>
      </c>
      <c r="G123" t="s">
        <v>16</v>
      </c>
      <c r="H123" t="s">
        <v>17</v>
      </c>
      <c r="I123">
        <v>1814.46</v>
      </c>
      <c r="J123">
        <v>100</v>
      </c>
      <c r="K123">
        <v>5</v>
      </c>
      <c r="L123" t="s">
        <v>33</v>
      </c>
      <c r="N123">
        <f t="shared" si="4"/>
        <v>3</v>
      </c>
      <c r="O123">
        <f t="shared" si="5"/>
        <v>2025</v>
      </c>
      <c r="P123" t="str">
        <f t="shared" si="6"/>
        <v>Friday</v>
      </c>
      <c r="Q123" t="str">
        <f t="shared" si="7"/>
        <v>Web Development</v>
      </c>
    </row>
    <row r="124" spans="1:17" x14ac:dyDescent="0.3">
      <c r="A124">
        <v>40122</v>
      </c>
      <c r="B124" s="1">
        <v>45883</v>
      </c>
      <c r="C124" t="s">
        <v>12</v>
      </c>
      <c r="D124" t="s">
        <v>58</v>
      </c>
      <c r="E124" t="s">
        <v>14</v>
      </c>
      <c r="F124" t="s">
        <v>48</v>
      </c>
      <c r="G124" t="s">
        <v>41</v>
      </c>
      <c r="H124" t="s">
        <v>32</v>
      </c>
      <c r="I124">
        <v>3019.47</v>
      </c>
      <c r="J124">
        <v>100</v>
      </c>
      <c r="K124">
        <v>5</v>
      </c>
      <c r="L124" t="s">
        <v>33</v>
      </c>
      <c r="N124">
        <f t="shared" si="4"/>
        <v>3</v>
      </c>
      <c r="O124">
        <f t="shared" si="5"/>
        <v>2025</v>
      </c>
      <c r="P124" t="str">
        <f t="shared" si="6"/>
        <v>Thursday</v>
      </c>
      <c r="Q124" t="str">
        <f t="shared" si="7"/>
        <v>Web Development</v>
      </c>
    </row>
    <row r="125" spans="1:17" x14ac:dyDescent="0.3">
      <c r="A125">
        <v>40123</v>
      </c>
      <c r="B125" s="1">
        <v>45671</v>
      </c>
      <c r="C125" t="s">
        <v>62</v>
      </c>
      <c r="D125" t="s">
        <v>25</v>
      </c>
      <c r="E125" t="s">
        <v>26</v>
      </c>
      <c r="F125" t="s">
        <v>27</v>
      </c>
      <c r="G125" t="s">
        <v>16</v>
      </c>
      <c r="H125" t="s">
        <v>28</v>
      </c>
      <c r="I125">
        <v>1386.91</v>
      </c>
      <c r="J125">
        <v>100</v>
      </c>
      <c r="K125">
        <v>0</v>
      </c>
      <c r="L125" t="s">
        <v>33</v>
      </c>
      <c r="N125">
        <f t="shared" si="4"/>
        <v>1</v>
      </c>
      <c r="O125">
        <f t="shared" si="5"/>
        <v>2025</v>
      </c>
      <c r="P125" t="str">
        <f t="shared" si="6"/>
        <v>Tuesday</v>
      </c>
      <c r="Q125" t="str">
        <f t="shared" si="7"/>
        <v/>
      </c>
    </row>
    <row r="126" spans="1:17" x14ac:dyDescent="0.3">
      <c r="A126">
        <v>40124</v>
      </c>
      <c r="B126" s="1">
        <v>45779</v>
      </c>
      <c r="C126" t="s">
        <v>51</v>
      </c>
      <c r="D126" t="s">
        <v>59</v>
      </c>
      <c r="E126" t="s">
        <v>14</v>
      </c>
      <c r="F126" t="s">
        <v>22</v>
      </c>
      <c r="G126" t="s">
        <v>41</v>
      </c>
      <c r="H126" t="s">
        <v>32</v>
      </c>
      <c r="I126">
        <v>4988.7700000000004</v>
      </c>
      <c r="J126">
        <v>100</v>
      </c>
      <c r="K126">
        <v>5</v>
      </c>
      <c r="L126" t="s">
        <v>33</v>
      </c>
      <c r="N126">
        <f t="shared" si="4"/>
        <v>2</v>
      </c>
      <c r="O126">
        <f t="shared" si="5"/>
        <v>2025</v>
      </c>
      <c r="P126" t="str">
        <f t="shared" si="6"/>
        <v>Friday</v>
      </c>
      <c r="Q126" t="str">
        <f t="shared" si="7"/>
        <v>Web Development</v>
      </c>
    </row>
    <row r="127" spans="1:17" x14ac:dyDescent="0.3">
      <c r="A127">
        <v>40125</v>
      </c>
      <c r="B127" s="1">
        <v>45879</v>
      </c>
      <c r="C127" t="s">
        <v>62</v>
      </c>
      <c r="D127" t="s">
        <v>46</v>
      </c>
      <c r="E127" t="s">
        <v>47</v>
      </c>
      <c r="F127" t="s">
        <v>48</v>
      </c>
      <c r="G127" t="s">
        <v>41</v>
      </c>
      <c r="H127" t="s">
        <v>28</v>
      </c>
      <c r="I127">
        <v>626.58000000000004</v>
      </c>
      <c r="J127">
        <v>65</v>
      </c>
      <c r="K127">
        <v>0</v>
      </c>
      <c r="L127" t="s">
        <v>18</v>
      </c>
      <c r="N127">
        <f t="shared" si="4"/>
        <v>3</v>
      </c>
      <c r="O127">
        <f t="shared" si="5"/>
        <v>2025</v>
      </c>
      <c r="P127" t="str">
        <f t="shared" si="6"/>
        <v>Sunday</v>
      </c>
      <c r="Q127" t="str">
        <f t="shared" si="7"/>
        <v/>
      </c>
    </row>
    <row r="128" spans="1:17" x14ac:dyDescent="0.3">
      <c r="A128">
        <v>40126</v>
      </c>
      <c r="B128" s="1">
        <v>45735</v>
      </c>
      <c r="C128" t="s">
        <v>60</v>
      </c>
      <c r="D128" t="s">
        <v>52</v>
      </c>
      <c r="E128" t="s">
        <v>47</v>
      </c>
      <c r="F128" t="s">
        <v>53</v>
      </c>
      <c r="G128" t="s">
        <v>41</v>
      </c>
      <c r="H128" t="s">
        <v>17</v>
      </c>
      <c r="I128">
        <v>2978.44</v>
      </c>
      <c r="J128">
        <v>35</v>
      </c>
      <c r="K128">
        <v>0</v>
      </c>
      <c r="L128" t="s">
        <v>35</v>
      </c>
      <c r="N128">
        <f t="shared" si="4"/>
        <v>1</v>
      </c>
      <c r="O128">
        <f t="shared" si="5"/>
        <v>2025</v>
      </c>
      <c r="P128" t="str">
        <f t="shared" si="6"/>
        <v>Wednesday</v>
      </c>
      <c r="Q128" t="str">
        <f t="shared" si="7"/>
        <v/>
      </c>
    </row>
    <row r="129" spans="1:17" x14ac:dyDescent="0.3">
      <c r="A129">
        <v>40127</v>
      </c>
      <c r="B129" s="1">
        <v>46003</v>
      </c>
      <c r="C129" t="s">
        <v>45</v>
      </c>
      <c r="D129" t="s">
        <v>55</v>
      </c>
      <c r="E129" t="s">
        <v>31</v>
      </c>
      <c r="F129" t="s">
        <v>22</v>
      </c>
      <c r="G129" t="s">
        <v>23</v>
      </c>
      <c r="H129" t="s">
        <v>32</v>
      </c>
      <c r="I129">
        <v>1569.15</v>
      </c>
      <c r="J129">
        <v>67</v>
      </c>
      <c r="K129">
        <v>0</v>
      </c>
      <c r="L129" t="s">
        <v>18</v>
      </c>
      <c r="N129">
        <f t="shared" si="4"/>
        <v>4</v>
      </c>
      <c r="O129">
        <f t="shared" si="5"/>
        <v>2025</v>
      </c>
      <c r="P129" t="str">
        <f t="shared" si="6"/>
        <v>Friday</v>
      </c>
      <c r="Q129" t="str">
        <f t="shared" si="7"/>
        <v/>
      </c>
    </row>
    <row r="130" spans="1:17" x14ac:dyDescent="0.3">
      <c r="A130">
        <v>40128</v>
      </c>
      <c r="B130" s="1">
        <v>45759</v>
      </c>
      <c r="C130" t="s">
        <v>60</v>
      </c>
      <c r="D130" t="s">
        <v>13</v>
      </c>
      <c r="E130" t="s">
        <v>14</v>
      </c>
      <c r="F130" t="s">
        <v>15</v>
      </c>
      <c r="G130" t="s">
        <v>16</v>
      </c>
      <c r="H130" t="s">
        <v>17</v>
      </c>
      <c r="I130">
        <v>1814.46</v>
      </c>
      <c r="J130">
        <v>22</v>
      </c>
      <c r="K130">
        <v>0</v>
      </c>
      <c r="L130" t="s">
        <v>35</v>
      </c>
      <c r="N130">
        <f t="shared" si="4"/>
        <v>2</v>
      </c>
      <c r="O130">
        <f t="shared" si="5"/>
        <v>2025</v>
      </c>
      <c r="P130" t="str">
        <f t="shared" si="6"/>
        <v>Saturday</v>
      </c>
      <c r="Q130" t="str">
        <f t="shared" si="7"/>
        <v/>
      </c>
    </row>
    <row r="131" spans="1:17" x14ac:dyDescent="0.3">
      <c r="A131">
        <v>40129</v>
      </c>
      <c r="B131" s="1">
        <v>45676</v>
      </c>
      <c r="C131" t="s">
        <v>43</v>
      </c>
      <c r="D131" t="s">
        <v>37</v>
      </c>
      <c r="E131" t="s">
        <v>26</v>
      </c>
      <c r="F131" t="s">
        <v>22</v>
      </c>
      <c r="G131" t="s">
        <v>16</v>
      </c>
      <c r="H131" t="s">
        <v>32</v>
      </c>
      <c r="I131">
        <v>2612.4899999999998</v>
      </c>
      <c r="J131">
        <v>100</v>
      </c>
      <c r="K131">
        <v>5</v>
      </c>
      <c r="L131" t="s">
        <v>33</v>
      </c>
      <c r="N131">
        <f t="shared" ref="N131:N161" si="8">ROUNDUP(MONTH(B131)/3,0)</f>
        <v>1</v>
      </c>
      <c r="O131">
        <f t="shared" ref="O131:O161" si="9">YEAR(B131)</f>
        <v>2025</v>
      </c>
      <c r="P131" t="str">
        <f t="shared" ref="P131:P161" si="10">TEXT(B131,"dddd")</f>
        <v>Sunday</v>
      </c>
      <c r="Q131" t="str">
        <f t="shared" ref="Q131:Q161" si="11">IF(K131=5,E131,"")</f>
        <v>Design</v>
      </c>
    </row>
    <row r="132" spans="1:17" x14ac:dyDescent="0.3">
      <c r="A132">
        <v>40130</v>
      </c>
      <c r="B132" s="1">
        <v>46007</v>
      </c>
      <c r="C132" t="s">
        <v>51</v>
      </c>
      <c r="D132" t="s">
        <v>49</v>
      </c>
      <c r="E132" t="s">
        <v>21</v>
      </c>
      <c r="F132" t="s">
        <v>48</v>
      </c>
      <c r="G132" t="s">
        <v>23</v>
      </c>
      <c r="H132" t="s">
        <v>17</v>
      </c>
      <c r="I132">
        <v>4064.97</v>
      </c>
      <c r="J132">
        <v>6</v>
      </c>
      <c r="K132">
        <v>0</v>
      </c>
      <c r="L132" t="s">
        <v>35</v>
      </c>
      <c r="N132">
        <f t="shared" si="8"/>
        <v>4</v>
      </c>
      <c r="O132">
        <f t="shared" si="9"/>
        <v>2025</v>
      </c>
      <c r="P132" t="str">
        <f t="shared" si="10"/>
        <v>Tuesday</v>
      </c>
      <c r="Q132" t="str">
        <f t="shared" si="11"/>
        <v/>
      </c>
    </row>
    <row r="133" spans="1:17" x14ac:dyDescent="0.3">
      <c r="A133">
        <v>40131</v>
      </c>
      <c r="B133" s="1">
        <v>46010</v>
      </c>
      <c r="C133" t="s">
        <v>19</v>
      </c>
      <c r="D133" t="s">
        <v>52</v>
      </c>
      <c r="E133" t="s">
        <v>47</v>
      </c>
      <c r="F133" t="s">
        <v>53</v>
      </c>
      <c r="G133" t="s">
        <v>16</v>
      </c>
      <c r="H133" t="s">
        <v>17</v>
      </c>
      <c r="I133">
        <v>2978.44</v>
      </c>
      <c r="J133">
        <v>100</v>
      </c>
      <c r="K133">
        <v>0</v>
      </c>
      <c r="L133" t="s">
        <v>33</v>
      </c>
      <c r="N133">
        <f t="shared" si="8"/>
        <v>4</v>
      </c>
      <c r="O133">
        <f t="shared" si="9"/>
        <v>2025</v>
      </c>
      <c r="P133" t="str">
        <f t="shared" si="10"/>
        <v>Friday</v>
      </c>
      <c r="Q133" t="str">
        <f t="shared" si="11"/>
        <v/>
      </c>
    </row>
    <row r="134" spans="1:17" x14ac:dyDescent="0.3">
      <c r="A134">
        <v>40132</v>
      </c>
      <c r="B134" s="1">
        <v>45695</v>
      </c>
      <c r="C134" t="s">
        <v>19</v>
      </c>
      <c r="D134" t="s">
        <v>30</v>
      </c>
      <c r="E134" t="s">
        <v>31</v>
      </c>
      <c r="F134" t="s">
        <v>15</v>
      </c>
      <c r="G134" t="s">
        <v>16</v>
      </c>
      <c r="H134" t="s">
        <v>32</v>
      </c>
      <c r="I134">
        <v>3474.04</v>
      </c>
      <c r="J134">
        <v>42</v>
      </c>
      <c r="K134">
        <v>0</v>
      </c>
      <c r="L134" t="s">
        <v>18</v>
      </c>
      <c r="N134">
        <f t="shared" si="8"/>
        <v>1</v>
      </c>
      <c r="O134">
        <f t="shared" si="9"/>
        <v>2025</v>
      </c>
      <c r="P134" t="str">
        <f t="shared" si="10"/>
        <v>Friday</v>
      </c>
      <c r="Q134" t="str">
        <f t="shared" si="11"/>
        <v/>
      </c>
    </row>
    <row r="135" spans="1:17" x14ac:dyDescent="0.3">
      <c r="A135">
        <v>40133</v>
      </c>
      <c r="B135" s="1">
        <v>45681</v>
      </c>
      <c r="C135" t="s">
        <v>60</v>
      </c>
      <c r="D135" t="s">
        <v>39</v>
      </c>
      <c r="E135" t="s">
        <v>14</v>
      </c>
      <c r="F135" t="s">
        <v>40</v>
      </c>
      <c r="G135" t="s">
        <v>23</v>
      </c>
      <c r="H135" t="s">
        <v>17</v>
      </c>
      <c r="I135">
        <v>822.47</v>
      </c>
      <c r="J135">
        <v>100</v>
      </c>
      <c r="K135">
        <v>0</v>
      </c>
      <c r="L135" t="s">
        <v>33</v>
      </c>
      <c r="N135">
        <f t="shared" si="8"/>
        <v>1</v>
      </c>
      <c r="O135">
        <f t="shared" si="9"/>
        <v>2025</v>
      </c>
      <c r="P135" t="str">
        <f t="shared" si="10"/>
        <v>Friday</v>
      </c>
      <c r="Q135" t="str">
        <f t="shared" si="11"/>
        <v/>
      </c>
    </row>
    <row r="136" spans="1:17" x14ac:dyDescent="0.3">
      <c r="A136">
        <v>40134</v>
      </c>
      <c r="B136" s="1">
        <v>45740</v>
      </c>
      <c r="C136" t="s">
        <v>43</v>
      </c>
      <c r="D136" t="s">
        <v>49</v>
      </c>
      <c r="E136" t="s">
        <v>21</v>
      </c>
      <c r="F136" t="s">
        <v>48</v>
      </c>
      <c r="G136" t="s">
        <v>23</v>
      </c>
      <c r="H136" t="s">
        <v>17</v>
      </c>
      <c r="I136">
        <v>4064.97</v>
      </c>
      <c r="J136">
        <v>100</v>
      </c>
      <c r="K136">
        <v>5</v>
      </c>
      <c r="L136" t="s">
        <v>33</v>
      </c>
      <c r="N136">
        <f t="shared" si="8"/>
        <v>1</v>
      </c>
      <c r="O136">
        <f t="shared" si="9"/>
        <v>2025</v>
      </c>
      <c r="P136" t="str">
        <f t="shared" si="10"/>
        <v>Monday</v>
      </c>
      <c r="Q136" t="str">
        <f t="shared" si="11"/>
        <v>Marketing</v>
      </c>
    </row>
    <row r="137" spans="1:17" x14ac:dyDescent="0.3">
      <c r="A137">
        <v>40135</v>
      </c>
      <c r="B137" s="1">
        <v>45745</v>
      </c>
      <c r="C137" t="s">
        <v>12</v>
      </c>
      <c r="D137" t="s">
        <v>46</v>
      </c>
      <c r="E137" t="s">
        <v>47</v>
      </c>
      <c r="F137" t="s">
        <v>48</v>
      </c>
      <c r="G137" t="s">
        <v>16</v>
      </c>
      <c r="H137" t="s">
        <v>28</v>
      </c>
      <c r="I137">
        <v>626.58000000000004</v>
      </c>
      <c r="J137">
        <v>40</v>
      </c>
      <c r="K137">
        <v>0</v>
      </c>
      <c r="L137" t="s">
        <v>35</v>
      </c>
      <c r="N137">
        <f t="shared" si="8"/>
        <v>1</v>
      </c>
      <c r="O137">
        <f t="shared" si="9"/>
        <v>2025</v>
      </c>
      <c r="P137" t="str">
        <f t="shared" si="10"/>
        <v>Saturday</v>
      </c>
      <c r="Q137" t="str">
        <f t="shared" si="11"/>
        <v/>
      </c>
    </row>
    <row r="138" spans="1:17" x14ac:dyDescent="0.3">
      <c r="A138">
        <v>40136</v>
      </c>
      <c r="B138" s="1">
        <v>45903</v>
      </c>
      <c r="C138" t="s">
        <v>50</v>
      </c>
      <c r="D138" t="s">
        <v>58</v>
      </c>
      <c r="E138" t="s">
        <v>14</v>
      </c>
      <c r="F138" t="s">
        <v>48</v>
      </c>
      <c r="G138" t="s">
        <v>41</v>
      </c>
      <c r="H138" t="s">
        <v>32</v>
      </c>
      <c r="I138">
        <v>3019.47</v>
      </c>
      <c r="J138">
        <v>100</v>
      </c>
      <c r="K138">
        <v>4</v>
      </c>
      <c r="L138" t="s">
        <v>33</v>
      </c>
      <c r="N138">
        <f t="shared" si="8"/>
        <v>3</v>
      </c>
      <c r="O138">
        <f t="shared" si="9"/>
        <v>2025</v>
      </c>
      <c r="P138" t="str">
        <f t="shared" si="10"/>
        <v>Wednesday</v>
      </c>
      <c r="Q138" t="str">
        <f t="shared" si="11"/>
        <v/>
      </c>
    </row>
    <row r="139" spans="1:17" x14ac:dyDescent="0.3">
      <c r="A139">
        <v>40137</v>
      </c>
      <c r="B139" s="1">
        <v>45852</v>
      </c>
      <c r="C139" t="s">
        <v>54</v>
      </c>
      <c r="D139" t="s">
        <v>39</v>
      </c>
      <c r="E139" t="s">
        <v>14</v>
      </c>
      <c r="F139" t="s">
        <v>40</v>
      </c>
      <c r="G139" t="s">
        <v>23</v>
      </c>
      <c r="H139" t="s">
        <v>17</v>
      </c>
      <c r="I139">
        <v>822.47</v>
      </c>
      <c r="J139">
        <v>100</v>
      </c>
      <c r="K139">
        <v>5</v>
      </c>
      <c r="L139" t="s">
        <v>33</v>
      </c>
      <c r="N139">
        <f t="shared" si="8"/>
        <v>3</v>
      </c>
      <c r="O139">
        <f t="shared" si="9"/>
        <v>2025</v>
      </c>
      <c r="P139" t="str">
        <f t="shared" si="10"/>
        <v>Monday</v>
      </c>
      <c r="Q139" t="str">
        <f t="shared" si="11"/>
        <v>Web Development</v>
      </c>
    </row>
    <row r="140" spans="1:17" x14ac:dyDescent="0.3">
      <c r="A140">
        <v>40138</v>
      </c>
      <c r="B140" s="1">
        <v>45905</v>
      </c>
      <c r="C140" t="s">
        <v>38</v>
      </c>
      <c r="D140" t="s">
        <v>39</v>
      </c>
      <c r="E140" t="s">
        <v>14</v>
      </c>
      <c r="F140" t="s">
        <v>40</v>
      </c>
      <c r="G140" t="s">
        <v>16</v>
      </c>
      <c r="H140" t="s">
        <v>17</v>
      </c>
      <c r="I140">
        <v>822.47</v>
      </c>
      <c r="J140">
        <v>100</v>
      </c>
      <c r="K140">
        <v>4</v>
      </c>
      <c r="L140" t="s">
        <v>33</v>
      </c>
      <c r="N140">
        <f t="shared" si="8"/>
        <v>3</v>
      </c>
      <c r="O140">
        <f t="shared" si="9"/>
        <v>2025</v>
      </c>
      <c r="P140" t="str">
        <f t="shared" si="10"/>
        <v>Friday</v>
      </c>
      <c r="Q140" t="str">
        <f t="shared" si="11"/>
        <v/>
      </c>
    </row>
    <row r="141" spans="1:17" x14ac:dyDescent="0.3">
      <c r="A141">
        <v>40139</v>
      </c>
      <c r="B141" s="1">
        <v>45934</v>
      </c>
      <c r="C141" t="s">
        <v>36</v>
      </c>
      <c r="D141" t="s">
        <v>55</v>
      </c>
      <c r="E141" t="s">
        <v>31</v>
      </c>
      <c r="F141" t="s">
        <v>22</v>
      </c>
      <c r="G141" t="s">
        <v>16</v>
      </c>
      <c r="H141" t="s">
        <v>32</v>
      </c>
      <c r="I141">
        <v>1569.15</v>
      </c>
      <c r="J141">
        <v>21</v>
      </c>
      <c r="K141">
        <v>0</v>
      </c>
      <c r="L141" t="s">
        <v>35</v>
      </c>
      <c r="N141">
        <f t="shared" si="8"/>
        <v>4</v>
      </c>
      <c r="O141">
        <f t="shared" si="9"/>
        <v>2025</v>
      </c>
      <c r="P141" t="str">
        <f t="shared" si="10"/>
        <v>Saturday</v>
      </c>
      <c r="Q141" t="str">
        <f t="shared" si="11"/>
        <v/>
      </c>
    </row>
    <row r="142" spans="1:17" x14ac:dyDescent="0.3">
      <c r="A142">
        <v>40140</v>
      </c>
      <c r="B142" s="1">
        <v>45910</v>
      </c>
      <c r="C142" t="s">
        <v>54</v>
      </c>
      <c r="D142" t="s">
        <v>55</v>
      </c>
      <c r="E142" t="s">
        <v>31</v>
      </c>
      <c r="F142" t="s">
        <v>22</v>
      </c>
      <c r="G142" t="s">
        <v>16</v>
      </c>
      <c r="H142" t="s">
        <v>32</v>
      </c>
      <c r="I142">
        <v>1569.15</v>
      </c>
      <c r="J142">
        <v>51</v>
      </c>
      <c r="K142">
        <v>0</v>
      </c>
      <c r="L142" t="s">
        <v>18</v>
      </c>
      <c r="N142">
        <f t="shared" si="8"/>
        <v>3</v>
      </c>
      <c r="O142">
        <f t="shared" si="9"/>
        <v>2025</v>
      </c>
      <c r="P142" t="str">
        <f t="shared" si="10"/>
        <v>Wednesday</v>
      </c>
      <c r="Q142" t="str">
        <f t="shared" si="11"/>
        <v/>
      </c>
    </row>
    <row r="143" spans="1:17" x14ac:dyDescent="0.3">
      <c r="A143">
        <v>40141</v>
      </c>
      <c r="B143" s="1">
        <v>45926</v>
      </c>
      <c r="C143" t="s">
        <v>50</v>
      </c>
      <c r="D143" t="s">
        <v>39</v>
      </c>
      <c r="E143" t="s">
        <v>14</v>
      </c>
      <c r="F143" t="s">
        <v>40</v>
      </c>
      <c r="G143" t="s">
        <v>41</v>
      </c>
      <c r="H143" t="s">
        <v>17</v>
      </c>
      <c r="I143">
        <v>822.47</v>
      </c>
      <c r="J143">
        <v>68</v>
      </c>
      <c r="K143">
        <v>0</v>
      </c>
      <c r="L143" t="s">
        <v>18</v>
      </c>
      <c r="N143">
        <f t="shared" si="8"/>
        <v>3</v>
      </c>
      <c r="O143">
        <f t="shared" si="9"/>
        <v>2025</v>
      </c>
      <c r="P143" t="str">
        <f t="shared" si="10"/>
        <v>Friday</v>
      </c>
      <c r="Q143" t="str">
        <f t="shared" si="11"/>
        <v/>
      </c>
    </row>
    <row r="144" spans="1:17" x14ac:dyDescent="0.3">
      <c r="A144">
        <v>40142</v>
      </c>
      <c r="B144" s="1">
        <v>46018</v>
      </c>
      <c r="C144" t="s">
        <v>29</v>
      </c>
      <c r="D144" t="s">
        <v>59</v>
      </c>
      <c r="E144" t="s">
        <v>14</v>
      </c>
      <c r="F144" t="s">
        <v>22</v>
      </c>
      <c r="G144" t="s">
        <v>23</v>
      </c>
      <c r="H144" t="s">
        <v>32</v>
      </c>
      <c r="I144">
        <v>4988.7700000000004</v>
      </c>
      <c r="J144">
        <v>100</v>
      </c>
      <c r="K144">
        <v>4</v>
      </c>
      <c r="L144" t="s">
        <v>33</v>
      </c>
      <c r="N144">
        <f t="shared" si="8"/>
        <v>4</v>
      </c>
      <c r="O144">
        <f t="shared" si="9"/>
        <v>2025</v>
      </c>
      <c r="P144" t="str">
        <f t="shared" si="10"/>
        <v>Saturday</v>
      </c>
      <c r="Q144" t="str">
        <f t="shared" si="11"/>
        <v/>
      </c>
    </row>
    <row r="145" spans="1:17" x14ac:dyDescent="0.3">
      <c r="A145">
        <v>40143</v>
      </c>
      <c r="B145" s="1">
        <v>45888</v>
      </c>
      <c r="C145" t="s">
        <v>60</v>
      </c>
      <c r="D145" t="s">
        <v>20</v>
      </c>
      <c r="E145" t="s">
        <v>21</v>
      </c>
      <c r="F145" t="s">
        <v>22</v>
      </c>
      <c r="G145" t="s">
        <v>16</v>
      </c>
      <c r="H145" t="s">
        <v>17</v>
      </c>
      <c r="I145">
        <v>1990.7</v>
      </c>
      <c r="J145">
        <v>100</v>
      </c>
      <c r="K145">
        <v>4</v>
      </c>
      <c r="L145" t="s">
        <v>33</v>
      </c>
      <c r="N145">
        <f t="shared" si="8"/>
        <v>3</v>
      </c>
      <c r="O145">
        <f t="shared" si="9"/>
        <v>2025</v>
      </c>
      <c r="P145" t="str">
        <f t="shared" si="10"/>
        <v>Tuesday</v>
      </c>
      <c r="Q145" t="str">
        <f t="shared" si="11"/>
        <v/>
      </c>
    </row>
    <row r="146" spans="1:17" x14ac:dyDescent="0.3">
      <c r="A146">
        <v>40144</v>
      </c>
      <c r="B146" s="1">
        <v>45707</v>
      </c>
      <c r="C146" t="s">
        <v>56</v>
      </c>
      <c r="D146" t="s">
        <v>37</v>
      </c>
      <c r="E146" t="s">
        <v>26</v>
      </c>
      <c r="F146" t="s">
        <v>22</v>
      </c>
      <c r="G146" t="s">
        <v>23</v>
      </c>
      <c r="H146" t="s">
        <v>32</v>
      </c>
      <c r="I146">
        <v>2612.4899999999998</v>
      </c>
      <c r="J146">
        <v>100</v>
      </c>
      <c r="K146">
        <v>0</v>
      </c>
      <c r="L146" t="s">
        <v>33</v>
      </c>
      <c r="N146">
        <f t="shared" si="8"/>
        <v>1</v>
      </c>
      <c r="O146">
        <f t="shared" si="9"/>
        <v>2025</v>
      </c>
      <c r="P146" t="str">
        <f t="shared" si="10"/>
        <v>Wednesday</v>
      </c>
      <c r="Q146" t="str">
        <f t="shared" si="11"/>
        <v/>
      </c>
    </row>
    <row r="147" spans="1:17" x14ac:dyDescent="0.3">
      <c r="A147">
        <v>40145</v>
      </c>
      <c r="B147" s="1">
        <v>45877</v>
      </c>
      <c r="C147" t="s">
        <v>51</v>
      </c>
      <c r="D147" t="s">
        <v>59</v>
      </c>
      <c r="E147" t="s">
        <v>14</v>
      </c>
      <c r="F147" t="s">
        <v>22</v>
      </c>
      <c r="G147" t="s">
        <v>23</v>
      </c>
      <c r="H147" t="s">
        <v>32</v>
      </c>
      <c r="I147">
        <v>4988.7700000000004</v>
      </c>
      <c r="J147">
        <v>100</v>
      </c>
      <c r="K147">
        <v>4</v>
      </c>
      <c r="L147" t="s">
        <v>33</v>
      </c>
      <c r="N147">
        <f t="shared" si="8"/>
        <v>3</v>
      </c>
      <c r="O147">
        <f t="shared" si="9"/>
        <v>2025</v>
      </c>
      <c r="P147" t="str">
        <f t="shared" si="10"/>
        <v>Friday</v>
      </c>
      <c r="Q147" t="str">
        <f t="shared" si="11"/>
        <v/>
      </c>
    </row>
    <row r="148" spans="1:17" x14ac:dyDescent="0.3">
      <c r="A148">
        <v>40146</v>
      </c>
      <c r="B148" s="1">
        <v>45741</v>
      </c>
      <c r="C148" t="s">
        <v>42</v>
      </c>
      <c r="D148" t="s">
        <v>52</v>
      </c>
      <c r="E148" t="s">
        <v>47</v>
      </c>
      <c r="F148" t="s">
        <v>53</v>
      </c>
      <c r="G148" t="s">
        <v>41</v>
      </c>
      <c r="H148" t="s">
        <v>17</v>
      </c>
      <c r="I148">
        <v>2978.44</v>
      </c>
      <c r="J148">
        <v>61</v>
      </c>
      <c r="K148">
        <v>0</v>
      </c>
      <c r="L148" t="s">
        <v>18</v>
      </c>
      <c r="N148">
        <f t="shared" si="8"/>
        <v>1</v>
      </c>
      <c r="O148">
        <f t="shared" si="9"/>
        <v>2025</v>
      </c>
      <c r="P148" t="str">
        <f t="shared" si="10"/>
        <v>Tuesday</v>
      </c>
      <c r="Q148" t="str">
        <f t="shared" si="11"/>
        <v/>
      </c>
    </row>
    <row r="149" spans="1:17" x14ac:dyDescent="0.3">
      <c r="A149">
        <v>40147</v>
      </c>
      <c r="B149" s="1">
        <v>45828</v>
      </c>
      <c r="C149" t="s">
        <v>63</v>
      </c>
      <c r="D149" t="s">
        <v>58</v>
      </c>
      <c r="E149" t="s">
        <v>14</v>
      </c>
      <c r="F149" t="s">
        <v>48</v>
      </c>
      <c r="G149" t="s">
        <v>16</v>
      </c>
      <c r="H149" t="s">
        <v>32</v>
      </c>
      <c r="I149">
        <v>3019.47</v>
      </c>
      <c r="J149">
        <v>1</v>
      </c>
      <c r="K149">
        <v>0</v>
      </c>
      <c r="L149" t="s">
        <v>35</v>
      </c>
      <c r="N149">
        <f t="shared" si="8"/>
        <v>2</v>
      </c>
      <c r="O149">
        <f t="shared" si="9"/>
        <v>2025</v>
      </c>
      <c r="P149" t="str">
        <f t="shared" si="10"/>
        <v>Friday</v>
      </c>
      <c r="Q149" t="str">
        <f t="shared" si="11"/>
        <v/>
      </c>
    </row>
    <row r="150" spans="1:17" x14ac:dyDescent="0.3">
      <c r="A150">
        <v>40148</v>
      </c>
      <c r="B150" s="1">
        <v>45975</v>
      </c>
      <c r="C150" t="s">
        <v>19</v>
      </c>
      <c r="D150" t="s">
        <v>59</v>
      </c>
      <c r="E150" t="s">
        <v>14</v>
      </c>
      <c r="F150" t="s">
        <v>22</v>
      </c>
      <c r="G150" t="s">
        <v>23</v>
      </c>
      <c r="H150" t="s">
        <v>32</v>
      </c>
      <c r="I150">
        <v>4988.7700000000004</v>
      </c>
      <c r="J150">
        <v>100</v>
      </c>
      <c r="K150">
        <v>3</v>
      </c>
      <c r="L150" t="s">
        <v>33</v>
      </c>
      <c r="N150">
        <f t="shared" si="8"/>
        <v>4</v>
      </c>
      <c r="O150">
        <f t="shared" si="9"/>
        <v>2025</v>
      </c>
      <c r="P150" t="str">
        <f t="shared" si="10"/>
        <v>Friday</v>
      </c>
      <c r="Q150" t="str">
        <f t="shared" si="11"/>
        <v/>
      </c>
    </row>
    <row r="151" spans="1:17" x14ac:dyDescent="0.3">
      <c r="A151">
        <v>40149</v>
      </c>
      <c r="B151" s="1">
        <v>45863</v>
      </c>
      <c r="C151" t="s">
        <v>42</v>
      </c>
      <c r="D151" t="s">
        <v>55</v>
      </c>
      <c r="E151" t="s">
        <v>31</v>
      </c>
      <c r="F151" t="s">
        <v>22</v>
      </c>
      <c r="G151" t="s">
        <v>23</v>
      </c>
      <c r="H151" t="s">
        <v>32</v>
      </c>
      <c r="I151">
        <v>1569.15</v>
      </c>
      <c r="J151">
        <v>100</v>
      </c>
      <c r="K151">
        <v>5</v>
      </c>
      <c r="L151" t="s">
        <v>33</v>
      </c>
      <c r="N151">
        <f t="shared" si="8"/>
        <v>3</v>
      </c>
      <c r="O151">
        <f t="shared" si="9"/>
        <v>2025</v>
      </c>
      <c r="P151" t="str">
        <f t="shared" si="10"/>
        <v>Friday</v>
      </c>
      <c r="Q151" t="str">
        <f t="shared" si="11"/>
        <v>Finance</v>
      </c>
    </row>
    <row r="152" spans="1:17" x14ac:dyDescent="0.3">
      <c r="A152">
        <v>40150</v>
      </c>
      <c r="B152" s="1">
        <v>45939</v>
      </c>
      <c r="C152" t="s">
        <v>56</v>
      </c>
      <c r="D152" t="s">
        <v>37</v>
      </c>
      <c r="E152" t="s">
        <v>26</v>
      </c>
      <c r="F152" t="s">
        <v>22</v>
      </c>
      <c r="G152" t="s">
        <v>16</v>
      </c>
      <c r="H152" t="s">
        <v>32</v>
      </c>
      <c r="I152">
        <v>2612.4899999999998</v>
      </c>
      <c r="J152">
        <v>100</v>
      </c>
      <c r="K152">
        <v>5</v>
      </c>
      <c r="L152" t="s">
        <v>33</v>
      </c>
      <c r="N152">
        <f t="shared" si="8"/>
        <v>4</v>
      </c>
      <c r="O152">
        <f t="shared" si="9"/>
        <v>2025</v>
      </c>
      <c r="P152" t="str">
        <f t="shared" si="10"/>
        <v>Thursday</v>
      </c>
      <c r="Q152" t="str">
        <f t="shared" si="11"/>
        <v>Design</v>
      </c>
    </row>
    <row r="153" spans="1:17" x14ac:dyDescent="0.3">
      <c r="A153">
        <v>40151</v>
      </c>
      <c r="B153" s="1">
        <v>45984</v>
      </c>
      <c r="C153" t="s">
        <v>61</v>
      </c>
      <c r="D153" t="s">
        <v>52</v>
      </c>
      <c r="E153" t="s">
        <v>47</v>
      </c>
      <c r="F153" t="s">
        <v>53</v>
      </c>
      <c r="G153" t="s">
        <v>41</v>
      </c>
      <c r="H153" t="s">
        <v>17</v>
      </c>
      <c r="I153">
        <v>2978.44</v>
      </c>
      <c r="J153">
        <v>100</v>
      </c>
      <c r="K153">
        <v>5</v>
      </c>
      <c r="L153" t="s">
        <v>33</v>
      </c>
      <c r="N153">
        <f t="shared" si="8"/>
        <v>4</v>
      </c>
      <c r="O153">
        <f t="shared" si="9"/>
        <v>2025</v>
      </c>
      <c r="P153" t="str">
        <f t="shared" si="10"/>
        <v>Sunday</v>
      </c>
      <c r="Q153" t="str">
        <f t="shared" si="11"/>
        <v>Data Science</v>
      </c>
    </row>
    <row r="154" spans="1:17" x14ac:dyDescent="0.3">
      <c r="A154">
        <v>40152</v>
      </c>
      <c r="B154" s="1">
        <v>45764</v>
      </c>
      <c r="C154" t="s">
        <v>12</v>
      </c>
      <c r="D154" t="s">
        <v>25</v>
      </c>
      <c r="E154" t="s">
        <v>26</v>
      </c>
      <c r="F154" t="s">
        <v>27</v>
      </c>
      <c r="G154" t="s">
        <v>23</v>
      </c>
      <c r="H154" t="s">
        <v>28</v>
      </c>
      <c r="I154">
        <v>1386.91</v>
      </c>
      <c r="J154">
        <v>100</v>
      </c>
      <c r="K154">
        <v>5</v>
      </c>
      <c r="L154" t="s">
        <v>33</v>
      </c>
      <c r="N154">
        <f t="shared" si="8"/>
        <v>2</v>
      </c>
      <c r="O154">
        <f t="shared" si="9"/>
        <v>2025</v>
      </c>
      <c r="P154" t="str">
        <f t="shared" si="10"/>
        <v>Thursday</v>
      </c>
      <c r="Q154" t="str">
        <f t="shared" si="11"/>
        <v>Design</v>
      </c>
    </row>
    <row r="155" spans="1:17" x14ac:dyDescent="0.3">
      <c r="A155">
        <v>40153</v>
      </c>
      <c r="B155" s="1">
        <v>45731</v>
      </c>
      <c r="C155" t="s">
        <v>44</v>
      </c>
      <c r="D155" t="s">
        <v>59</v>
      </c>
      <c r="E155" t="s">
        <v>14</v>
      </c>
      <c r="F155" t="s">
        <v>22</v>
      </c>
      <c r="G155" t="s">
        <v>16</v>
      </c>
      <c r="H155" t="s">
        <v>32</v>
      </c>
      <c r="I155">
        <v>4988.7700000000004</v>
      </c>
      <c r="J155">
        <v>15</v>
      </c>
      <c r="K155">
        <v>0</v>
      </c>
      <c r="L155" t="s">
        <v>35</v>
      </c>
      <c r="N155">
        <f t="shared" si="8"/>
        <v>1</v>
      </c>
      <c r="O155">
        <f t="shared" si="9"/>
        <v>2025</v>
      </c>
      <c r="P155" t="str">
        <f t="shared" si="10"/>
        <v>Saturday</v>
      </c>
      <c r="Q155" t="str">
        <f t="shared" si="11"/>
        <v/>
      </c>
    </row>
    <row r="156" spans="1:17" x14ac:dyDescent="0.3">
      <c r="A156">
        <v>40154</v>
      </c>
      <c r="B156" s="1">
        <v>45936</v>
      </c>
      <c r="C156" t="s">
        <v>38</v>
      </c>
      <c r="D156" t="s">
        <v>20</v>
      </c>
      <c r="E156" t="s">
        <v>21</v>
      </c>
      <c r="F156" t="s">
        <v>22</v>
      </c>
      <c r="G156" t="s">
        <v>16</v>
      </c>
      <c r="H156" t="s">
        <v>17</v>
      </c>
      <c r="I156">
        <v>1990.7</v>
      </c>
      <c r="J156">
        <v>100</v>
      </c>
      <c r="K156">
        <v>5</v>
      </c>
      <c r="L156" t="s">
        <v>33</v>
      </c>
      <c r="N156">
        <f t="shared" si="8"/>
        <v>4</v>
      </c>
      <c r="O156">
        <f t="shared" si="9"/>
        <v>2025</v>
      </c>
      <c r="P156" t="str">
        <f t="shared" si="10"/>
        <v>Monday</v>
      </c>
      <c r="Q156" t="str">
        <f t="shared" si="11"/>
        <v>Marketing</v>
      </c>
    </row>
    <row r="157" spans="1:17" x14ac:dyDescent="0.3">
      <c r="A157">
        <v>40155</v>
      </c>
      <c r="B157" s="1">
        <v>45836</v>
      </c>
      <c r="C157" t="s">
        <v>12</v>
      </c>
      <c r="D157" t="s">
        <v>25</v>
      </c>
      <c r="E157" t="s">
        <v>26</v>
      </c>
      <c r="F157" t="s">
        <v>27</v>
      </c>
      <c r="G157" t="s">
        <v>16</v>
      </c>
      <c r="H157" t="s">
        <v>28</v>
      </c>
      <c r="I157">
        <v>1386.91</v>
      </c>
      <c r="J157">
        <v>100</v>
      </c>
      <c r="K157">
        <v>4</v>
      </c>
      <c r="L157" t="s">
        <v>33</v>
      </c>
      <c r="N157">
        <f t="shared" si="8"/>
        <v>2</v>
      </c>
      <c r="O157">
        <f t="shared" si="9"/>
        <v>2025</v>
      </c>
      <c r="P157" t="str">
        <f t="shared" si="10"/>
        <v>Saturday</v>
      </c>
      <c r="Q157" t="str">
        <f t="shared" si="11"/>
        <v/>
      </c>
    </row>
    <row r="158" spans="1:17" x14ac:dyDescent="0.3">
      <c r="A158">
        <v>40156</v>
      </c>
      <c r="B158" s="1">
        <v>45925</v>
      </c>
      <c r="C158" t="s">
        <v>29</v>
      </c>
      <c r="D158" t="s">
        <v>49</v>
      </c>
      <c r="E158" t="s">
        <v>21</v>
      </c>
      <c r="F158" t="s">
        <v>48</v>
      </c>
      <c r="G158" t="s">
        <v>23</v>
      </c>
      <c r="H158" t="s">
        <v>17</v>
      </c>
      <c r="I158">
        <v>4064.97</v>
      </c>
      <c r="J158">
        <v>49</v>
      </c>
      <c r="K158">
        <v>0</v>
      </c>
      <c r="L158" t="s">
        <v>18</v>
      </c>
      <c r="N158">
        <f t="shared" si="8"/>
        <v>3</v>
      </c>
      <c r="O158">
        <f t="shared" si="9"/>
        <v>2025</v>
      </c>
      <c r="P158" t="str">
        <f t="shared" si="10"/>
        <v>Thursday</v>
      </c>
      <c r="Q158" t="str">
        <f t="shared" si="11"/>
        <v/>
      </c>
    </row>
    <row r="159" spans="1:17" x14ac:dyDescent="0.3">
      <c r="A159">
        <v>40157</v>
      </c>
      <c r="B159" s="1">
        <v>45669</v>
      </c>
      <c r="C159" t="s">
        <v>61</v>
      </c>
      <c r="D159" t="s">
        <v>49</v>
      </c>
      <c r="E159" t="s">
        <v>21</v>
      </c>
      <c r="F159" t="s">
        <v>48</v>
      </c>
      <c r="G159" t="s">
        <v>23</v>
      </c>
      <c r="H159" t="s">
        <v>17</v>
      </c>
      <c r="I159">
        <v>4064.97</v>
      </c>
      <c r="J159">
        <v>20</v>
      </c>
      <c r="K159">
        <v>0</v>
      </c>
      <c r="L159" t="s">
        <v>35</v>
      </c>
      <c r="N159">
        <f t="shared" si="8"/>
        <v>1</v>
      </c>
      <c r="O159">
        <f t="shared" si="9"/>
        <v>2025</v>
      </c>
      <c r="P159" t="str">
        <f t="shared" si="10"/>
        <v>Sunday</v>
      </c>
      <c r="Q159" t="str">
        <f t="shared" si="11"/>
        <v/>
      </c>
    </row>
    <row r="160" spans="1:17" x14ac:dyDescent="0.3">
      <c r="A160">
        <v>40158</v>
      </c>
      <c r="B160" s="1">
        <v>45792</v>
      </c>
      <c r="C160" t="s">
        <v>61</v>
      </c>
      <c r="D160" t="s">
        <v>39</v>
      </c>
      <c r="E160" t="s">
        <v>14</v>
      </c>
      <c r="F160" t="s">
        <v>40</v>
      </c>
      <c r="G160" t="s">
        <v>41</v>
      </c>
      <c r="H160" t="s">
        <v>17</v>
      </c>
      <c r="I160">
        <v>822.47</v>
      </c>
      <c r="J160">
        <v>9</v>
      </c>
      <c r="K160">
        <v>0</v>
      </c>
      <c r="L160" t="s">
        <v>18</v>
      </c>
      <c r="N160">
        <f t="shared" si="8"/>
        <v>2</v>
      </c>
      <c r="O160">
        <f t="shared" si="9"/>
        <v>2025</v>
      </c>
      <c r="P160" t="str">
        <f t="shared" si="10"/>
        <v>Thursday</v>
      </c>
      <c r="Q160" t="str">
        <f t="shared" si="11"/>
        <v/>
      </c>
    </row>
    <row r="161" spans="1:17" x14ac:dyDescent="0.3">
      <c r="A161">
        <v>40159</v>
      </c>
      <c r="B161" s="1">
        <v>45917</v>
      </c>
      <c r="C161" t="s">
        <v>56</v>
      </c>
      <c r="D161" t="s">
        <v>58</v>
      </c>
      <c r="E161" t="s">
        <v>14</v>
      </c>
      <c r="F161" t="s">
        <v>48</v>
      </c>
      <c r="G161" t="s">
        <v>23</v>
      </c>
      <c r="H161" t="s">
        <v>32</v>
      </c>
      <c r="I161">
        <v>3019.47</v>
      </c>
      <c r="J161">
        <v>37</v>
      </c>
      <c r="K161">
        <v>0</v>
      </c>
      <c r="L161" t="s">
        <v>18</v>
      </c>
      <c r="N161">
        <f t="shared" si="8"/>
        <v>3</v>
      </c>
      <c r="O161">
        <f t="shared" si="9"/>
        <v>2025</v>
      </c>
      <c r="P161" t="str">
        <f t="shared" si="10"/>
        <v>Wednesday</v>
      </c>
      <c r="Q161" t="str">
        <f t="shared" si="11"/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Formula Test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0</cp:revision>
  <dcterms:created xsi:type="dcterms:W3CDTF">2026-07-09T05:07:15Z</dcterms:created>
  <dcterms:modified xsi:type="dcterms:W3CDTF">2026-07-09T07:46:35Z</dcterms:modified>
  <dc:language>en-US</dc:language>
</cp:coreProperties>
</file>