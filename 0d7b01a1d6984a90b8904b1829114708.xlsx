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4EF3A9AE-4154-42B2-A898-AAECCAD0465E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Data" sheetId="2" r:id="rId1"/>
    <sheet name="Index" sheetId="1" r:id="rId2"/>
    <sheet name="ans 1" sheetId="3" r:id="rId3"/>
    <sheet name="ans 2" sheetId="4" r:id="rId4"/>
    <sheet name="Sheet3" sheetId="5" r:id="rId5"/>
    <sheet name="ans 4" sheetId="6" r:id="rId6"/>
    <sheet name="ans 4 (copied chart)" sheetId="7" r:id="rId7"/>
    <sheet name="ans 5" sheetId="8" r:id="rId8"/>
    <sheet name="ans 6 " sheetId="9" r:id="rId9"/>
    <sheet name="ans 7 " sheetId="12" r:id="rId10"/>
    <sheet name="ans 7" sheetId="10" r:id="rId11"/>
  </sheets>
  <calcPr calcId="0"/>
  <pivotCaches>
    <pivotCache cacheId="10" r:id="rId12"/>
    <pivotCache cacheId="8" r:id="rId13"/>
    <pivotCache cacheId="14" r:id="rId14"/>
    <pivotCache cacheId="24" r:id="rId15"/>
  </pivotCaches>
</workbook>
</file>

<file path=xl/sharedStrings.xml><?xml version="1.0" encoding="utf-8"?>
<sst xmlns="http://schemas.openxmlformats.org/spreadsheetml/2006/main" count="192" uniqueCount="59">
  <si>
    <t>Charts</t>
  </si>
  <si>
    <r>
      <rPr>
        <b/>
        <sz val="11"/>
        <color rgb="FF000000"/>
        <rFont val="Calibri, sans-serif"/>
      </rPr>
      <t xml:space="preserve">1 Adjust Gridline Color in Excel Charts
</t>
    </r>
    <r>
      <rPr>
        <sz val="11"/>
        <color rgb="FF000000"/>
        <rFont val="Calibri, sans-serif"/>
      </rPr>
      <t>Create a 3D Column Chart using the Date and Sales columns. Display the Primary Major Vertical Gridlines on the chart, and set the color of the Primary Major Horizontal Gridlines to Red.</t>
    </r>
  </si>
  <si>
    <r>
      <rPr>
        <b/>
        <sz val="11"/>
        <color rgb="FF000000"/>
        <rFont val="Calibri, sans-serif"/>
      </rPr>
      <t xml:space="preserve">2 Create a Combo Chart
</t>
    </r>
    <r>
      <rPr>
        <sz val="11"/>
        <color rgb="FF000000"/>
        <rFont val="Calibri, sans-serif"/>
      </rPr>
      <t>Using the Date, Cost, and Sales columns, create a Combo Chart with two chart types for effective visualization.</t>
    </r>
  </si>
  <si>
    <r>
      <rPr>
        <b/>
        <sz val="11"/>
        <color rgb="FF000000"/>
        <rFont val="Calibri, sans-serif"/>
      </rPr>
      <t>3 Pie Chart by Count of Values</t>
    </r>
    <r>
      <rPr>
        <sz val="11"/>
        <color rgb="FF000000"/>
        <rFont val="Calibri, sans-serif"/>
      </rPr>
      <t xml:space="preserve"> 
Generate a table showing the count of each Client in the dataset. Then, create a Pie Chart based on that summary table to visualize the proportion of transactions by each Client.</t>
    </r>
  </si>
  <si>
    <r>
      <rPr>
        <b/>
        <sz val="11"/>
        <color rgb="FF000000"/>
        <rFont val="Calibri, sans-serif"/>
      </rPr>
      <t xml:space="preserve">4 Copy Chart in Excel without Linking Data
</t>
    </r>
    <r>
      <rPr>
        <sz val="11"/>
        <color rgb="FF000000"/>
        <rFont val="Calibri, sans-serif"/>
      </rPr>
      <t>Create a Line Chart using the Cost and Sales columns. After creating the chart, copy it to a new sheet or location and break the link between the chart and the source data, so the chart remains static.</t>
    </r>
  </si>
  <si>
    <r>
      <rPr>
        <b/>
        <sz val="11"/>
        <color rgb="FF000000"/>
        <rFont val="Calibri, sans-serif"/>
      </rPr>
      <t xml:space="preserve">5 Change Chart Style
</t>
    </r>
    <r>
      <rPr>
        <sz val="11"/>
        <color rgb="FF000000"/>
        <rFont val="Calibri, sans-serif"/>
      </rPr>
      <t>Create a 2D Clustered Bar Chart using the Invoice and Cost columns. Add Axis Titles, Data Labels, and modify the Chart Title. Finally, apply Chart Style 12 for enhanced appearance.</t>
    </r>
  </si>
  <si>
    <r>
      <rPr>
        <b/>
        <sz val="11"/>
        <color rgb="FF000000"/>
        <rFont val="Calibri, sans-serif"/>
      </rPr>
      <t xml:space="preserve">6 Add Secondary Axis to Chart
</t>
    </r>
    <r>
      <rPr>
        <sz val="11"/>
        <color rgb="FF000000"/>
        <rFont val="Calibri, sans-serif"/>
      </rPr>
      <t>Create a Line Chart using the Cost and Misc. Fees columns. Configure the chart to plot Misc. Fees on a Secondary Axis for better comparison.</t>
    </r>
  </si>
  <si>
    <r>
      <rPr>
        <b/>
        <sz val="11"/>
        <color rgb="FF000000"/>
        <rFont val="Calibri, sans-serif"/>
      </rPr>
      <t xml:space="preserve">7 Millions on Data Labels
</t>
    </r>
    <r>
      <rPr>
        <sz val="11"/>
        <color rgb="FF000000"/>
        <rFont val="Calibri, sans-serif"/>
      </rPr>
      <t>Copy the Invoice and Sales columns. Format the Sales data to display in millions (e.g., 1,000,000 as 1M). Then, create a chart that clearly reflects this formatting in its data labels.</t>
    </r>
  </si>
  <si>
    <t>Chart Exercises in Excel</t>
  </si>
  <si>
    <t>Date</t>
  </si>
  <si>
    <t>Client</t>
  </si>
  <si>
    <t>Region</t>
  </si>
  <si>
    <t>Invoice</t>
  </si>
  <si>
    <t>Misc. Fees</t>
  </si>
  <si>
    <t>Cost</t>
  </si>
  <si>
    <t>Sales</t>
  </si>
  <si>
    <t>ABC Corporation</t>
  </si>
  <si>
    <t>South</t>
  </si>
  <si>
    <t>SFC-154</t>
  </si>
  <si>
    <t>Bridges Company</t>
  </si>
  <si>
    <t>East</t>
  </si>
  <si>
    <t>SFC-156</t>
  </si>
  <si>
    <t>Timefall Inc.</t>
  </si>
  <si>
    <t>SFC-167</t>
  </si>
  <si>
    <t>Chiral Corporation</t>
  </si>
  <si>
    <t>North</t>
  </si>
  <si>
    <t>SFC-170</t>
  </si>
  <si>
    <t>Titan Industries</t>
  </si>
  <si>
    <t>West</t>
  </si>
  <si>
    <t>SFC-175</t>
  </si>
  <si>
    <t>Eagle Security</t>
  </si>
  <si>
    <t>SFC-180</t>
  </si>
  <si>
    <t>Sol Company</t>
  </si>
  <si>
    <t>SFC-210</t>
  </si>
  <si>
    <t>SFC-216</t>
  </si>
  <si>
    <t>SFC-219</t>
  </si>
  <si>
    <t>SFC-244</t>
  </si>
  <si>
    <t>SFC-209</t>
  </si>
  <si>
    <t>SFC-203</t>
  </si>
  <si>
    <t>SFC-213</t>
  </si>
  <si>
    <t>SFC-230</t>
  </si>
  <si>
    <t>SFC-237</t>
  </si>
  <si>
    <t>SFC-183</t>
  </si>
  <si>
    <t>SFC-240</t>
  </si>
  <si>
    <t>SFC-178</t>
  </si>
  <si>
    <t>SFC-228</t>
  </si>
  <si>
    <t>SFC-182</t>
  </si>
  <si>
    <t>SFC-189</t>
  </si>
  <si>
    <t>SFC-196</t>
  </si>
  <si>
    <t>SFC-247</t>
  </si>
  <si>
    <t>Row Labels</t>
  </si>
  <si>
    <t>Grand Total</t>
  </si>
  <si>
    <t>2019</t>
  </si>
  <si>
    <t>2020</t>
  </si>
  <si>
    <t>Sum of Sales</t>
  </si>
  <si>
    <t>Sum of Cost</t>
  </si>
  <si>
    <t>Sum of Misc. Fees</t>
  </si>
  <si>
    <t>7 Millions on Data Labels</t>
  </si>
  <si>
    <t>Copy the Invoice and Sales columns. Format the Sales data to display in millions (e.g., 1,000,000 as 1M). Then, create a chart that clearly reflects this formatting in its data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</si>
</sst>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"/>
    <numFmt numFmtId="165" formatCode="&quot;$&quot;#,##0"/>
    <numFmt numFmtId="166" formatCode="d/m/yyyy"/>
    <numFmt numFmtId="167" formatCode="&quot;$&quot;0.00,,&quot;M&quot;"/>
  </numFmts>
  <fonts count="10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b/>
      <sz val="16"/>
      <color theme="0"/>
      <name val="Calibri"/>
    </font>
    <font>
      <b/>
      <sz val="14"/>
      <color theme="1"/>
      <name val="Calibri"/>
    </font>
    <font>
      <b/>
      <sz val="11"/>
      <color rgb="FF000000"/>
      <name val="Calibri, sans-serif"/>
    </font>
    <font>
      <sz val="11"/>
      <color rgb="FF000000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6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67" fontId="5" fillId="0" borderId="1" xfId="0" applyNumberFormat="1" applyFont="1" applyBorder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Column chart- Date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'ans 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 1'!$A$2:$A$4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'ans 1'!$B$2:$B$4</c:f>
              <c:numCache>
                <c:formatCode>"$"#,##0</c:formatCode>
                <c:ptCount val="2"/>
                <c:pt idx="0">
                  <c:v>56998122</c:v>
                </c:pt>
                <c:pt idx="1">
                  <c:v>26887715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9-4888-A8C5-10C8C0C213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88998815"/>
        <c:axId val="2089017055"/>
        <c:axId val="55251295"/>
      </c:bar3DChart>
      <c:catAx>
        <c:axId val="2088998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17055"/>
        <c:crosses val="autoZero"/>
        <c:auto val="1"/>
        <c:lblAlgn val="ctr"/>
        <c:lblOffset val="100"/>
        <c:noMultiLvlLbl val="0"/>
      </c:catAx>
      <c:valAx>
        <c:axId val="208901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98815"/>
        <c:crosses val="autoZero"/>
        <c:crossBetween val="between"/>
      </c:valAx>
      <c:serAx>
        <c:axId val="55251295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170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</a:t>
            </a:r>
            <a:r>
              <a:rPr lang="en-US" baseline="0"/>
              <a:t> Chart - Date, Sales and Cost Columns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2'!$B$1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 2'!$A$2:$A$4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'ans 2'!$B$2:$B$4</c:f>
              <c:numCache>
                <c:formatCode>"$"#,##0</c:formatCode>
                <c:ptCount val="2"/>
                <c:pt idx="0">
                  <c:v>23459036</c:v>
                </c:pt>
                <c:pt idx="1">
                  <c:v>9423848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D-4129-948B-0F54D293C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853119"/>
        <c:axId val="178857919"/>
      </c:barChart>
      <c:lineChart>
        <c:grouping val="standard"/>
        <c:varyColors val="0"/>
        <c:ser>
          <c:idx val="1"/>
          <c:order val="1"/>
          <c:tx>
            <c:strRef>
              <c:f>'ans 2'!$C$1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 2'!$A$2:$A$4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'ans 2'!$C$2:$C$4</c:f>
              <c:numCache>
                <c:formatCode>"$"#,##0</c:formatCode>
                <c:ptCount val="2"/>
                <c:pt idx="0">
                  <c:v>56998122</c:v>
                </c:pt>
                <c:pt idx="1">
                  <c:v>26887715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D-4129-948B-0F54D293C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850719"/>
        <c:axId val="178856959"/>
      </c:lineChart>
      <c:catAx>
        <c:axId val="17885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6959"/>
        <c:crosses val="autoZero"/>
        <c:auto val="1"/>
        <c:lblAlgn val="ctr"/>
        <c:lblOffset val="100"/>
        <c:noMultiLvlLbl val="0"/>
      </c:catAx>
      <c:valAx>
        <c:axId val="1788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Cost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0719"/>
        <c:crosses val="autoZero"/>
        <c:crossBetween val="between"/>
      </c:valAx>
      <c:valAx>
        <c:axId val="1788579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3119"/>
        <c:crosses val="max"/>
        <c:crossBetween val="between"/>
      </c:valAx>
      <c:catAx>
        <c:axId val="178853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8579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Displaying</a:t>
            </a:r>
            <a:r>
              <a:rPr lang="en-US" baseline="0"/>
              <a:t> Cost AND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 4'!$B$1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'ans 4'!$A$2:$A$28</c:f>
              <c:strCache>
                <c:ptCount val="26"/>
                <c:pt idx="0">
                  <c:v>$228,876</c:v>
                </c:pt>
                <c:pt idx="1">
                  <c:v>$319,550</c:v>
                </c:pt>
                <c:pt idx="2">
                  <c:v>$342,811</c:v>
                </c:pt>
                <c:pt idx="3">
                  <c:v>$488,559</c:v>
                </c:pt>
                <c:pt idx="4">
                  <c:v>$498,938</c:v>
                </c:pt>
                <c:pt idx="5">
                  <c:v>$516,876</c:v>
                </c:pt>
                <c:pt idx="6">
                  <c:v>$525,195</c:v>
                </c:pt>
                <c:pt idx="7">
                  <c:v>$553,551</c:v>
                </c:pt>
                <c:pt idx="8">
                  <c:v>$598,287</c:v>
                </c:pt>
                <c:pt idx="9">
                  <c:v>$616,396</c:v>
                </c:pt>
                <c:pt idx="10">
                  <c:v>$620,927</c:v>
                </c:pt>
                <c:pt idx="11">
                  <c:v>$660,000</c:v>
                </c:pt>
                <c:pt idx="12">
                  <c:v>$729,835</c:v>
                </c:pt>
                <c:pt idx="13">
                  <c:v>$740,195</c:v>
                </c:pt>
                <c:pt idx="14">
                  <c:v>$876,327</c:v>
                </c:pt>
                <c:pt idx="15">
                  <c:v>$913,322</c:v>
                </c:pt>
                <c:pt idx="16">
                  <c:v>$1,244,348</c:v>
                </c:pt>
                <c:pt idx="17">
                  <c:v>$1,698,227</c:v>
                </c:pt>
                <c:pt idx="18">
                  <c:v>$1,698,733</c:v>
                </c:pt>
                <c:pt idx="19">
                  <c:v>$1,904,840</c:v>
                </c:pt>
                <c:pt idx="20">
                  <c:v>$2,076,115</c:v>
                </c:pt>
                <c:pt idx="21">
                  <c:v>$2,476,489</c:v>
                </c:pt>
                <c:pt idx="22">
                  <c:v>$2,532,956</c:v>
                </c:pt>
                <c:pt idx="23">
                  <c:v>$2,686,453</c:v>
                </c:pt>
                <c:pt idx="24">
                  <c:v>$3,219,058</c:v>
                </c:pt>
                <c:pt idx="25">
                  <c:v>$4,116,020</c:v>
                </c:pt>
              </c:strCache>
            </c:strRef>
          </c:cat>
          <c:val>
            <c:numRef>
              <c:f>'ans 4'!$B$2:$B$28</c:f>
              <c:numCache>
                <c:formatCode>"$"#,##0</c:formatCode>
                <c:ptCount val="26"/>
                <c:pt idx="0">
                  <c:v>914785</c:v>
                </c:pt>
                <c:pt idx="1">
                  <c:v>1148912</c:v>
                </c:pt>
                <c:pt idx="2">
                  <c:v>1209282</c:v>
                </c:pt>
                <c:pt idx="3">
                  <c:v>1370705</c:v>
                </c:pt>
                <c:pt idx="4">
                  <c:v>1096869</c:v>
                </c:pt>
                <c:pt idx="5">
                  <c:v>1683109</c:v>
                </c:pt>
                <c:pt idx="6">
                  <c:v>1958181</c:v>
                </c:pt>
                <c:pt idx="7">
                  <c:v>1257231</c:v>
                </c:pt>
                <c:pt idx="8">
                  <c:v>2300710</c:v>
                </c:pt>
                <c:pt idx="9">
                  <c:v>1581662</c:v>
                </c:pt>
                <c:pt idx="10">
                  <c:v>1741089</c:v>
                </c:pt>
                <c:pt idx="11">
                  <c:v>1978299</c:v>
                </c:pt>
                <c:pt idx="12">
                  <c:v>1711222</c:v>
                </c:pt>
                <c:pt idx="13">
                  <c:v>1838220</c:v>
                </c:pt>
                <c:pt idx="14">
                  <c:v>1757908</c:v>
                </c:pt>
                <c:pt idx="15">
                  <c:v>1917080</c:v>
                </c:pt>
                <c:pt idx="16">
                  <c:v>4078740</c:v>
                </c:pt>
                <c:pt idx="17">
                  <c:v>4599112</c:v>
                </c:pt>
                <c:pt idx="18">
                  <c:v>5664927</c:v>
                </c:pt>
                <c:pt idx="19">
                  <c:v>4687422</c:v>
                </c:pt>
                <c:pt idx="20">
                  <c:v>4852863</c:v>
                </c:pt>
                <c:pt idx="21">
                  <c:v>7239424</c:v>
                </c:pt>
                <c:pt idx="22">
                  <c:v>5149890</c:v>
                </c:pt>
                <c:pt idx="23">
                  <c:v>5897652</c:v>
                </c:pt>
                <c:pt idx="24">
                  <c:v>7874500</c:v>
                </c:pt>
                <c:pt idx="25">
                  <c:v>8376043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4-4C2A-BEC7-602E60FD485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39679"/>
        <c:axId val="178844479"/>
      </c:lineChart>
      <c:catAx>
        <c:axId val="1788396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4479"/>
        <c:crosses val="autoZero"/>
        <c:auto val="1"/>
        <c:lblAlgn val="ctr"/>
        <c:lblOffset val="100"/>
        <c:noMultiLvlLbl val="0"/>
      </c:catAx>
      <c:valAx>
        <c:axId val="1788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 5'!$B$1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 5'!$A$2:$A$25</c:f>
              <c:strCache>
                <c:ptCount val="23"/>
                <c:pt idx="0">
                  <c:v>SFC-154</c:v>
                </c:pt>
                <c:pt idx="1">
                  <c:v>SFC-156</c:v>
                </c:pt>
                <c:pt idx="2">
                  <c:v>SFC-167</c:v>
                </c:pt>
                <c:pt idx="3">
                  <c:v>SFC-170</c:v>
                </c:pt>
                <c:pt idx="4">
                  <c:v>SFC-175</c:v>
                </c:pt>
                <c:pt idx="5">
                  <c:v>SFC-178</c:v>
                </c:pt>
                <c:pt idx="6">
                  <c:v>SFC-180</c:v>
                </c:pt>
                <c:pt idx="7">
                  <c:v>SFC-182</c:v>
                </c:pt>
                <c:pt idx="8">
                  <c:v>SFC-183</c:v>
                </c:pt>
                <c:pt idx="9">
                  <c:v>SFC-189</c:v>
                </c:pt>
                <c:pt idx="10">
                  <c:v>SFC-196</c:v>
                </c:pt>
                <c:pt idx="11">
                  <c:v>SFC-203</c:v>
                </c:pt>
                <c:pt idx="12">
                  <c:v>SFC-209</c:v>
                </c:pt>
                <c:pt idx="13">
                  <c:v>SFC-210</c:v>
                </c:pt>
                <c:pt idx="14">
                  <c:v>SFC-213</c:v>
                </c:pt>
                <c:pt idx="15">
                  <c:v>SFC-216</c:v>
                </c:pt>
                <c:pt idx="16">
                  <c:v>SFC-219</c:v>
                </c:pt>
                <c:pt idx="17">
                  <c:v>SFC-228</c:v>
                </c:pt>
                <c:pt idx="18">
                  <c:v>SFC-230</c:v>
                </c:pt>
                <c:pt idx="19">
                  <c:v>SFC-237</c:v>
                </c:pt>
                <c:pt idx="20">
                  <c:v>SFC-240</c:v>
                </c:pt>
                <c:pt idx="21">
                  <c:v>SFC-244</c:v>
                </c:pt>
                <c:pt idx="22">
                  <c:v>SFC-247</c:v>
                </c:pt>
              </c:strCache>
            </c:strRef>
          </c:cat>
          <c:val>
            <c:numRef>
              <c:f>'ans 5'!$B$2:$B$25</c:f>
              <c:numCache>
                <c:formatCode>"$"#,##0</c:formatCode>
                <c:ptCount val="23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740195</c:v>
                </c:pt>
                <c:pt idx="6">
                  <c:v>913322</c:v>
                </c:pt>
                <c:pt idx="7">
                  <c:v>516876</c:v>
                </c:pt>
                <c:pt idx="8">
                  <c:v>2686453</c:v>
                </c:pt>
                <c:pt idx="9">
                  <c:v>1698733</c:v>
                </c:pt>
                <c:pt idx="10">
                  <c:v>2476489</c:v>
                </c:pt>
                <c:pt idx="11">
                  <c:v>228876</c:v>
                </c:pt>
                <c:pt idx="12">
                  <c:v>660000</c:v>
                </c:pt>
                <c:pt idx="13">
                  <c:v>2952442</c:v>
                </c:pt>
                <c:pt idx="14">
                  <c:v>729835</c:v>
                </c:pt>
                <c:pt idx="15">
                  <c:v>342811</c:v>
                </c:pt>
                <c:pt idx="16">
                  <c:v>4360649</c:v>
                </c:pt>
                <c:pt idx="17">
                  <c:v>488559</c:v>
                </c:pt>
                <c:pt idx="18">
                  <c:v>553551</c:v>
                </c:pt>
                <c:pt idx="19">
                  <c:v>1244348</c:v>
                </c:pt>
                <c:pt idx="20">
                  <c:v>1904840</c:v>
                </c:pt>
                <c:pt idx="21">
                  <c:v>4116020</c:v>
                </c:pt>
                <c:pt idx="22">
                  <c:v>498938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408-9F8A-B8E33721CA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8836799"/>
        <c:axId val="178837759"/>
      </c:barChart>
      <c:catAx>
        <c:axId val="178836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7759"/>
        <c:crosses val="autoZero"/>
        <c:auto val="1"/>
        <c:lblAlgn val="ctr"/>
        <c:lblOffset val="100"/>
        <c:noMultiLvlLbl val="0"/>
      </c:catAx>
      <c:valAx>
        <c:axId val="1788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6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 Misc. 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 6 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'ans 6 '!$A$2:$A$28</c:f>
              <c:strCache>
                <c:ptCount val="26"/>
                <c:pt idx="0">
                  <c:v>$228,876</c:v>
                </c:pt>
                <c:pt idx="1">
                  <c:v>$319,550</c:v>
                </c:pt>
                <c:pt idx="2">
                  <c:v>$342,811</c:v>
                </c:pt>
                <c:pt idx="3">
                  <c:v>$488,559</c:v>
                </c:pt>
                <c:pt idx="4">
                  <c:v>$498,938</c:v>
                </c:pt>
                <c:pt idx="5">
                  <c:v>$516,876</c:v>
                </c:pt>
                <c:pt idx="6">
                  <c:v>$525,195</c:v>
                </c:pt>
                <c:pt idx="7">
                  <c:v>$553,551</c:v>
                </c:pt>
                <c:pt idx="8">
                  <c:v>$598,287</c:v>
                </c:pt>
                <c:pt idx="9">
                  <c:v>$616,396</c:v>
                </c:pt>
                <c:pt idx="10">
                  <c:v>$620,927</c:v>
                </c:pt>
                <c:pt idx="11">
                  <c:v>$660,000</c:v>
                </c:pt>
                <c:pt idx="12">
                  <c:v>$729,835</c:v>
                </c:pt>
                <c:pt idx="13">
                  <c:v>$740,195</c:v>
                </c:pt>
                <c:pt idx="14">
                  <c:v>$876,327</c:v>
                </c:pt>
                <c:pt idx="15">
                  <c:v>$913,322</c:v>
                </c:pt>
                <c:pt idx="16">
                  <c:v>$1,244,348</c:v>
                </c:pt>
                <c:pt idx="17">
                  <c:v>$1,698,227</c:v>
                </c:pt>
                <c:pt idx="18">
                  <c:v>$1,698,733</c:v>
                </c:pt>
                <c:pt idx="19">
                  <c:v>$1,904,840</c:v>
                </c:pt>
                <c:pt idx="20">
                  <c:v>$2,076,115</c:v>
                </c:pt>
                <c:pt idx="21">
                  <c:v>$2,476,489</c:v>
                </c:pt>
                <c:pt idx="22">
                  <c:v>$2,532,956</c:v>
                </c:pt>
                <c:pt idx="23">
                  <c:v>$2,686,453</c:v>
                </c:pt>
                <c:pt idx="24">
                  <c:v>$3,219,058</c:v>
                </c:pt>
                <c:pt idx="25">
                  <c:v>$4,116,020</c:v>
                </c:pt>
              </c:strCache>
            </c:strRef>
          </c:cat>
          <c:val>
            <c:numRef>
              <c:f>'ans 6 '!$B$2:$B$28</c:f>
              <c:numCache>
                <c:formatCode>"$"#,##0</c:formatCode>
                <c:ptCount val="26"/>
                <c:pt idx="0">
                  <c:v>16053</c:v>
                </c:pt>
                <c:pt idx="1">
                  <c:v>17190</c:v>
                </c:pt>
                <c:pt idx="2">
                  <c:v>6914</c:v>
                </c:pt>
                <c:pt idx="3">
                  <c:v>8472</c:v>
                </c:pt>
                <c:pt idx="4">
                  <c:v>13048</c:v>
                </c:pt>
                <c:pt idx="5">
                  <c:v>13193</c:v>
                </c:pt>
                <c:pt idx="6">
                  <c:v>18575</c:v>
                </c:pt>
                <c:pt idx="7">
                  <c:v>10057</c:v>
                </c:pt>
                <c:pt idx="8">
                  <c:v>14823</c:v>
                </c:pt>
                <c:pt idx="9">
                  <c:v>13657</c:v>
                </c:pt>
                <c:pt idx="10">
                  <c:v>20871</c:v>
                </c:pt>
                <c:pt idx="11">
                  <c:v>20190</c:v>
                </c:pt>
                <c:pt idx="12">
                  <c:v>23338</c:v>
                </c:pt>
                <c:pt idx="13">
                  <c:v>5176</c:v>
                </c:pt>
                <c:pt idx="14">
                  <c:v>21434</c:v>
                </c:pt>
                <c:pt idx="15">
                  <c:v>7499</c:v>
                </c:pt>
                <c:pt idx="16">
                  <c:v>7734</c:v>
                </c:pt>
                <c:pt idx="17">
                  <c:v>17154</c:v>
                </c:pt>
                <c:pt idx="18">
                  <c:v>5099</c:v>
                </c:pt>
                <c:pt idx="19">
                  <c:v>9276</c:v>
                </c:pt>
                <c:pt idx="20">
                  <c:v>9483</c:v>
                </c:pt>
                <c:pt idx="21">
                  <c:v>12797</c:v>
                </c:pt>
                <c:pt idx="22">
                  <c:v>13685</c:v>
                </c:pt>
                <c:pt idx="23">
                  <c:v>8574</c:v>
                </c:pt>
                <c:pt idx="24">
                  <c:v>19610</c:v>
                </c:pt>
                <c:pt idx="25">
                  <c:v>18783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4-4C98-ACEC-A5E15BA7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36191"/>
        <c:axId val="206741471"/>
      </c:lineChart>
      <c:catAx>
        <c:axId val="20673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41471"/>
        <c:crosses val="autoZero"/>
        <c:auto val="1"/>
        <c:lblAlgn val="ctr"/>
        <c:lblOffset val="100"/>
        <c:noMultiLvlLbl val="0"/>
      </c:catAx>
      <c:valAx>
        <c:axId val="2067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Misc.</a:t>
                </a:r>
                <a:r>
                  <a:rPr lang="en-US" baseline="0"/>
                  <a:t> Fees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 7 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Sales by Invoice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7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 7 '!$A$4:$A$26</c:f>
              <c:strCache>
                <c:ptCount val="23"/>
                <c:pt idx="0">
                  <c:v>SFC-154</c:v>
                </c:pt>
                <c:pt idx="1">
                  <c:v>SFC-156</c:v>
                </c:pt>
                <c:pt idx="2">
                  <c:v>SFC-167</c:v>
                </c:pt>
                <c:pt idx="3">
                  <c:v>SFC-170</c:v>
                </c:pt>
                <c:pt idx="4">
                  <c:v>SFC-175</c:v>
                </c:pt>
                <c:pt idx="5">
                  <c:v>SFC-178</c:v>
                </c:pt>
                <c:pt idx="6">
                  <c:v>SFC-180</c:v>
                </c:pt>
                <c:pt idx="7">
                  <c:v>SFC-182</c:v>
                </c:pt>
                <c:pt idx="8">
                  <c:v>SFC-183</c:v>
                </c:pt>
                <c:pt idx="9">
                  <c:v>SFC-189</c:v>
                </c:pt>
                <c:pt idx="10">
                  <c:v>SFC-196</c:v>
                </c:pt>
                <c:pt idx="11">
                  <c:v>SFC-203</c:v>
                </c:pt>
                <c:pt idx="12">
                  <c:v>SFC-209</c:v>
                </c:pt>
                <c:pt idx="13">
                  <c:v>SFC-210</c:v>
                </c:pt>
                <c:pt idx="14">
                  <c:v>SFC-213</c:v>
                </c:pt>
                <c:pt idx="15">
                  <c:v>SFC-216</c:v>
                </c:pt>
                <c:pt idx="16">
                  <c:v>SFC-219</c:v>
                </c:pt>
                <c:pt idx="17">
                  <c:v>SFC-228</c:v>
                </c:pt>
                <c:pt idx="18">
                  <c:v>SFC-230</c:v>
                </c:pt>
                <c:pt idx="19">
                  <c:v>SFC-237</c:v>
                </c:pt>
                <c:pt idx="20">
                  <c:v>SFC-240</c:v>
                </c:pt>
                <c:pt idx="21">
                  <c:v>SFC-244</c:v>
                </c:pt>
                <c:pt idx="22">
                  <c:v>SFC-247</c:v>
                </c:pt>
              </c:strCache>
            </c:strRef>
          </c:cat>
          <c:val>
            <c:numRef>
              <c:f>'ans 7 '!$B$4:$B$26</c:f>
              <c:numCache>
                <c:formatCode>"$"0.00,,"M"</c:formatCode>
                <c:ptCount val="23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1838220</c:v>
                </c:pt>
                <c:pt idx="6">
                  <c:v>1917080</c:v>
                </c:pt>
                <c:pt idx="7">
                  <c:v>1683109</c:v>
                </c:pt>
                <c:pt idx="8">
                  <c:v>5897652</c:v>
                </c:pt>
                <c:pt idx="9">
                  <c:v>5664927</c:v>
                </c:pt>
                <c:pt idx="10">
                  <c:v>7239424</c:v>
                </c:pt>
                <c:pt idx="11">
                  <c:v>914785</c:v>
                </c:pt>
                <c:pt idx="12">
                  <c:v>1978299</c:v>
                </c:pt>
                <c:pt idx="13">
                  <c:v>6610771</c:v>
                </c:pt>
                <c:pt idx="14">
                  <c:v>1711222</c:v>
                </c:pt>
                <c:pt idx="15">
                  <c:v>1209282</c:v>
                </c:pt>
                <c:pt idx="16">
                  <c:v>11414343</c:v>
                </c:pt>
                <c:pt idx="17">
                  <c:v>1370705</c:v>
                </c:pt>
                <c:pt idx="18">
                  <c:v>1257231</c:v>
                </c:pt>
                <c:pt idx="19">
                  <c:v>4078740</c:v>
                </c:pt>
                <c:pt idx="20">
                  <c:v>4687422</c:v>
                </c:pt>
                <c:pt idx="21">
                  <c:v>8376043</c:v>
                </c:pt>
                <c:pt idx="22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A-4DE8-BC7B-FC76AAE81D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738591"/>
        <c:axId val="206757311"/>
      </c:barChart>
      <c:catAx>
        <c:axId val="20673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7311"/>
        <c:crosses val="autoZero"/>
        <c:auto val="1"/>
        <c:lblAlgn val="ctr"/>
        <c:lblOffset val="100"/>
        <c:noMultiLvlLbl val="0"/>
      </c:catAx>
      <c:valAx>
        <c:axId val="2067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.00,,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3</xdr:row>
      <xdr:rowOff>133350</xdr:rowOff>
    </xdr:from>
    <xdr:to>
      <xdr:col>12</xdr:col>
      <xdr:colOff>327660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6DEDF-F7C0-F493-9296-12521AE15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</xdr:row>
      <xdr:rowOff>60960</xdr:rowOff>
    </xdr:from>
    <xdr:to>
      <xdr:col>15</xdr:col>
      <xdr:colOff>510540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3979DB-8020-2CE4-DD7B-5A475536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53340</xdr:rowOff>
    </xdr:from>
    <xdr:to>
      <xdr:col>15</xdr:col>
      <xdr:colOff>350520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4ACF8-A92F-DCF8-9E4B-12D5D4EAA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137160</xdr:rowOff>
    </xdr:from>
    <xdr:to>
      <xdr:col>14</xdr:col>
      <xdr:colOff>211016</xdr:colOff>
      <xdr:row>19</xdr:row>
      <xdr:rowOff>58190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5ADF56-0439-140A-2DF3-8856D5FA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320040"/>
          <a:ext cx="8120576" cy="32128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163830</xdr:rowOff>
    </xdr:from>
    <xdr:to>
      <xdr:col>14</xdr:col>
      <xdr:colOff>579120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2EE2E-3EE7-1DEE-1D28-7EF20C110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5</xdr:row>
      <xdr:rowOff>41910</xdr:rowOff>
    </xdr:from>
    <xdr:to>
      <xdr:col>11</xdr:col>
      <xdr:colOff>60960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D61DF-CD0C-A28B-E1D9-6325E24A4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140970</xdr:rowOff>
    </xdr:from>
    <xdr:to>
      <xdr:col>16</xdr:col>
      <xdr:colOff>403860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AA76A-7497-007E-103C-5A20847A7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9.414579861113" createdVersion="8" refreshedVersion="8" minRefreshableVersion="3" recordCount="26" xr:uid="{A1BF3C07-4E41-4513-B0E7-CE36B331D879}">
  <cacheSource type="worksheet">
    <worksheetSource ref="B3:H29" sheet="Data"/>
  </cacheSource>
  <cacheFields count="10">
    <cacheField name="Date" numFmtId="164">
      <sharedItems containsSemiMixedTypes="0" containsNonDate="0" containsDate="1" containsString="0" minDate="2019-07-15T00:00:00" maxDate="2020-01-30T00:00:00" count="24">
        <d v="2019-07-15T00:00:00"/>
        <d v="2019-07-19T00:00:00"/>
        <d v="2019-07-26T00:00:00"/>
        <d v="2019-08-11T00:00:00"/>
        <d v="2019-08-15T00:00:00"/>
        <d v="2019-08-22T00:00:00"/>
        <d v="2019-08-24T00:00:00"/>
        <d v="2019-09-15T00:00:00"/>
        <d v="2019-09-17T00:00:00"/>
        <d v="2019-10-16T00:00:00"/>
        <d v="2019-10-25T00:00:00"/>
        <d v="2019-11-05T00:00:00"/>
        <d v="2019-11-19T00:00:00"/>
        <d v="2019-11-27T00:00:00"/>
        <d v="2019-11-25T00:00:00"/>
        <d v="2019-11-29T00:00:00"/>
        <d v="2019-12-25T00:00:00"/>
        <d v="2019-12-27T00:00:00"/>
        <d v="2019-12-30T00:00:00"/>
        <d v="2020-01-15T00:00:00"/>
        <d v="2020-01-25T00:00:00"/>
        <d v="2020-01-29T00:00:00"/>
        <d v="2020-01-01T00:00:00"/>
        <d v="2020-01-02T00:00:00"/>
      </sharedItems>
      <fieldGroup par="9"/>
    </cacheField>
    <cacheField name="Client" numFmtId="0">
      <sharedItems/>
    </cacheField>
    <cacheField name="Region" numFmtId="0">
      <sharedItems/>
    </cacheField>
    <cacheField name="Invoice" numFmtId="0">
      <sharedItems count="23">
        <s v="SFC-154"/>
        <s v="SFC-156"/>
        <s v="SFC-167"/>
        <s v="SFC-170"/>
        <s v="SFC-175"/>
        <s v="SFC-180"/>
        <s v="SFC-210"/>
        <s v="SFC-216"/>
        <s v="SFC-219"/>
        <s v="SFC-244"/>
        <s v="SFC-209"/>
        <s v="SFC-203"/>
        <s v="SFC-213"/>
        <s v="SFC-230"/>
        <s v="SFC-237"/>
        <s v="SFC-183"/>
        <s v="SFC-240"/>
        <s v="SFC-178"/>
        <s v="SFC-228"/>
        <s v="SFC-182"/>
        <s v="SFC-189"/>
        <s v="SFC-196"/>
        <s v="SFC-247"/>
      </sharedItems>
    </cacheField>
    <cacheField name="Misc. Fees" numFmtId="165">
      <sharedItems containsSemiMixedTypes="0" containsString="0" containsNumber="1" containsInteger="1" minValue="5099" maxValue="23338"/>
    </cacheField>
    <cacheField name="Cost" numFmtId="165">
      <sharedItems containsSemiMixedTypes="0" containsString="0" containsNumber="1" containsInteger="1" minValue="228876" maxValue="4116020"/>
    </cacheField>
    <cacheField name="Sales" numFmtId="165">
      <sharedItems containsSemiMixedTypes="0" containsString="0" containsNumber="1" containsInteger="1" minValue="914785" maxValue="8376043"/>
    </cacheField>
    <cacheField name="Months (Date)" numFmtId="0" databaseField="0">
      <fieldGroup base="0">
        <rangePr groupBy="months" startDate="2019-07-15T00:00:00" endDate="2020-01-30T00:00:00"/>
        <groupItems count="14">
          <s v="&lt;7/15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0/2020"/>
        </groupItems>
      </fieldGroup>
    </cacheField>
    <cacheField name="Quarters (Date)" numFmtId="0" databaseField="0">
      <fieldGroup base="0">
        <rangePr groupBy="quarters" startDate="2019-07-15T00:00:00" endDate="2020-01-30T00:00:00"/>
        <groupItems count="6">
          <s v="&lt;7/15/2019"/>
          <s v="Qtr1"/>
          <s v="Qtr2"/>
          <s v="Qtr3"/>
          <s v="Qtr4"/>
          <s v="&gt;1/30/2020"/>
        </groupItems>
      </fieldGroup>
    </cacheField>
    <cacheField name="Years (Date)" numFmtId="0" databaseField="0">
      <fieldGroup base="0">
        <rangePr groupBy="years" startDate="2019-07-15T00:00:00" endDate="2020-01-30T00:00:00"/>
        <groupItems count="4">
          <s v="&lt;7/15/2019"/>
          <s v="2019"/>
          <s v="2020"/>
          <s v="&gt;1/3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9.421284374999" createdVersion="8" refreshedVersion="8" minRefreshableVersion="3" recordCount="26" xr:uid="{4A03ADE9-CC15-4A77-92DA-347F885918D9}">
  <cacheSource type="worksheet">
    <worksheetSource ref="G3:H29" sheet="Data"/>
  </cacheSource>
  <cacheFields count="2">
    <cacheField name="Cost" numFmtId="165">
      <sharedItems containsSemiMixedTypes="0" containsString="0" containsNumber="1" containsInteger="1" minValue="228876" maxValue="4116020" count="26">
        <n v="620927"/>
        <n v="2532956"/>
        <n v="598287"/>
        <n v="319550"/>
        <n v="1698227"/>
        <n v="913322"/>
        <n v="876327"/>
        <n v="342811"/>
        <n v="616396"/>
        <n v="4116020"/>
        <n v="660000"/>
        <n v="228876"/>
        <n v="729835"/>
        <n v="553551"/>
        <n v="1244348"/>
        <n v="2686453"/>
        <n v="2076115"/>
        <n v="1904840"/>
        <n v="740195"/>
        <n v="525195"/>
        <n v="488559"/>
        <n v="516876"/>
        <n v="1698733"/>
        <n v="2476489"/>
        <n v="3219058"/>
        <n v="498938"/>
      </sharedItems>
    </cacheField>
    <cacheField name="Sales" numFmtId="165">
      <sharedItems containsSemiMixedTypes="0" containsString="0" containsNumber="1" containsInteger="1" minValue="914785" maxValue="837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9.426834375001" createdVersion="8" refreshedVersion="8" minRefreshableVersion="3" recordCount="26" xr:uid="{D57E262F-0C96-4F89-8FD3-5FF0EF2DF6D1}">
  <cacheSource type="worksheet">
    <worksheetSource ref="F3:H29" sheet="Data"/>
  </cacheSource>
  <cacheFields count="3">
    <cacheField name="Misc. Fees" numFmtId="165">
      <sharedItems containsSemiMixedTypes="0" containsString="0" containsNumber="1" containsInteger="1" minValue="5099" maxValue="23338"/>
    </cacheField>
    <cacheField name="Cost" numFmtId="165">
      <sharedItems containsSemiMixedTypes="0" containsString="0" containsNumber="1" containsInteger="1" minValue="228876" maxValue="4116020" count="26">
        <n v="620927"/>
        <n v="2532956"/>
        <n v="598287"/>
        <n v="319550"/>
        <n v="1698227"/>
        <n v="913322"/>
        <n v="876327"/>
        <n v="342811"/>
        <n v="616396"/>
        <n v="4116020"/>
        <n v="660000"/>
        <n v="228876"/>
        <n v="729835"/>
        <n v="553551"/>
        <n v="1244348"/>
        <n v="2686453"/>
        <n v="2076115"/>
        <n v="1904840"/>
        <n v="740195"/>
        <n v="525195"/>
        <n v="488559"/>
        <n v="516876"/>
        <n v="1698733"/>
        <n v="2476489"/>
        <n v="3219058"/>
        <n v="498938"/>
      </sharedItems>
    </cacheField>
    <cacheField name="Sales" numFmtId="165">
      <sharedItems containsSemiMixedTypes="0" containsString="0" containsNumber="1" containsInteger="1" minValue="914785" maxValue="837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9.430797106485" createdVersion="8" refreshedVersion="8" minRefreshableVersion="3" recordCount="26" xr:uid="{7ED6DE76-2EB3-47CD-910F-86BF4A24127C}">
  <cacheSource type="worksheet">
    <worksheetSource ref="A5:B31" sheet="ans 7"/>
  </cacheSource>
  <cacheFields count="2">
    <cacheField name="Invoice" numFmtId="0">
      <sharedItems count="23">
        <s v="SFC-154"/>
        <s v="SFC-156"/>
        <s v="SFC-167"/>
        <s v="SFC-170"/>
        <s v="SFC-175"/>
        <s v="SFC-180"/>
        <s v="SFC-210"/>
        <s v="SFC-216"/>
        <s v="SFC-219"/>
        <s v="SFC-244"/>
        <s v="SFC-209"/>
        <s v="SFC-203"/>
        <s v="SFC-213"/>
        <s v="SFC-230"/>
        <s v="SFC-237"/>
        <s v="SFC-183"/>
        <s v="SFC-240"/>
        <s v="SFC-178"/>
        <s v="SFC-228"/>
        <s v="SFC-182"/>
        <s v="SFC-189"/>
        <s v="SFC-196"/>
        <s v="SFC-247"/>
      </sharedItems>
    </cacheField>
    <cacheField name="Sales" numFmtId="167">
      <sharedItems containsSemiMixedTypes="0" containsString="0" containsNumber="1" containsInteger="1" minValue="914785" maxValue="837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ABC Corporation"/>
    <s v="South"/>
    <x v="0"/>
    <n v="20871"/>
    <n v="620927"/>
    <n v="1741089"/>
  </r>
  <r>
    <x v="1"/>
    <s v="Bridges Company"/>
    <s v="East"/>
    <x v="1"/>
    <n v="13685"/>
    <n v="2532956"/>
    <n v="5149890"/>
  </r>
  <r>
    <x v="2"/>
    <s v="Timefall Inc."/>
    <s v="East"/>
    <x v="2"/>
    <n v="14823"/>
    <n v="598287"/>
    <n v="2300710"/>
  </r>
  <r>
    <x v="3"/>
    <s v="Chiral Corporation"/>
    <s v="North"/>
    <x v="3"/>
    <n v="17190"/>
    <n v="319550"/>
    <n v="1148912"/>
  </r>
  <r>
    <x v="4"/>
    <s v="Titan Industries"/>
    <s v="West"/>
    <x v="4"/>
    <n v="17154"/>
    <n v="1698227"/>
    <n v="4599112"/>
  </r>
  <r>
    <x v="5"/>
    <s v="Eagle Security"/>
    <s v="South"/>
    <x v="5"/>
    <n v="7499"/>
    <n v="913322"/>
    <n v="1917080"/>
  </r>
  <r>
    <x v="6"/>
    <s v="Sol Company"/>
    <s v="South"/>
    <x v="6"/>
    <n v="21434"/>
    <n v="876327"/>
    <n v="1757908"/>
  </r>
  <r>
    <x v="7"/>
    <s v="Eagle Security"/>
    <s v="East"/>
    <x v="7"/>
    <n v="6914"/>
    <n v="342811"/>
    <n v="1209282"/>
  </r>
  <r>
    <x v="8"/>
    <s v="Titan Industries"/>
    <s v="West"/>
    <x v="8"/>
    <n v="13657"/>
    <n v="616396"/>
    <n v="1581662"/>
  </r>
  <r>
    <x v="9"/>
    <s v="Titan Industries"/>
    <s v="South"/>
    <x v="9"/>
    <n v="18783"/>
    <n v="4116020"/>
    <n v="8376043"/>
  </r>
  <r>
    <x v="10"/>
    <s v="Timefall Inc."/>
    <s v="East"/>
    <x v="10"/>
    <n v="20190"/>
    <n v="660000"/>
    <n v="1978299"/>
  </r>
  <r>
    <x v="11"/>
    <s v="Timefall Inc."/>
    <s v="South"/>
    <x v="11"/>
    <n v="16053"/>
    <n v="228876"/>
    <n v="914785"/>
  </r>
  <r>
    <x v="12"/>
    <s v="Timefall Inc."/>
    <s v="East"/>
    <x v="12"/>
    <n v="23338"/>
    <n v="729835"/>
    <n v="1711222"/>
  </r>
  <r>
    <x v="13"/>
    <s v="Timefall Inc."/>
    <s v="West"/>
    <x v="13"/>
    <n v="10057"/>
    <n v="553551"/>
    <n v="1257231"/>
  </r>
  <r>
    <x v="14"/>
    <s v="Timefall Inc."/>
    <s v="South"/>
    <x v="14"/>
    <n v="7734"/>
    <n v="1244348"/>
    <n v="4078740"/>
  </r>
  <r>
    <x v="15"/>
    <s v="Timefall Inc."/>
    <s v="North"/>
    <x v="15"/>
    <n v="8574"/>
    <n v="2686453"/>
    <n v="5897652"/>
  </r>
  <r>
    <x v="16"/>
    <s v="Titan Industries"/>
    <s v="North"/>
    <x v="6"/>
    <n v="9483"/>
    <n v="2076115"/>
    <n v="4852863"/>
  </r>
  <r>
    <x v="17"/>
    <s v="Titan Industries"/>
    <s v="North"/>
    <x v="16"/>
    <n v="9276"/>
    <n v="1904840"/>
    <n v="4687422"/>
  </r>
  <r>
    <x v="18"/>
    <s v="Titan Industries"/>
    <s v="East"/>
    <x v="17"/>
    <n v="5176"/>
    <n v="740195"/>
    <n v="1838220"/>
  </r>
  <r>
    <x v="19"/>
    <s v="Eagle Security"/>
    <s v="South"/>
    <x v="8"/>
    <n v="18575"/>
    <n v="525195"/>
    <n v="1958181"/>
  </r>
  <r>
    <x v="20"/>
    <s v="Titan Industries"/>
    <s v="North"/>
    <x v="18"/>
    <n v="8472"/>
    <n v="488559"/>
    <n v="1370705"/>
  </r>
  <r>
    <x v="21"/>
    <s v="Titan Industries"/>
    <s v="South"/>
    <x v="19"/>
    <n v="13193"/>
    <n v="516876"/>
    <n v="1683109"/>
  </r>
  <r>
    <x v="22"/>
    <s v="Titan Industries"/>
    <s v="East"/>
    <x v="20"/>
    <n v="5099"/>
    <n v="1698733"/>
    <n v="5664927"/>
  </r>
  <r>
    <x v="23"/>
    <s v="Titan Industries"/>
    <s v="South"/>
    <x v="21"/>
    <n v="12797"/>
    <n v="2476489"/>
    <n v="7239424"/>
  </r>
  <r>
    <x v="23"/>
    <s v="Titan Industries"/>
    <s v="East"/>
    <x v="8"/>
    <n v="19610"/>
    <n v="3219058"/>
    <n v="7874500"/>
  </r>
  <r>
    <x v="23"/>
    <s v="Titan Industries"/>
    <s v="South"/>
    <x v="22"/>
    <n v="13048"/>
    <n v="498938"/>
    <n v="10968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741089"/>
  </r>
  <r>
    <x v="1"/>
    <n v="5149890"/>
  </r>
  <r>
    <x v="2"/>
    <n v="2300710"/>
  </r>
  <r>
    <x v="3"/>
    <n v="1148912"/>
  </r>
  <r>
    <x v="4"/>
    <n v="4599112"/>
  </r>
  <r>
    <x v="5"/>
    <n v="1917080"/>
  </r>
  <r>
    <x v="6"/>
    <n v="1757908"/>
  </r>
  <r>
    <x v="7"/>
    <n v="1209282"/>
  </r>
  <r>
    <x v="8"/>
    <n v="1581662"/>
  </r>
  <r>
    <x v="9"/>
    <n v="8376043"/>
  </r>
  <r>
    <x v="10"/>
    <n v="1978299"/>
  </r>
  <r>
    <x v="11"/>
    <n v="914785"/>
  </r>
  <r>
    <x v="12"/>
    <n v="1711222"/>
  </r>
  <r>
    <x v="13"/>
    <n v="1257231"/>
  </r>
  <r>
    <x v="14"/>
    <n v="4078740"/>
  </r>
  <r>
    <x v="15"/>
    <n v="5897652"/>
  </r>
  <r>
    <x v="16"/>
    <n v="4852863"/>
  </r>
  <r>
    <x v="17"/>
    <n v="4687422"/>
  </r>
  <r>
    <x v="18"/>
    <n v="1838220"/>
  </r>
  <r>
    <x v="19"/>
    <n v="1958181"/>
  </r>
  <r>
    <x v="20"/>
    <n v="1370705"/>
  </r>
  <r>
    <x v="21"/>
    <n v="1683109"/>
  </r>
  <r>
    <x v="22"/>
    <n v="5664927"/>
  </r>
  <r>
    <x v="23"/>
    <n v="7239424"/>
  </r>
  <r>
    <x v="24"/>
    <n v="7874500"/>
  </r>
  <r>
    <x v="25"/>
    <n v="10968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871"/>
    <x v="0"/>
    <n v="1741089"/>
  </r>
  <r>
    <n v="13685"/>
    <x v="1"/>
    <n v="5149890"/>
  </r>
  <r>
    <n v="14823"/>
    <x v="2"/>
    <n v="2300710"/>
  </r>
  <r>
    <n v="17190"/>
    <x v="3"/>
    <n v="1148912"/>
  </r>
  <r>
    <n v="17154"/>
    <x v="4"/>
    <n v="4599112"/>
  </r>
  <r>
    <n v="7499"/>
    <x v="5"/>
    <n v="1917080"/>
  </r>
  <r>
    <n v="21434"/>
    <x v="6"/>
    <n v="1757908"/>
  </r>
  <r>
    <n v="6914"/>
    <x v="7"/>
    <n v="1209282"/>
  </r>
  <r>
    <n v="13657"/>
    <x v="8"/>
    <n v="1581662"/>
  </r>
  <r>
    <n v="18783"/>
    <x v="9"/>
    <n v="8376043"/>
  </r>
  <r>
    <n v="20190"/>
    <x v="10"/>
    <n v="1978299"/>
  </r>
  <r>
    <n v="16053"/>
    <x v="11"/>
    <n v="914785"/>
  </r>
  <r>
    <n v="23338"/>
    <x v="12"/>
    <n v="1711222"/>
  </r>
  <r>
    <n v="10057"/>
    <x v="13"/>
    <n v="1257231"/>
  </r>
  <r>
    <n v="7734"/>
    <x v="14"/>
    <n v="4078740"/>
  </r>
  <r>
    <n v="8574"/>
    <x v="15"/>
    <n v="5897652"/>
  </r>
  <r>
    <n v="9483"/>
    <x v="16"/>
    <n v="4852863"/>
  </r>
  <r>
    <n v="9276"/>
    <x v="17"/>
    <n v="4687422"/>
  </r>
  <r>
    <n v="5176"/>
    <x v="18"/>
    <n v="1838220"/>
  </r>
  <r>
    <n v="18575"/>
    <x v="19"/>
    <n v="1958181"/>
  </r>
  <r>
    <n v="8472"/>
    <x v="20"/>
    <n v="1370705"/>
  </r>
  <r>
    <n v="13193"/>
    <x v="21"/>
    <n v="1683109"/>
  </r>
  <r>
    <n v="5099"/>
    <x v="22"/>
    <n v="5664927"/>
  </r>
  <r>
    <n v="12797"/>
    <x v="23"/>
    <n v="7239424"/>
  </r>
  <r>
    <n v="19610"/>
    <x v="24"/>
    <n v="7874500"/>
  </r>
  <r>
    <n v="13048"/>
    <x v="25"/>
    <n v="10968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741089"/>
  </r>
  <r>
    <x v="1"/>
    <n v="5149890"/>
  </r>
  <r>
    <x v="2"/>
    <n v="2300710"/>
  </r>
  <r>
    <x v="3"/>
    <n v="1148912"/>
  </r>
  <r>
    <x v="4"/>
    <n v="4599112"/>
  </r>
  <r>
    <x v="5"/>
    <n v="1917080"/>
  </r>
  <r>
    <x v="6"/>
    <n v="1757908"/>
  </r>
  <r>
    <x v="7"/>
    <n v="1209282"/>
  </r>
  <r>
    <x v="8"/>
    <n v="1581662"/>
  </r>
  <r>
    <x v="9"/>
    <n v="8376043"/>
  </r>
  <r>
    <x v="10"/>
    <n v="1978299"/>
  </r>
  <r>
    <x v="11"/>
    <n v="914785"/>
  </r>
  <r>
    <x v="12"/>
    <n v="1711222"/>
  </r>
  <r>
    <x v="13"/>
    <n v="1257231"/>
  </r>
  <r>
    <x v="14"/>
    <n v="4078740"/>
  </r>
  <r>
    <x v="15"/>
    <n v="5897652"/>
  </r>
  <r>
    <x v="6"/>
    <n v="4852863"/>
  </r>
  <r>
    <x v="16"/>
    <n v="4687422"/>
  </r>
  <r>
    <x v="17"/>
    <n v="1838220"/>
  </r>
  <r>
    <x v="8"/>
    <n v="1958181"/>
  </r>
  <r>
    <x v="18"/>
    <n v="1370705"/>
  </r>
  <r>
    <x v="19"/>
    <n v="1683109"/>
  </r>
  <r>
    <x v="20"/>
    <n v="5664927"/>
  </r>
  <r>
    <x v="21"/>
    <n v="7239424"/>
  </r>
  <r>
    <x v="8"/>
    <n v="7874500"/>
  </r>
  <r>
    <x v="22"/>
    <n v="10968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3E94C-BB8E-4480-A473-5667C74F571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10">
    <pivotField axis="axisRow"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19"/>
        <item x="20"/>
        <item x="21"/>
        <item t="default"/>
      </items>
    </pivotField>
    <pivotField showAll="0"/>
    <pivotField showAll="0"/>
    <pivotField showAll="0"/>
    <pivotField numFmtId="165" showAll="0"/>
    <pivotField numFmtId="165"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9"/>
    <field x="7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Sales" fld="6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8975F-ACA8-434D-B081-4AA62930E07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4" firstHeaderRow="0" firstDataRow="1" firstDataCol="1"/>
  <pivotFields count="10">
    <pivotField axis="axisRow"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19"/>
        <item x="20"/>
        <item x="21"/>
        <item t="default"/>
      </items>
    </pivotField>
    <pivotField showAll="0"/>
    <pivotField showAll="0"/>
    <pivotField showAll="0"/>
    <pivotField numFmtId="165" showAll="0"/>
    <pivotField dataField="1" numFmtId="165" showAll="0"/>
    <pivotField dataField="1" numFmtId="165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9"/>
    <field x="7"/>
    <field x="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5" baseField="0" baseItem="0" numFmtId="165"/>
    <dataField name="Sum of Sales" fld="6" baseField="0" baseItem="0" numFmtId="165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EA3C3-01FC-48EB-9FB9-3C4E0099FE4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28" firstHeaderRow="1" firstDataRow="1" firstDataCol="1"/>
  <pivotFields count="2">
    <pivotField axis="axisRow" numFmtId="165" showAll="0">
      <items count="27">
        <item x="11"/>
        <item x="3"/>
        <item x="7"/>
        <item x="20"/>
        <item x="25"/>
        <item x="21"/>
        <item x="19"/>
        <item x="13"/>
        <item x="2"/>
        <item x="8"/>
        <item x="0"/>
        <item x="10"/>
        <item x="12"/>
        <item x="18"/>
        <item x="6"/>
        <item x="5"/>
        <item x="14"/>
        <item x="4"/>
        <item x="22"/>
        <item x="17"/>
        <item x="16"/>
        <item x="23"/>
        <item x="1"/>
        <item x="15"/>
        <item x="24"/>
        <item x="9"/>
        <item t="default"/>
      </items>
    </pivotField>
    <pivotField dataField="1" numFmtId="165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Sales" fld="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EDED6-DF9E-4752-A3CF-0DA46315713F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25" firstHeaderRow="1" firstDataRow="1" firstDataCol="1"/>
  <pivotFields count="10"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19"/>
        <item x="20"/>
        <item x="21"/>
        <item t="default"/>
      </items>
    </pivotField>
    <pivotField showAll="0"/>
    <pivotField showAll="0"/>
    <pivotField axis="axisRow" showAll="0">
      <items count="24">
        <item x="0"/>
        <item x="1"/>
        <item x="2"/>
        <item x="3"/>
        <item x="4"/>
        <item x="17"/>
        <item x="5"/>
        <item x="19"/>
        <item x="15"/>
        <item x="20"/>
        <item x="21"/>
        <item x="11"/>
        <item x="10"/>
        <item x="6"/>
        <item x="12"/>
        <item x="7"/>
        <item x="8"/>
        <item x="18"/>
        <item x="13"/>
        <item x="14"/>
        <item x="16"/>
        <item x="9"/>
        <item x="22"/>
        <item t="default"/>
      </items>
    </pivotField>
    <pivotField numFmtId="165" showAll="0"/>
    <pivotField dataField="1" numFmtId="165"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Cost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D270C-B5C5-429E-B44F-5A8FF56DEADA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8" firstHeaderRow="1" firstDataRow="1" firstDataCol="1"/>
  <pivotFields count="3">
    <pivotField dataField="1" numFmtId="165" showAll="0"/>
    <pivotField axis="axisRow" numFmtId="165" showAll="0">
      <items count="27">
        <item x="11"/>
        <item x="3"/>
        <item x="7"/>
        <item x="20"/>
        <item x="25"/>
        <item x="21"/>
        <item x="19"/>
        <item x="13"/>
        <item x="2"/>
        <item x="8"/>
        <item x="0"/>
        <item x="10"/>
        <item x="12"/>
        <item x="18"/>
        <item x="6"/>
        <item x="5"/>
        <item x="14"/>
        <item x="4"/>
        <item x="22"/>
        <item x="17"/>
        <item x="16"/>
        <item x="23"/>
        <item x="1"/>
        <item x="15"/>
        <item x="24"/>
        <item x="9"/>
        <item t="default"/>
      </items>
    </pivotField>
    <pivotField numFmtId="165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Misc. Fees" fld="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84CF7-53DC-4490-89B6-8AF6FE0902C1}" name="PivotTable10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26" firstHeaderRow="1" firstDataRow="1" firstDataCol="1"/>
  <pivotFields count="2">
    <pivotField axis="axisRow" compact="0" outline="0" showAll="0" defaultSubtotal="0">
      <items count="23">
        <item x="0"/>
        <item x="1"/>
        <item x="2"/>
        <item x="3"/>
        <item x="4"/>
        <item x="17"/>
        <item x="5"/>
        <item x="19"/>
        <item x="15"/>
        <item x="20"/>
        <item x="21"/>
        <item x="11"/>
        <item x="10"/>
        <item x="6"/>
        <item x="12"/>
        <item x="7"/>
        <item x="8"/>
        <item x="18"/>
        <item x="13"/>
        <item x="14"/>
        <item x="16"/>
        <item x="9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Items count="1">
    <i/>
  </colItems>
  <dataFields count="1">
    <dataField name="Sum of Sales" fld="1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workbookViewId="0">
      <selection activeCell="H3" activeCellId="1" sqref="E3:E29 H3:H29"/>
    </sheetView>
  </sheetViews>
  <sheetFormatPr defaultColWidth="14.44140625" defaultRowHeight="15" customHeight="1"/>
  <cols>
    <col min="1" max="1" width="3.6640625" customWidth="1"/>
    <col min="2" max="3" width="19.6640625" customWidth="1"/>
    <col min="4" max="4" width="12.33203125" customWidth="1"/>
    <col min="5" max="5" width="10.88671875" customWidth="1"/>
    <col min="6" max="6" width="12.6640625" customWidth="1"/>
    <col min="7" max="7" width="13.33203125" customWidth="1"/>
    <col min="8" max="8" width="12.44140625" customWidth="1"/>
    <col min="9" max="9" width="15" customWidth="1"/>
    <col min="10" max="28" width="9.109375" customWidth="1"/>
  </cols>
  <sheetData>
    <row r="1" spans="1:28" ht="19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9.5" customHeight="1">
      <c r="A2" s="5"/>
      <c r="B2" s="14" t="s">
        <v>8</v>
      </c>
      <c r="C2" s="12"/>
      <c r="D2" s="12"/>
      <c r="E2" s="12"/>
      <c r="F2" s="12"/>
      <c r="G2" s="12"/>
      <c r="H2" s="1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9.5" customHeight="1">
      <c r="A3" s="5"/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9.5" customHeight="1">
      <c r="A4" s="5"/>
      <c r="B4" s="7">
        <v>43661</v>
      </c>
      <c r="C4" s="8" t="s">
        <v>16</v>
      </c>
      <c r="D4" s="8" t="s">
        <v>17</v>
      </c>
      <c r="E4" s="8" t="s">
        <v>18</v>
      </c>
      <c r="F4" s="9">
        <v>20871</v>
      </c>
      <c r="G4" s="9">
        <v>620927</v>
      </c>
      <c r="H4" s="9">
        <v>1741089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9.5" customHeight="1">
      <c r="A5" s="5"/>
      <c r="B5" s="7">
        <v>43665</v>
      </c>
      <c r="C5" s="8" t="s">
        <v>19</v>
      </c>
      <c r="D5" s="8" t="s">
        <v>20</v>
      </c>
      <c r="E5" s="8" t="s">
        <v>21</v>
      </c>
      <c r="F5" s="9">
        <v>13685</v>
      </c>
      <c r="G5" s="9">
        <v>2532956</v>
      </c>
      <c r="H5" s="9">
        <v>5149890</v>
      </c>
      <c r="I5" s="5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9.5" customHeight="1">
      <c r="A6" s="5"/>
      <c r="B6" s="7">
        <v>43672</v>
      </c>
      <c r="C6" s="8" t="s">
        <v>22</v>
      </c>
      <c r="D6" s="8" t="s">
        <v>20</v>
      </c>
      <c r="E6" s="8" t="s">
        <v>23</v>
      </c>
      <c r="F6" s="9">
        <v>14823</v>
      </c>
      <c r="G6" s="9">
        <v>598287</v>
      </c>
      <c r="H6" s="9">
        <v>2300710</v>
      </c>
      <c r="I6" s="5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9.5" customHeight="1">
      <c r="A7" s="5"/>
      <c r="B7" s="7">
        <v>43688</v>
      </c>
      <c r="C7" s="8" t="s">
        <v>24</v>
      </c>
      <c r="D7" s="8" t="s">
        <v>25</v>
      </c>
      <c r="E7" s="8" t="s">
        <v>26</v>
      </c>
      <c r="F7" s="9">
        <v>17190</v>
      </c>
      <c r="G7" s="9">
        <v>319550</v>
      </c>
      <c r="H7" s="9">
        <v>1148912</v>
      </c>
      <c r="I7" s="5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9.5" customHeight="1">
      <c r="A8" s="5"/>
      <c r="B8" s="7">
        <v>43692</v>
      </c>
      <c r="C8" s="8" t="s">
        <v>27</v>
      </c>
      <c r="D8" s="8" t="s">
        <v>28</v>
      </c>
      <c r="E8" s="8" t="s">
        <v>29</v>
      </c>
      <c r="F8" s="9">
        <v>17154</v>
      </c>
      <c r="G8" s="9">
        <v>1698227</v>
      </c>
      <c r="H8" s="9">
        <v>4599112</v>
      </c>
      <c r="I8" s="5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9.5" customHeight="1">
      <c r="A9" s="5"/>
      <c r="B9" s="7">
        <v>43699</v>
      </c>
      <c r="C9" s="8" t="s">
        <v>30</v>
      </c>
      <c r="D9" s="8" t="s">
        <v>17</v>
      </c>
      <c r="E9" s="8" t="s">
        <v>31</v>
      </c>
      <c r="F9" s="9">
        <v>7499</v>
      </c>
      <c r="G9" s="9">
        <v>913322</v>
      </c>
      <c r="H9" s="9">
        <v>1917080</v>
      </c>
      <c r="I9" s="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9.5" customHeight="1">
      <c r="A10" s="5"/>
      <c r="B10" s="7">
        <v>43701</v>
      </c>
      <c r="C10" s="8" t="s">
        <v>32</v>
      </c>
      <c r="D10" s="8" t="s">
        <v>17</v>
      </c>
      <c r="E10" s="8" t="s">
        <v>33</v>
      </c>
      <c r="F10" s="9">
        <v>21434</v>
      </c>
      <c r="G10" s="9">
        <v>876327</v>
      </c>
      <c r="H10" s="9">
        <v>1757908</v>
      </c>
      <c r="I10" s="5"/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9.5" customHeight="1">
      <c r="A11" s="5"/>
      <c r="B11" s="7">
        <v>43723</v>
      </c>
      <c r="C11" s="8" t="s">
        <v>30</v>
      </c>
      <c r="D11" s="8" t="s">
        <v>20</v>
      </c>
      <c r="E11" s="8" t="s">
        <v>34</v>
      </c>
      <c r="F11" s="9">
        <v>6914</v>
      </c>
      <c r="G11" s="9">
        <v>342811</v>
      </c>
      <c r="H11" s="9">
        <v>1209282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9.5" customHeight="1">
      <c r="A12" s="5"/>
      <c r="B12" s="7">
        <v>43725</v>
      </c>
      <c r="C12" s="8" t="s">
        <v>27</v>
      </c>
      <c r="D12" s="8" t="s">
        <v>28</v>
      </c>
      <c r="E12" s="8" t="s">
        <v>35</v>
      </c>
      <c r="F12" s="9">
        <v>13657</v>
      </c>
      <c r="G12" s="9">
        <v>616396</v>
      </c>
      <c r="H12" s="9">
        <v>1581662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9.5" customHeight="1">
      <c r="A13" s="5"/>
      <c r="B13" s="7">
        <v>43754</v>
      </c>
      <c r="C13" s="8" t="s">
        <v>27</v>
      </c>
      <c r="D13" s="8" t="s">
        <v>17</v>
      </c>
      <c r="E13" s="8" t="s">
        <v>36</v>
      </c>
      <c r="F13" s="9">
        <v>18783</v>
      </c>
      <c r="G13" s="9">
        <v>4116020</v>
      </c>
      <c r="H13" s="9">
        <v>8376043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9.5" customHeight="1">
      <c r="A14" s="5"/>
      <c r="B14" s="7">
        <v>43763</v>
      </c>
      <c r="C14" s="8" t="s">
        <v>22</v>
      </c>
      <c r="D14" s="8" t="s">
        <v>20</v>
      </c>
      <c r="E14" s="8" t="s">
        <v>37</v>
      </c>
      <c r="F14" s="9">
        <v>20190</v>
      </c>
      <c r="G14" s="9">
        <v>660000</v>
      </c>
      <c r="H14" s="9">
        <v>1978299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9.5" customHeight="1">
      <c r="A15" s="5"/>
      <c r="B15" s="7">
        <v>43774</v>
      </c>
      <c r="C15" s="8" t="s">
        <v>22</v>
      </c>
      <c r="D15" s="8" t="s">
        <v>17</v>
      </c>
      <c r="E15" s="8" t="s">
        <v>38</v>
      </c>
      <c r="F15" s="9">
        <v>16053</v>
      </c>
      <c r="G15" s="9">
        <v>228876</v>
      </c>
      <c r="H15" s="9">
        <v>914785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9.5" customHeight="1">
      <c r="A16" s="5"/>
      <c r="B16" s="7">
        <v>43788</v>
      </c>
      <c r="C16" s="8" t="s">
        <v>22</v>
      </c>
      <c r="D16" s="8" t="s">
        <v>20</v>
      </c>
      <c r="E16" s="8" t="s">
        <v>39</v>
      </c>
      <c r="F16" s="9">
        <v>23338</v>
      </c>
      <c r="G16" s="9">
        <v>729835</v>
      </c>
      <c r="H16" s="9">
        <v>1711222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9.5" customHeight="1">
      <c r="A17" s="5"/>
      <c r="B17" s="7">
        <v>43796</v>
      </c>
      <c r="C17" s="8" t="s">
        <v>22</v>
      </c>
      <c r="D17" s="8" t="s">
        <v>28</v>
      </c>
      <c r="E17" s="8" t="s">
        <v>40</v>
      </c>
      <c r="F17" s="9">
        <v>10057</v>
      </c>
      <c r="G17" s="9">
        <v>553551</v>
      </c>
      <c r="H17" s="9">
        <v>1257231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9.5" customHeight="1">
      <c r="A18" s="5"/>
      <c r="B18" s="7">
        <v>43794</v>
      </c>
      <c r="C18" s="8" t="s">
        <v>22</v>
      </c>
      <c r="D18" s="8" t="s">
        <v>17</v>
      </c>
      <c r="E18" s="8" t="s">
        <v>41</v>
      </c>
      <c r="F18" s="9">
        <v>7734</v>
      </c>
      <c r="G18" s="9">
        <v>1244348</v>
      </c>
      <c r="H18" s="9">
        <v>4078740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9.5" customHeight="1">
      <c r="A19" s="5"/>
      <c r="B19" s="7">
        <v>43798</v>
      </c>
      <c r="C19" s="8" t="s">
        <v>22</v>
      </c>
      <c r="D19" s="8" t="s">
        <v>25</v>
      </c>
      <c r="E19" s="8" t="s">
        <v>42</v>
      </c>
      <c r="F19" s="9">
        <v>8574</v>
      </c>
      <c r="G19" s="9">
        <v>2686453</v>
      </c>
      <c r="H19" s="9">
        <v>5897652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9.5" customHeight="1">
      <c r="A20" s="5"/>
      <c r="B20" s="7">
        <v>43824</v>
      </c>
      <c r="C20" s="8" t="s">
        <v>27</v>
      </c>
      <c r="D20" s="8" t="s">
        <v>25</v>
      </c>
      <c r="E20" s="8" t="s">
        <v>33</v>
      </c>
      <c r="F20" s="9">
        <v>9483</v>
      </c>
      <c r="G20" s="9">
        <v>2076115</v>
      </c>
      <c r="H20" s="9">
        <v>4852863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9.5" customHeight="1">
      <c r="A21" s="5"/>
      <c r="B21" s="7">
        <v>43826</v>
      </c>
      <c r="C21" s="8" t="s">
        <v>27</v>
      </c>
      <c r="D21" s="8" t="s">
        <v>25</v>
      </c>
      <c r="E21" s="8" t="s">
        <v>43</v>
      </c>
      <c r="F21" s="9">
        <v>9276</v>
      </c>
      <c r="G21" s="9">
        <v>1904840</v>
      </c>
      <c r="H21" s="9">
        <v>4687422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9.5" customHeight="1">
      <c r="A22" s="5"/>
      <c r="B22" s="7">
        <v>43829</v>
      </c>
      <c r="C22" s="8" t="s">
        <v>27</v>
      </c>
      <c r="D22" s="8" t="s">
        <v>20</v>
      </c>
      <c r="E22" s="8" t="s">
        <v>44</v>
      </c>
      <c r="F22" s="9">
        <v>5176</v>
      </c>
      <c r="G22" s="9">
        <v>740195</v>
      </c>
      <c r="H22" s="9">
        <v>1838220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9.5" customHeight="1">
      <c r="A23" s="5"/>
      <c r="B23" s="7">
        <v>43845</v>
      </c>
      <c r="C23" s="8" t="s">
        <v>30</v>
      </c>
      <c r="D23" s="8" t="s">
        <v>17</v>
      </c>
      <c r="E23" s="8" t="s">
        <v>35</v>
      </c>
      <c r="F23" s="9">
        <v>18575</v>
      </c>
      <c r="G23" s="9">
        <v>525195</v>
      </c>
      <c r="H23" s="9">
        <v>1958181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9.5" customHeight="1">
      <c r="A24" s="5"/>
      <c r="B24" s="7">
        <v>43855</v>
      </c>
      <c r="C24" s="8" t="s">
        <v>27</v>
      </c>
      <c r="D24" s="8" t="s">
        <v>25</v>
      </c>
      <c r="E24" s="8" t="s">
        <v>45</v>
      </c>
      <c r="F24" s="9">
        <v>8472</v>
      </c>
      <c r="G24" s="9">
        <v>488559</v>
      </c>
      <c r="H24" s="9">
        <v>1370705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9.5" customHeight="1">
      <c r="A25" s="5"/>
      <c r="B25" s="7">
        <v>43859</v>
      </c>
      <c r="C25" s="8" t="s">
        <v>27</v>
      </c>
      <c r="D25" s="8" t="s">
        <v>17</v>
      </c>
      <c r="E25" s="8" t="s">
        <v>46</v>
      </c>
      <c r="F25" s="9">
        <v>13193</v>
      </c>
      <c r="G25" s="9">
        <v>516876</v>
      </c>
      <c r="H25" s="9">
        <v>1683109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9.5" customHeight="1">
      <c r="A26" s="5"/>
      <c r="B26" s="7">
        <v>43831</v>
      </c>
      <c r="C26" s="8" t="s">
        <v>27</v>
      </c>
      <c r="D26" s="8" t="s">
        <v>20</v>
      </c>
      <c r="E26" s="8" t="s">
        <v>47</v>
      </c>
      <c r="F26" s="9">
        <v>5099</v>
      </c>
      <c r="G26" s="9">
        <v>1698733</v>
      </c>
      <c r="H26" s="9">
        <v>5664927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9.5" customHeight="1">
      <c r="A27" s="5"/>
      <c r="B27" s="7">
        <v>43832</v>
      </c>
      <c r="C27" s="8" t="s">
        <v>27</v>
      </c>
      <c r="D27" s="8" t="s">
        <v>17</v>
      </c>
      <c r="E27" s="8" t="s">
        <v>48</v>
      </c>
      <c r="F27" s="9">
        <v>12797</v>
      </c>
      <c r="G27" s="9">
        <v>2476489</v>
      </c>
      <c r="H27" s="9">
        <v>7239424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9.5" customHeight="1">
      <c r="A28" s="5"/>
      <c r="B28" s="7">
        <v>43832</v>
      </c>
      <c r="C28" s="8" t="s">
        <v>27</v>
      </c>
      <c r="D28" s="8" t="s">
        <v>20</v>
      </c>
      <c r="E28" s="8" t="s">
        <v>35</v>
      </c>
      <c r="F28" s="9">
        <v>19610</v>
      </c>
      <c r="G28" s="9">
        <v>3219058</v>
      </c>
      <c r="H28" s="9">
        <v>7874500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9.5" customHeight="1">
      <c r="A29" s="5"/>
      <c r="B29" s="7">
        <v>43832</v>
      </c>
      <c r="C29" s="8" t="s">
        <v>27</v>
      </c>
      <c r="D29" s="8" t="s">
        <v>17</v>
      </c>
      <c r="E29" s="8" t="s">
        <v>49</v>
      </c>
      <c r="F29" s="9">
        <v>13048</v>
      </c>
      <c r="G29" s="9">
        <v>498938</v>
      </c>
      <c r="H29" s="9">
        <v>1096869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/>
    <row r="231" spans="1:28" ht="15.75" customHeight="1"/>
    <row r="232" spans="1:28" ht="15.75" customHeight="1"/>
    <row r="233" spans="1:28" ht="15.75" customHeight="1"/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14"/>
  <sheetViews>
    <sheetView workbookViewId="0">
      <selection activeCell="H11" sqref="H11"/>
    </sheetView>
  </sheetViews>
  <sheetFormatPr defaultColWidth="14.44140625" defaultRowHeight="15" customHeight="1"/>
  <sheetData>
    <row r="2" spans="1:14" ht="15.6">
      <c r="A2" s="1" t="s">
        <v>0</v>
      </c>
    </row>
    <row r="3" spans="1:14" ht="41.25" customHeight="1">
      <c r="A3" s="15" t="s">
        <v>1</v>
      </c>
      <c r="B3" s="12"/>
      <c r="C3" s="12"/>
      <c r="D3" s="12"/>
      <c r="E3" s="12"/>
      <c r="F3" s="12"/>
      <c r="G3" s="13"/>
      <c r="H3" s="2"/>
      <c r="I3" s="2"/>
      <c r="J3" s="2"/>
      <c r="K3" s="2"/>
      <c r="L3" s="2"/>
      <c r="M3" s="2"/>
      <c r="N3" s="2"/>
    </row>
    <row r="4" spans="1:14" ht="14.4">
      <c r="A4" s="11" t="s">
        <v>2</v>
      </c>
      <c r="B4" s="12"/>
      <c r="C4" s="12"/>
      <c r="D4" s="12"/>
      <c r="E4" s="12"/>
      <c r="F4" s="12"/>
      <c r="G4" s="13"/>
      <c r="H4" s="3"/>
      <c r="I4" s="3"/>
      <c r="J4" s="3"/>
      <c r="K4" s="3"/>
      <c r="L4" s="3"/>
      <c r="M4" s="3"/>
      <c r="N4" s="3"/>
    </row>
    <row r="5" spans="1:14" ht="14.4">
      <c r="A5" s="11" t="s">
        <v>3</v>
      </c>
      <c r="B5" s="12"/>
      <c r="C5" s="12"/>
      <c r="D5" s="12"/>
      <c r="E5" s="12"/>
      <c r="F5" s="12"/>
      <c r="G5" s="13"/>
      <c r="H5" s="2"/>
      <c r="I5" s="2"/>
      <c r="J5" s="2"/>
      <c r="K5" s="2"/>
      <c r="L5" s="2"/>
      <c r="M5" s="2"/>
      <c r="N5" s="2"/>
    </row>
    <row r="6" spans="1:14" ht="14.4">
      <c r="A6" s="11" t="s">
        <v>4</v>
      </c>
      <c r="B6" s="12"/>
      <c r="C6" s="12"/>
      <c r="D6" s="12"/>
      <c r="E6" s="12"/>
      <c r="F6" s="12"/>
      <c r="G6" s="13"/>
      <c r="H6" s="2"/>
      <c r="I6" s="2"/>
      <c r="J6" s="2"/>
      <c r="K6" s="2"/>
      <c r="L6" s="2"/>
      <c r="M6" s="2"/>
      <c r="N6" s="2"/>
    </row>
    <row r="7" spans="1:14" ht="14.4">
      <c r="A7" s="11" t="s">
        <v>5</v>
      </c>
      <c r="B7" s="12"/>
      <c r="C7" s="12"/>
      <c r="D7" s="12"/>
      <c r="E7" s="12"/>
      <c r="F7" s="12"/>
      <c r="G7" s="13"/>
      <c r="H7" s="2"/>
      <c r="I7" s="2"/>
      <c r="J7" s="2"/>
      <c r="K7" s="2"/>
      <c r="L7" s="2"/>
      <c r="M7" s="2"/>
      <c r="N7" s="2"/>
    </row>
    <row r="8" spans="1:14" ht="14.4">
      <c r="A8" s="11" t="s">
        <v>6</v>
      </c>
      <c r="B8" s="12"/>
      <c r="C8" s="12"/>
      <c r="D8" s="12"/>
      <c r="E8" s="12"/>
      <c r="F8" s="12"/>
      <c r="G8" s="13"/>
      <c r="H8" s="2"/>
      <c r="I8" s="2"/>
      <c r="J8" s="2"/>
      <c r="K8" s="2"/>
      <c r="L8" s="2"/>
      <c r="M8" s="2"/>
      <c r="N8" s="2"/>
    </row>
    <row r="9" spans="1:14" ht="14.4">
      <c r="A9" s="15" t="s">
        <v>7</v>
      </c>
      <c r="B9" s="12"/>
      <c r="C9" s="12"/>
      <c r="D9" s="12"/>
      <c r="E9" s="12"/>
      <c r="F9" s="12"/>
      <c r="G9" s="13"/>
      <c r="H9" s="2"/>
      <c r="I9" s="2"/>
      <c r="J9" s="2"/>
      <c r="K9" s="2"/>
      <c r="L9" s="2"/>
      <c r="M9" s="2"/>
      <c r="N9" s="2"/>
    </row>
    <row r="14" spans="1:14" ht="14.4">
      <c r="F14" s="4"/>
    </row>
  </sheetData>
  <mergeCells count="7">
    <mergeCell ref="A8:G8"/>
    <mergeCell ref="A9:G9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41DB-CC84-4215-BCC1-152528D67755}">
  <dimension ref="A1:B4"/>
  <sheetViews>
    <sheetView workbookViewId="0">
      <selection activeCell="B20" sqref="B20"/>
    </sheetView>
  </sheetViews>
  <sheetFormatPr defaultRowHeight="14.4"/>
  <cols>
    <col min="1" max="1" width="12.5546875" bestFit="1" customWidth="1"/>
    <col min="2" max="2" width="11.6640625" bestFit="1" customWidth="1"/>
  </cols>
  <sheetData>
    <row r="1" spans="1:2">
      <c r="A1" s="16" t="s">
        <v>50</v>
      </c>
      <c r="B1" t="s">
        <v>54</v>
      </c>
    </row>
    <row r="2" spans="1:2">
      <c r="A2" s="17" t="s">
        <v>52</v>
      </c>
      <c r="B2" s="18">
        <v>56998122</v>
      </c>
    </row>
    <row r="3" spans="1:2">
      <c r="A3" s="17" t="s">
        <v>53</v>
      </c>
      <c r="B3" s="18">
        <v>26887715</v>
      </c>
    </row>
    <row r="4" spans="1:2">
      <c r="A4" s="17" t="s">
        <v>51</v>
      </c>
      <c r="B4" s="18">
        <v>83885837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E8BF-3651-4552-92DD-1A2B473970F5}">
  <dimension ref="A1:C4"/>
  <sheetViews>
    <sheetView workbookViewId="0">
      <selection activeCell="C15" sqref="C15"/>
    </sheetView>
  </sheetViews>
  <sheetFormatPr defaultRowHeight="14.4"/>
  <cols>
    <col min="1" max="1" width="12.5546875" bestFit="1" customWidth="1"/>
    <col min="2" max="2" width="11.109375" bestFit="1" customWidth="1"/>
    <col min="3" max="3" width="11.6640625" bestFit="1" customWidth="1"/>
  </cols>
  <sheetData>
    <row r="1" spans="1:3">
      <c r="A1" s="16" t="s">
        <v>50</v>
      </c>
      <c r="B1" t="s">
        <v>55</v>
      </c>
      <c r="C1" t="s">
        <v>54</v>
      </c>
    </row>
    <row r="2" spans="1:3">
      <c r="A2" s="17" t="s">
        <v>52</v>
      </c>
      <c r="B2" s="18">
        <v>23459036</v>
      </c>
      <c r="C2" s="18">
        <v>56998122</v>
      </c>
    </row>
    <row r="3" spans="1:3">
      <c r="A3" s="17" t="s">
        <v>53</v>
      </c>
      <c r="B3" s="18">
        <v>9423848</v>
      </c>
      <c r="C3" s="18">
        <v>26887715</v>
      </c>
    </row>
    <row r="4" spans="1:3">
      <c r="A4" s="17" t="s">
        <v>51</v>
      </c>
      <c r="B4" s="18">
        <v>32882884</v>
      </c>
      <c r="C4" s="18">
        <v>83885837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D879-8217-4BD5-8B5F-E2EB7C230C78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E991-D7AC-48A8-976C-1764E346CA9F}">
  <dimension ref="A1:B28"/>
  <sheetViews>
    <sheetView workbookViewId="0">
      <selection activeCell="E24" sqref="E24"/>
    </sheetView>
  </sheetViews>
  <sheetFormatPr defaultRowHeight="14.4"/>
  <cols>
    <col min="1" max="1" width="12.5546875" bestFit="1" customWidth="1"/>
    <col min="2" max="2" width="11.6640625" bestFit="1" customWidth="1"/>
  </cols>
  <sheetData>
    <row r="1" spans="1:2">
      <c r="A1" s="16" t="s">
        <v>50</v>
      </c>
      <c r="B1" t="s">
        <v>54</v>
      </c>
    </row>
    <row r="2" spans="1:2">
      <c r="A2" s="19">
        <v>228876</v>
      </c>
      <c r="B2" s="18">
        <v>914785</v>
      </c>
    </row>
    <row r="3" spans="1:2">
      <c r="A3" s="19">
        <v>319550</v>
      </c>
      <c r="B3" s="18">
        <v>1148912</v>
      </c>
    </row>
    <row r="4" spans="1:2">
      <c r="A4" s="19">
        <v>342811</v>
      </c>
      <c r="B4" s="18">
        <v>1209282</v>
      </c>
    </row>
    <row r="5" spans="1:2">
      <c r="A5" s="19">
        <v>488559</v>
      </c>
      <c r="B5" s="18">
        <v>1370705</v>
      </c>
    </row>
    <row r="6" spans="1:2">
      <c r="A6" s="19">
        <v>498938</v>
      </c>
      <c r="B6" s="18">
        <v>1096869</v>
      </c>
    </row>
    <row r="7" spans="1:2">
      <c r="A7" s="19">
        <v>516876</v>
      </c>
      <c r="B7" s="18">
        <v>1683109</v>
      </c>
    </row>
    <row r="8" spans="1:2">
      <c r="A8" s="19">
        <v>525195</v>
      </c>
      <c r="B8" s="18">
        <v>1958181</v>
      </c>
    </row>
    <row r="9" spans="1:2">
      <c r="A9" s="19">
        <v>553551</v>
      </c>
      <c r="B9" s="18">
        <v>1257231</v>
      </c>
    </row>
    <row r="10" spans="1:2">
      <c r="A10" s="19">
        <v>598287</v>
      </c>
      <c r="B10" s="18">
        <v>2300710</v>
      </c>
    </row>
    <row r="11" spans="1:2">
      <c r="A11" s="19">
        <v>616396</v>
      </c>
      <c r="B11" s="18">
        <v>1581662</v>
      </c>
    </row>
    <row r="12" spans="1:2">
      <c r="A12" s="19">
        <v>620927</v>
      </c>
      <c r="B12" s="18">
        <v>1741089</v>
      </c>
    </row>
    <row r="13" spans="1:2">
      <c r="A13" s="19">
        <v>660000</v>
      </c>
      <c r="B13" s="18">
        <v>1978299</v>
      </c>
    </row>
    <row r="14" spans="1:2">
      <c r="A14" s="19">
        <v>729835</v>
      </c>
      <c r="B14" s="18">
        <v>1711222</v>
      </c>
    </row>
    <row r="15" spans="1:2">
      <c r="A15" s="19">
        <v>740195</v>
      </c>
      <c r="B15" s="18">
        <v>1838220</v>
      </c>
    </row>
    <row r="16" spans="1:2">
      <c r="A16" s="19">
        <v>876327</v>
      </c>
      <c r="B16" s="18">
        <v>1757908</v>
      </c>
    </row>
    <row r="17" spans="1:2">
      <c r="A17" s="19">
        <v>913322</v>
      </c>
      <c r="B17" s="18">
        <v>1917080</v>
      </c>
    </row>
    <row r="18" spans="1:2">
      <c r="A18" s="19">
        <v>1244348</v>
      </c>
      <c r="B18" s="18">
        <v>4078740</v>
      </c>
    </row>
    <row r="19" spans="1:2">
      <c r="A19" s="19">
        <v>1698227</v>
      </c>
      <c r="B19" s="18">
        <v>4599112</v>
      </c>
    </row>
    <row r="20" spans="1:2">
      <c r="A20" s="19">
        <v>1698733</v>
      </c>
      <c r="B20" s="18">
        <v>5664927</v>
      </c>
    </row>
    <row r="21" spans="1:2">
      <c r="A21" s="19">
        <v>1904840</v>
      </c>
      <c r="B21" s="18">
        <v>4687422</v>
      </c>
    </row>
    <row r="22" spans="1:2">
      <c r="A22" s="19">
        <v>2076115</v>
      </c>
      <c r="B22" s="18">
        <v>4852863</v>
      </c>
    </row>
    <row r="23" spans="1:2">
      <c r="A23" s="19">
        <v>2476489</v>
      </c>
      <c r="B23" s="18">
        <v>7239424</v>
      </c>
    </row>
    <row r="24" spans="1:2">
      <c r="A24" s="19">
        <v>2532956</v>
      </c>
      <c r="B24" s="18">
        <v>5149890</v>
      </c>
    </row>
    <row r="25" spans="1:2">
      <c r="A25" s="19">
        <v>2686453</v>
      </c>
      <c r="B25" s="18">
        <v>5897652</v>
      </c>
    </row>
    <row r="26" spans="1:2">
      <c r="A26" s="19">
        <v>3219058</v>
      </c>
      <c r="B26" s="18">
        <v>7874500</v>
      </c>
    </row>
    <row r="27" spans="1:2">
      <c r="A27" s="19">
        <v>4116020</v>
      </c>
      <c r="B27" s="18">
        <v>8376043</v>
      </c>
    </row>
    <row r="28" spans="1:2">
      <c r="A28" s="19" t="s">
        <v>51</v>
      </c>
      <c r="B28" s="18">
        <v>83885837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4F5D-BECC-4146-A8A8-F395E1515553}">
  <dimension ref="A1"/>
  <sheetViews>
    <sheetView workbookViewId="0">
      <selection activeCell="G21" sqref="G21"/>
    </sheetView>
  </sheetViews>
  <sheetFormatPr defaultRowHeight="14.4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C5FA-4A90-424E-B067-FD25F9ECFD3F}">
  <dimension ref="A1:B25"/>
  <sheetViews>
    <sheetView workbookViewId="0">
      <selection activeCell="G23" sqref="G23"/>
    </sheetView>
  </sheetViews>
  <sheetFormatPr defaultRowHeight="14.4"/>
  <cols>
    <col min="1" max="1" width="12.5546875" bestFit="1" customWidth="1"/>
    <col min="2" max="2" width="11.109375" bestFit="1" customWidth="1"/>
  </cols>
  <sheetData>
    <row r="1" spans="1:2">
      <c r="A1" s="16" t="s">
        <v>50</v>
      </c>
      <c r="B1" t="s">
        <v>55</v>
      </c>
    </row>
    <row r="2" spans="1:2">
      <c r="A2" s="17" t="s">
        <v>18</v>
      </c>
      <c r="B2" s="18">
        <v>620927</v>
      </c>
    </row>
    <row r="3" spans="1:2">
      <c r="A3" s="17" t="s">
        <v>21</v>
      </c>
      <c r="B3" s="18">
        <v>2532956</v>
      </c>
    </row>
    <row r="4" spans="1:2">
      <c r="A4" s="17" t="s">
        <v>23</v>
      </c>
      <c r="B4" s="18">
        <v>598287</v>
      </c>
    </row>
    <row r="5" spans="1:2">
      <c r="A5" s="17" t="s">
        <v>26</v>
      </c>
      <c r="B5" s="18">
        <v>319550</v>
      </c>
    </row>
    <row r="6" spans="1:2">
      <c r="A6" s="17" t="s">
        <v>29</v>
      </c>
      <c r="B6" s="18">
        <v>1698227</v>
      </c>
    </row>
    <row r="7" spans="1:2">
      <c r="A7" s="17" t="s">
        <v>44</v>
      </c>
      <c r="B7" s="18">
        <v>740195</v>
      </c>
    </row>
    <row r="8" spans="1:2">
      <c r="A8" s="17" t="s">
        <v>31</v>
      </c>
      <c r="B8" s="18">
        <v>913322</v>
      </c>
    </row>
    <row r="9" spans="1:2">
      <c r="A9" s="17" t="s">
        <v>46</v>
      </c>
      <c r="B9" s="18">
        <v>516876</v>
      </c>
    </row>
    <row r="10" spans="1:2">
      <c r="A10" s="17" t="s">
        <v>42</v>
      </c>
      <c r="B10" s="18">
        <v>2686453</v>
      </c>
    </row>
    <row r="11" spans="1:2">
      <c r="A11" s="17" t="s">
        <v>47</v>
      </c>
      <c r="B11" s="18">
        <v>1698733</v>
      </c>
    </row>
    <row r="12" spans="1:2">
      <c r="A12" s="17" t="s">
        <v>48</v>
      </c>
      <c r="B12" s="18">
        <v>2476489</v>
      </c>
    </row>
    <row r="13" spans="1:2">
      <c r="A13" s="17" t="s">
        <v>38</v>
      </c>
      <c r="B13" s="18">
        <v>228876</v>
      </c>
    </row>
    <row r="14" spans="1:2">
      <c r="A14" s="17" t="s">
        <v>37</v>
      </c>
      <c r="B14" s="18">
        <v>660000</v>
      </c>
    </row>
    <row r="15" spans="1:2">
      <c r="A15" s="17" t="s">
        <v>33</v>
      </c>
      <c r="B15" s="18">
        <v>2952442</v>
      </c>
    </row>
    <row r="16" spans="1:2">
      <c r="A16" s="17" t="s">
        <v>39</v>
      </c>
      <c r="B16" s="18">
        <v>729835</v>
      </c>
    </row>
    <row r="17" spans="1:2">
      <c r="A17" s="17" t="s">
        <v>34</v>
      </c>
      <c r="B17" s="18">
        <v>342811</v>
      </c>
    </row>
    <row r="18" spans="1:2">
      <c r="A18" s="17" t="s">
        <v>35</v>
      </c>
      <c r="B18" s="18">
        <v>4360649</v>
      </c>
    </row>
    <row r="19" spans="1:2">
      <c r="A19" s="17" t="s">
        <v>45</v>
      </c>
      <c r="B19" s="18">
        <v>488559</v>
      </c>
    </row>
    <row r="20" spans="1:2">
      <c r="A20" s="17" t="s">
        <v>40</v>
      </c>
      <c r="B20" s="18">
        <v>553551</v>
      </c>
    </row>
    <row r="21" spans="1:2">
      <c r="A21" s="17" t="s">
        <v>41</v>
      </c>
      <c r="B21" s="18">
        <v>1244348</v>
      </c>
    </row>
    <row r="22" spans="1:2">
      <c r="A22" s="17" t="s">
        <v>43</v>
      </c>
      <c r="B22" s="18">
        <v>1904840</v>
      </c>
    </row>
    <row r="23" spans="1:2">
      <c r="A23" s="17" t="s">
        <v>36</v>
      </c>
      <c r="B23" s="18">
        <v>4116020</v>
      </c>
    </row>
    <row r="24" spans="1:2">
      <c r="A24" s="17" t="s">
        <v>49</v>
      </c>
      <c r="B24" s="18">
        <v>498938</v>
      </c>
    </row>
    <row r="25" spans="1:2">
      <c r="A25" s="17" t="s">
        <v>51</v>
      </c>
      <c r="B25" s="18">
        <v>32882884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6198-78E6-40F3-B88C-5983D4D09EF6}">
  <dimension ref="A1:B28"/>
  <sheetViews>
    <sheetView workbookViewId="0">
      <selection activeCell="P21" sqref="P21"/>
    </sheetView>
  </sheetViews>
  <sheetFormatPr defaultRowHeight="14.4"/>
  <cols>
    <col min="1" max="1" width="12.5546875" bestFit="1" customWidth="1"/>
    <col min="2" max="2" width="16.109375" bestFit="1" customWidth="1"/>
  </cols>
  <sheetData>
    <row r="1" spans="1:2">
      <c r="A1" s="16" t="s">
        <v>50</v>
      </c>
      <c r="B1" t="s">
        <v>56</v>
      </c>
    </row>
    <row r="2" spans="1:2">
      <c r="A2" s="19">
        <v>228876</v>
      </c>
      <c r="B2" s="18">
        <v>16053</v>
      </c>
    </row>
    <row r="3" spans="1:2">
      <c r="A3" s="19">
        <v>319550</v>
      </c>
      <c r="B3" s="18">
        <v>17190</v>
      </c>
    </row>
    <row r="4" spans="1:2">
      <c r="A4" s="19">
        <v>342811</v>
      </c>
      <c r="B4" s="18">
        <v>6914</v>
      </c>
    </row>
    <row r="5" spans="1:2">
      <c r="A5" s="19">
        <v>488559</v>
      </c>
      <c r="B5" s="18">
        <v>8472</v>
      </c>
    </row>
    <row r="6" spans="1:2">
      <c r="A6" s="19">
        <v>498938</v>
      </c>
      <c r="B6" s="18">
        <v>13048</v>
      </c>
    </row>
    <row r="7" spans="1:2">
      <c r="A7" s="19">
        <v>516876</v>
      </c>
      <c r="B7" s="18">
        <v>13193</v>
      </c>
    </row>
    <row r="8" spans="1:2">
      <c r="A8" s="19">
        <v>525195</v>
      </c>
      <c r="B8" s="18">
        <v>18575</v>
      </c>
    </row>
    <row r="9" spans="1:2">
      <c r="A9" s="19">
        <v>553551</v>
      </c>
      <c r="B9" s="18">
        <v>10057</v>
      </c>
    </row>
    <row r="10" spans="1:2">
      <c r="A10" s="19">
        <v>598287</v>
      </c>
      <c r="B10" s="18">
        <v>14823</v>
      </c>
    </row>
    <row r="11" spans="1:2">
      <c r="A11" s="19">
        <v>616396</v>
      </c>
      <c r="B11" s="18">
        <v>13657</v>
      </c>
    </row>
    <row r="12" spans="1:2">
      <c r="A12" s="19">
        <v>620927</v>
      </c>
      <c r="B12" s="18">
        <v>20871</v>
      </c>
    </row>
    <row r="13" spans="1:2">
      <c r="A13" s="19">
        <v>660000</v>
      </c>
      <c r="B13" s="18">
        <v>20190</v>
      </c>
    </row>
    <row r="14" spans="1:2">
      <c r="A14" s="19">
        <v>729835</v>
      </c>
      <c r="B14" s="18">
        <v>23338</v>
      </c>
    </row>
    <row r="15" spans="1:2">
      <c r="A15" s="19">
        <v>740195</v>
      </c>
      <c r="B15" s="18">
        <v>5176</v>
      </c>
    </row>
    <row r="16" spans="1:2">
      <c r="A16" s="19">
        <v>876327</v>
      </c>
      <c r="B16" s="18">
        <v>21434</v>
      </c>
    </row>
    <row r="17" spans="1:2">
      <c r="A17" s="19">
        <v>913322</v>
      </c>
      <c r="B17" s="18">
        <v>7499</v>
      </c>
    </row>
    <row r="18" spans="1:2">
      <c r="A18" s="19">
        <v>1244348</v>
      </c>
      <c r="B18" s="18">
        <v>7734</v>
      </c>
    </row>
    <row r="19" spans="1:2">
      <c r="A19" s="19">
        <v>1698227</v>
      </c>
      <c r="B19" s="18">
        <v>17154</v>
      </c>
    </row>
    <row r="20" spans="1:2">
      <c r="A20" s="19">
        <v>1698733</v>
      </c>
      <c r="B20" s="18">
        <v>5099</v>
      </c>
    </row>
    <row r="21" spans="1:2">
      <c r="A21" s="19">
        <v>1904840</v>
      </c>
      <c r="B21" s="18">
        <v>9276</v>
      </c>
    </row>
    <row r="22" spans="1:2">
      <c r="A22" s="19">
        <v>2076115</v>
      </c>
      <c r="B22" s="18">
        <v>9483</v>
      </c>
    </row>
    <row r="23" spans="1:2">
      <c r="A23" s="19">
        <v>2476489</v>
      </c>
      <c r="B23" s="18">
        <v>12797</v>
      </c>
    </row>
    <row r="24" spans="1:2">
      <c r="A24" s="19">
        <v>2532956</v>
      </c>
      <c r="B24" s="18">
        <v>13685</v>
      </c>
    </row>
    <row r="25" spans="1:2">
      <c r="A25" s="19">
        <v>2686453</v>
      </c>
      <c r="B25" s="18">
        <v>8574</v>
      </c>
    </row>
    <row r="26" spans="1:2">
      <c r="A26" s="19">
        <v>3219058</v>
      </c>
      <c r="B26" s="18">
        <v>19610</v>
      </c>
    </row>
    <row r="27" spans="1:2">
      <c r="A27" s="19">
        <v>4116020</v>
      </c>
      <c r="B27" s="18">
        <v>18783</v>
      </c>
    </row>
    <row r="28" spans="1:2">
      <c r="A28" s="19" t="s">
        <v>51</v>
      </c>
      <c r="B28" s="18">
        <v>352685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4AEA-69E1-4AD4-BE22-5F3FF8E8182D}">
  <dimension ref="A3:B26"/>
  <sheetViews>
    <sheetView workbookViewId="0">
      <selection activeCell="J2" sqref="J2"/>
    </sheetView>
  </sheetViews>
  <sheetFormatPr defaultRowHeight="14.4"/>
  <cols>
    <col min="1" max="1" width="9.33203125" bestFit="1" customWidth="1"/>
    <col min="2" max="2" width="11.6640625" bestFit="1" customWidth="1"/>
  </cols>
  <sheetData>
    <row r="3" spans="1:2">
      <c r="A3" s="16" t="s">
        <v>12</v>
      </c>
      <c r="B3" t="s">
        <v>54</v>
      </c>
    </row>
    <row r="4" spans="1:2">
      <c r="A4" t="s">
        <v>18</v>
      </c>
      <c r="B4" s="21">
        <v>1741089</v>
      </c>
    </row>
    <row r="5" spans="1:2">
      <c r="A5" t="s">
        <v>21</v>
      </c>
      <c r="B5" s="21">
        <v>5149890</v>
      </c>
    </row>
    <row r="6" spans="1:2">
      <c r="A6" t="s">
        <v>23</v>
      </c>
      <c r="B6" s="21">
        <v>2300710</v>
      </c>
    </row>
    <row r="7" spans="1:2">
      <c r="A7" t="s">
        <v>26</v>
      </c>
      <c r="B7" s="21">
        <v>1148912</v>
      </c>
    </row>
    <row r="8" spans="1:2">
      <c r="A8" t="s">
        <v>29</v>
      </c>
      <c r="B8" s="21">
        <v>4599112</v>
      </c>
    </row>
    <row r="9" spans="1:2">
      <c r="A9" t="s">
        <v>44</v>
      </c>
      <c r="B9" s="21">
        <v>1838220</v>
      </c>
    </row>
    <row r="10" spans="1:2">
      <c r="A10" t="s">
        <v>31</v>
      </c>
      <c r="B10" s="21">
        <v>1917080</v>
      </c>
    </row>
    <row r="11" spans="1:2">
      <c r="A11" t="s">
        <v>46</v>
      </c>
      <c r="B11" s="21">
        <v>1683109</v>
      </c>
    </row>
    <row r="12" spans="1:2">
      <c r="A12" t="s">
        <v>42</v>
      </c>
      <c r="B12" s="21">
        <v>5897652</v>
      </c>
    </row>
    <row r="13" spans="1:2">
      <c r="A13" t="s">
        <v>47</v>
      </c>
      <c r="B13" s="21">
        <v>5664927</v>
      </c>
    </row>
    <row r="14" spans="1:2">
      <c r="A14" t="s">
        <v>48</v>
      </c>
      <c r="B14" s="21">
        <v>7239424</v>
      </c>
    </row>
    <row r="15" spans="1:2">
      <c r="A15" t="s">
        <v>38</v>
      </c>
      <c r="B15" s="21">
        <v>914785</v>
      </c>
    </row>
    <row r="16" spans="1:2">
      <c r="A16" t="s">
        <v>37</v>
      </c>
      <c r="B16" s="21">
        <v>1978299</v>
      </c>
    </row>
    <row r="17" spans="1:2">
      <c r="A17" t="s">
        <v>33</v>
      </c>
      <c r="B17" s="21">
        <v>6610771</v>
      </c>
    </row>
    <row r="18" spans="1:2">
      <c r="A18" t="s">
        <v>39</v>
      </c>
      <c r="B18" s="21">
        <v>1711222</v>
      </c>
    </row>
    <row r="19" spans="1:2">
      <c r="A19" t="s">
        <v>34</v>
      </c>
      <c r="B19" s="21">
        <v>1209282</v>
      </c>
    </row>
    <row r="20" spans="1:2">
      <c r="A20" t="s">
        <v>35</v>
      </c>
      <c r="B20" s="21">
        <v>11414343</v>
      </c>
    </row>
    <row r="21" spans="1:2">
      <c r="A21" t="s">
        <v>45</v>
      </c>
      <c r="B21" s="21">
        <v>1370705</v>
      </c>
    </row>
    <row r="22" spans="1:2">
      <c r="A22" t="s">
        <v>40</v>
      </c>
      <c r="B22" s="21">
        <v>1257231</v>
      </c>
    </row>
    <row r="23" spans="1:2">
      <c r="A23" t="s">
        <v>41</v>
      </c>
      <c r="B23" s="21">
        <v>4078740</v>
      </c>
    </row>
    <row r="24" spans="1:2">
      <c r="A24" t="s">
        <v>43</v>
      </c>
      <c r="B24" s="21">
        <v>4687422</v>
      </c>
    </row>
    <row r="25" spans="1:2">
      <c r="A25" t="s">
        <v>36</v>
      </c>
      <c r="B25" s="21">
        <v>8376043</v>
      </c>
    </row>
    <row r="26" spans="1:2">
      <c r="A26" t="s">
        <v>49</v>
      </c>
      <c r="B26" s="21">
        <v>1096869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8502-BF97-425D-AC0C-8A9E8DEF31CF}">
  <dimension ref="A1:B31"/>
  <sheetViews>
    <sheetView tabSelected="1" workbookViewId="0">
      <selection activeCell="D9" sqref="D9"/>
    </sheetView>
  </sheetViews>
  <sheetFormatPr defaultRowHeight="14.4"/>
  <cols>
    <col min="2" max="2" width="10.88671875" customWidth="1"/>
  </cols>
  <sheetData>
    <row r="1" spans="1:2">
      <c r="A1" t="s">
        <v>57</v>
      </c>
    </row>
    <row r="2" spans="1:2">
      <c r="A2" t="s">
        <v>58</v>
      </c>
    </row>
    <row r="5" spans="1:2" ht="18">
      <c r="A5" s="6" t="s">
        <v>12</v>
      </c>
      <c r="B5" s="6" t="s">
        <v>15</v>
      </c>
    </row>
    <row r="6" spans="1:2" ht="15.6">
      <c r="A6" s="8" t="s">
        <v>18</v>
      </c>
      <c r="B6" s="20">
        <v>1741089</v>
      </c>
    </row>
    <row r="7" spans="1:2" ht="15.6">
      <c r="A7" s="8" t="s">
        <v>21</v>
      </c>
      <c r="B7" s="20">
        <v>5149890</v>
      </c>
    </row>
    <row r="8" spans="1:2" ht="15.6">
      <c r="A8" s="8" t="s">
        <v>23</v>
      </c>
      <c r="B8" s="20">
        <v>2300710</v>
      </c>
    </row>
    <row r="9" spans="1:2" ht="15.6">
      <c r="A9" s="8" t="s">
        <v>26</v>
      </c>
      <c r="B9" s="20">
        <v>1148912</v>
      </c>
    </row>
    <row r="10" spans="1:2" ht="15.6">
      <c r="A10" s="8" t="s">
        <v>29</v>
      </c>
      <c r="B10" s="20">
        <v>4599112</v>
      </c>
    </row>
    <row r="11" spans="1:2" ht="15.6">
      <c r="A11" s="8" t="s">
        <v>31</v>
      </c>
      <c r="B11" s="20">
        <v>1917080</v>
      </c>
    </row>
    <row r="12" spans="1:2" ht="15.6">
      <c r="A12" s="8" t="s">
        <v>33</v>
      </c>
      <c r="B12" s="20">
        <v>1757908</v>
      </c>
    </row>
    <row r="13" spans="1:2" ht="15.6">
      <c r="A13" s="8" t="s">
        <v>34</v>
      </c>
      <c r="B13" s="20">
        <v>1209282</v>
      </c>
    </row>
    <row r="14" spans="1:2" ht="15.6">
      <c r="A14" s="8" t="s">
        <v>35</v>
      </c>
      <c r="B14" s="20">
        <v>1581662</v>
      </c>
    </row>
    <row r="15" spans="1:2" ht="15.6">
      <c r="A15" s="8" t="s">
        <v>36</v>
      </c>
      <c r="B15" s="20">
        <v>8376043</v>
      </c>
    </row>
    <row r="16" spans="1:2" ht="15.6">
      <c r="A16" s="8" t="s">
        <v>37</v>
      </c>
      <c r="B16" s="20">
        <v>1978299</v>
      </c>
    </row>
    <row r="17" spans="1:2" ht="15.6">
      <c r="A17" s="8" t="s">
        <v>38</v>
      </c>
      <c r="B17" s="20">
        <v>914785</v>
      </c>
    </row>
    <row r="18" spans="1:2" ht="15.6">
      <c r="A18" s="8" t="s">
        <v>39</v>
      </c>
      <c r="B18" s="20">
        <v>1711222</v>
      </c>
    </row>
    <row r="19" spans="1:2" ht="15.6">
      <c r="A19" s="8" t="s">
        <v>40</v>
      </c>
      <c r="B19" s="20">
        <v>1257231</v>
      </c>
    </row>
    <row r="20" spans="1:2" ht="15.6">
      <c r="A20" s="8" t="s">
        <v>41</v>
      </c>
      <c r="B20" s="20">
        <v>4078740</v>
      </c>
    </row>
    <row r="21" spans="1:2" ht="15.6">
      <c r="A21" s="8" t="s">
        <v>42</v>
      </c>
      <c r="B21" s="20">
        <v>5897652</v>
      </c>
    </row>
    <row r="22" spans="1:2" ht="15.6">
      <c r="A22" s="8" t="s">
        <v>33</v>
      </c>
      <c r="B22" s="20">
        <v>4852863</v>
      </c>
    </row>
    <row r="23" spans="1:2" ht="15.6">
      <c r="A23" s="8" t="s">
        <v>43</v>
      </c>
      <c r="B23" s="20">
        <v>4687422</v>
      </c>
    </row>
    <row r="24" spans="1:2" ht="15.6">
      <c r="A24" s="8" t="s">
        <v>44</v>
      </c>
      <c r="B24" s="20">
        <v>1838220</v>
      </c>
    </row>
    <row r="25" spans="1:2" ht="15.6">
      <c r="A25" s="8" t="s">
        <v>35</v>
      </c>
      <c r="B25" s="20">
        <v>1958181</v>
      </c>
    </row>
    <row r="26" spans="1:2" ht="15.6">
      <c r="A26" s="8" t="s">
        <v>45</v>
      </c>
      <c r="B26" s="20">
        <v>1370705</v>
      </c>
    </row>
    <row r="27" spans="1:2" ht="15.6">
      <c r="A27" s="8" t="s">
        <v>46</v>
      </c>
      <c r="B27" s="20">
        <v>1683109</v>
      </c>
    </row>
    <row r="28" spans="1:2" ht="15.6">
      <c r="A28" s="8" t="s">
        <v>47</v>
      </c>
      <c r="B28" s="20">
        <v>5664927</v>
      </c>
    </row>
    <row r="29" spans="1:2" ht="15.6">
      <c r="A29" s="8" t="s">
        <v>48</v>
      </c>
      <c r="B29" s="20">
        <v>7239424</v>
      </c>
    </row>
    <row r="30" spans="1:2" ht="15.6">
      <c r="A30" s="8" t="s">
        <v>35</v>
      </c>
      <c r="B30" s="20">
        <v>7874500</v>
      </c>
    </row>
    <row r="31" spans="1:2" ht="15.6">
      <c r="A31" s="8" t="s">
        <v>49</v>
      </c>
      <c r="B31" s="20">
        <v>1096869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Index</vt:lpstr>
      <vt:lpstr>ans 1</vt:lpstr>
      <vt:lpstr>ans 2</vt:lpstr>
      <vt:lpstr>Sheet3</vt:lpstr>
      <vt:lpstr>ans 4</vt:lpstr>
      <vt:lpstr>ans 4 (copied chart)</vt:lpstr>
      <vt:lpstr>ans 5</vt:lpstr>
      <vt:lpstr>ans 6 </vt:lpstr>
      <vt:lpstr>ans 7 </vt:lpstr>
      <vt:lpstr>ans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2026-02-16T04:52:21Z</dcterms:modified>
</cp:coreProperties>
</file>