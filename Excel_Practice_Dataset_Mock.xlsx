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0A01957-9419-47BF-828D-41C0977D6B9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alesData" sheetId="1" r:id="rId1"/>
    <sheet name="question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6" i="2" l="1" a="1"/>
  <c r="F86" i="2" s="1"/>
  <c r="F84" i="2" a="1"/>
  <c r="F84" i="2" s="1"/>
  <c r="F15" i="2"/>
  <c r="S3" i="1"/>
  <c r="S4" i="1"/>
  <c r="S5" i="1"/>
  <c r="S6" i="1"/>
  <c r="S7" i="1"/>
  <c r="S8" i="1"/>
  <c r="S9" i="1"/>
  <c r="S10" i="1"/>
  <c r="S11" i="1"/>
  <c r="S2" i="1"/>
  <c r="K25" i="1"/>
  <c r="J26" i="1"/>
  <c r="J25" i="1"/>
  <c r="M21" i="1"/>
  <c r="L21" i="1"/>
  <c r="K21" i="1"/>
  <c r="J21" i="1"/>
  <c r="J18" i="1"/>
  <c r="K18" i="1" s="1"/>
  <c r="J15" i="1"/>
  <c r="L15" i="1" s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H55" i="2"/>
  <c r="H53" i="2"/>
  <c r="H51" i="2"/>
  <c r="H49" i="2"/>
  <c r="H47" i="2"/>
  <c r="H45" i="2"/>
  <c r="G39" i="2"/>
  <c r="G37" i="2"/>
  <c r="G35" i="2"/>
  <c r="G33" i="2"/>
  <c r="G31" i="2"/>
  <c r="G29" i="2"/>
  <c r="G27" i="2"/>
  <c r="G25" i="2"/>
  <c r="F19" i="2"/>
  <c r="F17" i="2"/>
  <c r="F13" i="2"/>
  <c r="F11" i="2"/>
  <c r="F9" i="2"/>
  <c r="I11" i="1"/>
  <c r="I10" i="1"/>
  <c r="I9" i="1"/>
  <c r="I8" i="1"/>
  <c r="I7" i="1"/>
  <c r="I6" i="1"/>
  <c r="I5" i="1"/>
  <c r="I4" i="1"/>
  <c r="I3" i="1"/>
  <c r="I2" i="1"/>
  <c r="K15" i="1" l="1"/>
  <c r="M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<sst xmlns="http://schemas.openxmlformats.org/spreadsheetml/2006/main" count="221" uniqueCount="131">
  <si>
    <t>OrderID</t>
  </si>
  <si>
    <t>Date</t>
  </si>
  <si>
    <t>Customer</t>
  </si>
  <si>
    <t>Region</t>
  </si>
  <si>
    <t>Salesperson</t>
  </si>
  <si>
    <t>Product</t>
  </si>
  <si>
    <t>Quantity</t>
  </si>
  <si>
    <t>UnitPrice</t>
  </si>
  <si>
    <t>Revenue</t>
  </si>
  <si>
    <t>2026-03-01</t>
  </si>
  <si>
    <t>Amit</t>
  </si>
  <si>
    <t>North</t>
  </si>
  <si>
    <t>Rahul</t>
  </si>
  <si>
    <t>Laptop</t>
  </si>
  <si>
    <t>2026-03-02</t>
  </si>
  <si>
    <t>Priya</t>
  </si>
  <si>
    <t>South</t>
  </si>
  <si>
    <t>Neha</t>
  </si>
  <si>
    <t>Mouse</t>
  </si>
  <si>
    <t>2026-03-03</t>
  </si>
  <si>
    <t>Rohit</t>
  </si>
  <si>
    <t>East</t>
  </si>
  <si>
    <t>Keyboard</t>
  </si>
  <si>
    <t>2026-03-05</t>
  </si>
  <si>
    <t>Simran</t>
  </si>
  <si>
    <t>West</t>
  </si>
  <si>
    <t>Arjun</t>
  </si>
  <si>
    <t>2026-03-06</t>
  </si>
  <si>
    <t>2026-03-07</t>
  </si>
  <si>
    <t>Karan</t>
  </si>
  <si>
    <t>Monitor</t>
  </si>
  <si>
    <t>2026-03-10</t>
  </si>
  <si>
    <t>2026-03-11</t>
  </si>
  <si>
    <t>2026-03-12</t>
  </si>
  <si>
    <t>2026-03-15</t>
  </si>
  <si>
    <t>ACCIOJOB FINAL MOCK – EXCEL PRACTICE</t>
  </si>
  <si>
    <t>DATASET: Use the SalesData sheet.</t>
  </si>
  <si>
    <t>--------------------------------------------------</t>
  </si>
  <si>
    <t>BASIC EXCEL</t>
  </si>
  <si>
    <t>Q1. Find Total Revenue generated from all orders.</t>
  </si>
  <si>
    <t>Q2. Find the Highest Revenue Order Value.</t>
  </si>
  <si>
    <t>Q3. Find the Lowest Revenue Order Value.</t>
  </si>
  <si>
    <t>Q4. Find the Total Number of Orders.</t>
  </si>
  <si>
    <t>Q5. Find the Average Revenue per Order.</t>
  </si>
  <si>
    <t>Q6. Find the Total Quantity Sold.</t>
  </si>
  <si>
    <t>COUNTIF / SUMIF</t>
  </si>
  <si>
    <t>Q7. How many orders were handled by Rahul?</t>
  </si>
  <si>
    <t>Q8. What is the total revenue generated by Rahul?</t>
  </si>
  <si>
    <t>Q9. How many orders belong to the North region?</t>
  </si>
  <si>
    <t>Q10. What is the total revenue generated in the North region?</t>
  </si>
  <si>
    <t>Q11. How many Laptop orders are there?</t>
  </si>
  <si>
    <t>Q12. What is the total revenue generated from Laptop sales?</t>
  </si>
  <si>
    <t>Q13. How many orders were handled by Neha?</t>
  </si>
  <si>
    <t>Q14. What is the total revenue generated by Neha?</t>
  </si>
  <si>
    <t>COUNTIFS / SUMIFS</t>
  </si>
  <si>
    <t>Q15. Find revenue generated by Rahul in the North region.</t>
  </si>
  <si>
    <t>Q16. Count Laptop orders handled by Rahul.</t>
  </si>
  <si>
    <t>Q17. Find revenue generated from Mouse sales in the South region.</t>
  </si>
  <si>
    <t>Q18. Count orders from East region handled by Arjun.</t>
  </si>
  <si>
    <t>Q19. Find total revenue generated by Neha in the North region.</t>
  </si>
  <si>
    <t>Q20. Count orders where Product = Mouse and Quantity &gt; 4.</t>
  </si>
  <si>
    <t>IF FUNCTION</t>
  </si>
  <si>
    <t>Q21. Create a column called Order_Type.</t>
  </si>
  <si>
    <t>If Revenue &gt; 20000 → High Value</t>
  </si>
  <si>
    <t>Else → Low Value</t>
  </si>
  <si>
    <t>Q22. Create a column called Quantity_Type.</t>
  </si>
  <si>
    <t>If Quantity &gt;= 5 → Bulk</t>
  </si>
  <si>
    <t>Else → Regular</t>
  </si>
  <si>
    <t>Q23. Create a column called Performance.</t>
  </si>
  <si>
    <t>If Revenue &gt;= 50000 → Excellent</t>
  </si>
  <si>
    <t>Else → Average</t>
  </si>
  <si>
    <t>DATE FUNCTIONS</t>
  </si>
  <si>
    <t>Q24. Extract Month from Date.</t>
  </si>
  <si>
    <t>Q25. Extract Day from Date.</t>
  </si>
  <si>
    <t>Q26. Count orders placed after 07-Mar-2026.</t>
  </si>
  <si>
    <t>Q27. Find revenue generated after 10-Mar-2026.</t>
  </si>
  <si>
    <t>TEXT FUNCTIONS</t>
  </si>
  <si>
    <t>Q28. Extract first 3 letters of Customer name.</t>
  </si>
  <si>
    <t>Q29. Find length of Product name.</t>
  </si>
  <si>
    <t>Q30. Convert Product names into UPPERCASE.</t>
  </si>
  <si>
    <t>Q31. Convert Customer names into lowercase.</t>
  </si>
  <si>
    <t>BUSINESS WORD PROBLEMS</t>
  </si>
  <si>
    <t>Q32. Which salesperson generated the highest revenue?</t>
  </si>
  <si>
    <t>Q33. Which customer spent the most money?</t>
  </si>
  <si>
    <t>Q34. Which region generated the maximum revenue?</t>
  </si>
  <si>
    <t>Q35. Which product generated the maximum revenue?</t>
  </si>
  <si>
    <t>Q36. Which salesperson handled the maximum number of orders?</t>
  </si>
  <si>
    <t>Q37. Which product sold the highest quantity?</t>
  </si>
  <si>
    <t>Q38. What percentage of total revenue came from Laptop sales?</t>
  </si>
  <si>
    <t>Q39. What is the average revenue generated per salesperson?</t>
  </si>
  <si>
    <t>Q40. If next month's revenue drops by 10%, what will be the expected revenue?</t>
  </si>
  <si>
    <t>PIVOT TABLE QUESTIONS</t>
  </si>
  <si>
    <t>Q41. Create a Pivot Table showing Revenue by Salesperson.</t>
  </si>
  <si>
    <t>Q42. Create a Pivot Table showing Revenue by Region.</t>
  </si>
  <si>
    <t>Q43. Create a Pivot Table showing Revenue by Product.</t>
  </si>
  <si>
    <t>Q44. Create a Pivot Table showing Quantity by Product.</t>
  </si>
  <si>
    <t>Q45. Create a Pivot Table showing Revenue by Salesperson and Region.</t>
  </si>
  <si>
    <t>INTERVIEW-STYLE WORD PROBLEMS</t>
  </si>
  <si>
    <t>Q46. Management says revenue is decreasing. Which columns would you analyze first and why?</t>
  </si>
  <si>
    <t>Q47. Which salesperson should receive the best performer award?</t>
  </si>
  <si>
    <t>Q48. Which product should the company focus on promoting?</t>
  </si>
  <si>
    <t>Q49. Which region is underperforming?</t>
  </si>
  <si>
    <t>Q50. If the company wants to increase revenue quickly, what action would you recommend based on the dataset?</t>
  </si>
  <si>
    <t>Order_Type</t>
  </si>
  <si>
    <t>Done</t>
  </si>
  <si>
    <t>Quantity_Type</t>
  </si>
  <si>
    <t>Performance</t>
  </si>
  <si>
    <t>Month</t>
  </si>
  <si>
    <t>Day</t>
  </si>
  <si>
    <t>First_three</t>
  </si>
  <si>
    <t>Length</t>
  </si>
  <si>
    <t>Upper</t>
  </si>
  <si>
    <t>Lower</t>
  </si>
  <si>
    <t>Ans32</t>
  </si>
  <si>
    <t>Ans33</t>
  </si>
  <si>
    <t>Ans34</t>
  </si>
  <si>
    <t>Ans35</t>
  </si>
  <si>
    <t>Ans36</t>
  </si>
  <si>
    <t>Ans37</t>
  </si>
  <si>
    <t>Ans38</t>
  </si>
  <si>
    <t>AverageRevenue</t>
  </si>
  <si>
    <t>Row Labels</t>
  </si>
  <si>
    <t>Grand Total</t>
  </si>
  <si>
    <t>Column Labels</t>
  </si>
  <si>
    <t>Sum of Revenue</t>
  </si>
  <si>
    <t>Sum of Quantity</t>
  </si>
  <si>
    <t>I will analyze the revenue column and check where is it decreasing.</t>
  </si>
  <si>
    <t>Rahul as he has the highest revenue generated.</t>
  </si>
  <si>
    <t>Laptops as they were sold the most.</t>
  </si>
  <si>
    <t>East region is underperforming.</t>
  </si>
  <si>
    <t>Increasing revenue would include focusing on product like laptop and promoting Rahul the most also selling in North region would be perfect.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</si>
</sst>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9" fontId="0" fillId="0" borderId="0" xfId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8.647939930554" createdVersion="8" refreshedVersion="8" minRefreshableVersion="3" recordCount="10" xr:uid="{AB879A37-BC14-44F4-BA10-D02D3329671F}">
  <cacheSource type="worksheet">
    <worksheetSource ref="A1:S11" sheet="SalesData"/>
  </cacheSource>
  <cacheFields count="19">
    <cacheField name="OrderID" numFmtId="0">
      <sharedItems containsSemiMixedTypes="0" containsString="0" containsNumber="1" containsInteger="1" minValue="1001" maxValue="1010"/>
    </cacheField>
    <cacheField name="Date" numFmtId="0">
      <sharedItems/>
    </cacheField>
    <cacheField name="Customer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3">
        <s v="Rahul"/>
        <s v="Neha"/>
        <s v="Arjun"/>
      </sharedItems>
    </cacheField>
    <cacheField name="Product" numFmtId="0">
      <sharedItems count="4">
        <s v="Laptop"/>
        <s v="Mouse"/>
        <s v="Keyboard"/>
        <s v="Monitor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500" maxValue="50000"/>
    </cacheField>
    <cacheField name="Revenue" numFmtId="0">
      <sharedItems containsSemiMixedTypes="0" containsString="0" containsNumber="1" containsInteger="1" minValue="2000" maxValue="100000" count="9">
        <n v="100000"/>
        <n v="2500"/>
        <n v="4500"/>
        <n v="50000"/>
        <n v="2000"/>
        <n v="24000"/>
        <n v="3000"/>
        <n v="12000"/>
        <n v="5000"/>
      </sharedItems>
    </cacheField>
    <cacheField name="Order_Type" numFmtId="0">
      <sharedItems/>
    </cacheField>
    <cacheField name="Quantity_Type" numFmtId="0">
      <sharedItems/>
    </cacheField>
    <cacheField name="Performance" numFmtId="0">
      <sharedItems/>
    </cacheField>
    <cacheField name="Month" numFmtId="0">
      <sharedItems containsSemiMixedTypes="0" containsString="0" containsNumber="1" containsInteger="1" minValue="3" maxValue="3"/>
    </cacheField>
    <cacheField name="Day" numFmtId="0">
      <sharedItems containsSemiMixedTypes="0" containsString="0" containsNumber="1" containsInteger="1" minValue="1" maxValue="15"/>
    </cacheField>
    <cacheField name="First_three" numFmtId="0">
      <sharedItems/>
    </cacheField>
    <cacheField name="Length" numFmtId="0">
      <sharedItems containsSemiMixedTypes="0" containsString="0" containsNumber="1" containsInteger="1" minValue="5" maxValue="8"/>
    </cacheField>
    <cacheField name="Upper" numFmtId="0">
      <sharedItems/>
    </cacheField>
    <cacheField name="Lower" numFmtId="0">
      <sharedItems/>
    </cacheField>
    <cacheField name="AverageRevenue" numFmtId="0">
      <sharedItems containsSemiMixedTypes="0" containsString="0" containsNumber="1" minValue="5500" maxValue="44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2026-03-01"/>
    <s v="Amit"/>
    <x v="0"/>
    <x v="0"/>
    <x v="0"/>
    <n v="2"/>
    <n v="50000"/>
    <x v="0"/>
    <s v="High Value"/>
    <s v="Regular"/>
    <s v="Excellent"/>
    <n v="3"/>
    <n v="1"/>
    <s v="Ami"/>
    <n v="6"/>
    <s v="LAPTOP"/>
    <s v="amit"/>
    <n v="44625"/>
  </r>
  <r>
    <n v="1002"/>
    <s v="2026-03-02"/>
    <s v="Priya"/>
    <x v="1"/>
    <x v="1"/>
    <x v="1"/>
    <n v="5"/>
    <n v="500"/>
    <x v="1"/>
    <s v="Low Value"/>
    <s v="Bulk"/>
    <s v="Average"/>
    <n v="3"/>
    <n v="2"/>
    <s v="Pri"/>
    <n v="5"/>
    <s v="MOUSE"/>
    <s v="priya"/>
    <n v="5500"/>
  </r>
  <r>
    <n v="1003"/>
    <s v="2026-03-03"/>
    <s v="Rohit"/>
    <x v="2"/>
    <x v="0"/>
    <x v="2"/>
    <n v="3"/>
    <n v="1500"/>
    <x v="2"/>
    <s v="Low Value"/>
    <s v="Regular"/>
    <s v="Average"/>
    <n v="3"/>
    <n v="3"/>
    <s v="Roh"/>
    <n v="8"/>
    <s v="KEYBOARD"/>
    <s v="rohit"/>
    <n v="44625"/>
  </r>
  <r>
    <n v="1004"/>
    <s v="2026-03-05"/>
    <s v="Simran"/>
    <x v="3"/>
    <x v="2"/>
    <x v="0"/>
    <n v="1"/>
    <n v="50000"/>
    <x v="3"/>
    <s v="High Value"/>
    <s v="Regular"/>
    <s v="Excellent"/>
    <n v="3"/>
    <n v="5"/>
    <s v="Sim"/>
    <n v="6"/>
    <s v="LAPTOP"/>
    <s v="simran"/>
    <n v="19333.333333333332"/>
  </r>
  <r>
    <n v="1005"/>
    <s v="2026-03-06"/>
    <s v="Amit"/>
    <x v="0"/>
    <x v="1"/>
    <x v="1"/>
    <n v="4"/>
    <n v="500"/>
    <x v="4"/>
    <s v="Low Value"/>
    <s v="Regular"/>
    <s v="Average"/>
    <n v="3"/>
    <n v="6"/>
    <s v="Ami"/>
    <n v="5"/>
    <s v="MOUSE"/>
    <s v="amit"/>
    <n v="5500"/>
  </r>
  <r>
    <n v="1006"/>
    <s v="2026-03-07"/>
    <s v="Karan"/>
    <x v="1"/>
    <x v="0"/>
    <x v="3"/>
    <n v="2"/>
    <n v="12000"/>
    <x v="5"/>
    <s v="High Value"/>
    <s v="Regular"/>
    <s v="Average"/>
    <n v="3"/>
    <n v="7"/>
    <s v="Kar"/>
    <n v="7"/>
    <s v="MONITOR"/>
    <s v="karan"/>
    <n v="44625"/>
  </r>
  <r>
    <n v="1007"/>
    <s v="2026-03-10"/>
    <s v="Priya"/>
    <x v="2"/>
    <x v="2"/>
    <x v="2"/>
    <n v="2"/>
    <n v="1500"/>
    <x v="6"/>
    <s v="Low Value"/>
    <s v="Regular"/>
    <s v="Average"/>
    <n v="3"/>
    <n v="10"/>
    <s v="Pri"/>
    <n v="8"/>
    <s v="KEYBOARD"/>
    <s v="priya"/>
    <n v="19333.333333333332"/>
  </r>
  <r>
    <n v="1008"/>
    <s v="2026-03-11"/>
    <s v="Rohit"/>
    <x v="3"/>
    <x v="0"/>
    <x v="0"/>
    <n v="1"/>
    <n v="50000"/>
    <x v="3"/>
    <s v="High Value"/>
    <s v="Regular"/>
    <s v="Excellent"/>
    <n v="3"/>
    <n v="11"/>
    <s v="Roh"/>
    <n v="6"/>
    <s v="LAPTOP"/>
    <s v="rohit"/>
    <n v="44625"/>
  </r>
  <r>
    <n v="1009"/>
    <s v="2026-03-12"/>
    <s v="Simran"/>
    <x v="0"/>
    <x v="1"/>
    <x v="3"/>
    <n v="1"/>
    <n v="12000"/>
    <x v="7"/>
    <s v="Low Value"/>
    <s v="Regular"/>
    <s v="Average"/>
    <n v="3"/>
    <n v="12"/>
    <s v="Sim"/>
    <n v="7"/>
    <s v="MONITOR"/>
    <s v="simran"/>
    <n v="5500"/>
  </r>
  <r>
    <n v="1010"/>
    <s v="2026-03-15"/>
    <s v="Karan"/>
    <x v="1"/>
    <x v="2"/>
    <x v="1"/>
    <n v="10"/>
    <n v="500"/>
    <x v="8"/>
    <s v="Low Value"/>
    <s v="Bulk"/>
    <s v="Average"/>
    <n v="3"/>
    <n v="15"/>
    <s v="Kar"/>
    <n v="5"/>
    <s v="MOUSE"/>
    <s v="karan"/>
    <n v="19333.3333333333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E884D-EB88-41AE-ACE9-DF854C28DA4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3:I138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07381-0CAD-4B81-BB2B-97FA83281E9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26:O131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0D303-56B5-4AC9-8C3B-F30BD4CF9C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26:L131" firstHeaderRow="1" firstDataRow="1" firstDataCol="1"/>
  <pivotFields count="19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3E3DE-DB05-4E5B-8D8F-B23D140EA2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26:I130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10">
        <item x="4"/>
        <item x="1"/>
        <item x="6"/>
        <item x="2"/>
        <item x="8"/>
        <item x="7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CF66D-4FBF-4F2F-A9CB-F3468927A3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33:P138" firstHeaderRow="1" firstDataRow="2" firstDataCol="1"/>
  <pivotFields count="19"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selection activeCell="E10" sqref="E10"/>
    </sheetView>
  </sheetViews>
  <sheetFormatPr defaultRowHeight="14.4" x14ac:dyDescent="0.3"/>
  <cols>
    <col min="2" max="2" width="10.33203125" bestFit="1" customWidth="1"/>
    <col min="5" max="5" width="11" bestFit="1" customWidth="1"/>
    <col min="10" max="10" width="10.88671875" bestFit="1" customWidth="1"/>
    <col min="11" max="11" width="13.5546875" bestFit="1" customWidth="1"/>
    <col min="12" max="12" width="11.88671875" bestFit="1" customWidth="1"/>
    <col min="15" max="15" width="9.88671875" bestFit="1" customWidth="1"/>
    <col min="17" max="17" width="9.88671875" bestFit="1" customWidth="1"/>
    <col min="19" max="19" width="15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103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  <c r="Q1" s="3" t="s">
        <v>111</v>
      </c>
      <c r="R1" s="3" t="s">
        <v>112</v>
      </c>
      <c r="S1" s="3" t="s">
        <v>120</v>
      </c>
    </row>
    <row r="2" spans="1:19" x14ac:dyDescent="0.3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50000</v>
      </c>
      <c r="I2">
        <f t="shared" ref="I2:I11" si="0">G2*H2</f>
        <v>100000</v>
      </c>
      <c r="J2" t="str">
        <f>IF(I2&gt;20000,"High Value", "Low Value")</f>
        <v>High Value</v>
      </c>
      <c r="K2" t="str">
        <f>IF(G2&gt;=5,"Bulk","Regular")</f>
        <v>Regular</v>
      </c>
      <c r="L2" t="str">
        <f>IF(SalesData!I2&gt;=50000,"Excellent","Average")</f>
        <v>Excellent</v>
      </c>
      <c r="M2">
        <f>MONTH(B2)</f>
        <v>3</v>
      </c>
      <c r="N2">
        <f>DAY(B2)</f>
        <v>1</v>
      </c>
      <c r="O2" t="str">
        <f>LEFT(C2,3)</f>
        <v>Ami</v>
      </c>
      <c r="P2">
        <f>LEN(F2)</f>
        <v>6</v>
      </c>
      <c r="Q2" t="str">
        <f>UPPER(F2)</f>
        <v>LAPTOP</v>
      </c>
      <c r="R2" t="str">
        <f>LOWER(C2)</f>
        <v>amit</v>
      </c>
      <c r="S2">
        <f>AVERAGEIF(E:E,E2,I:I)</f>
        <v>44625</v>
      </c>
    </row>
    <row r="3" spans="1:19" x14ac:dyDescent="0.3">
      <c r="A3">
        <v>1002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5</v>
      </c>
      <c r="H3">
        <v>500</v>
      </c>
      <c r="I3">
        <f t="shared" si="0"/>
        <v>2500</v>
      </c>
      <c r="J3" t="str">
        <f t="shared" ref="J3:J11" si="1">IF(I3&gt;20000,"High Value", "Low Value")</f>
        <v>Low Value</v>
      </c>
      <c r="K3" t="str">
        <f t="shared" ref="K3:K11" si="2">IF(G3&gt;=5,"Bulk","Regular")</f>
        <v>Bulk</v>
      </c>
      <c r="L3" t="str">
        <f>IF(SalesData!I3&gt;=50000,"Excellent","Average")</f>
        <v>Average</v>
      </c>
      <c r="M3">
        <f t="shared" ref="M3:M11" si="3">MONTH(B3)</f>
        <v>3</v>
      </c>
      <c r="N3">
        <f t="shared" ref="N3:N11" si="4">DAY(B3)</f>
        <v>2</v>
      </c>
      <c r="O3" t="str">
        <f t="shared" ref="O3:O11" si="5">LEFT(C3,3)</f>
        <v>Pri</v>
      </c>
      <c r="P3">
        <f t="shared" ref="P3:P11" si="6">LEN(F3)</f>
        <v>5</v>
      </c>
      <c r="Q3" t="str">
        <f t="shared" ref="Q3:Q11" si="7">UPPER(F3)</f>
        <v>MOUSE</v>
      </c>
      <c r="R3" t="str">
        <f t="shared" ref="R3:R11" si="8">LOWER(C3)</f>
        <v>priya</v>
      </c>
      <c r="S3">
        <f t="shared" ref="S3:S11" si="9">AVERAGEIF(E:E,E3,I:I)</f>
        <v>5500</v>
      </c>
    </row>
    <row r="4" spans="1:19" x14ac:dyDescent="0.3">
      <c r="A4">
        <v>1003</v>
      </c>
      <c r="B4" t="s">
        <v>19</v>
      </c>
      <c r="C4" t="s">
        <v>20</v>
      </c>
      <c r="D4" t="s">
        <v>21</v>
      </c>
      <c r="E4" t="s">
        <v>12</v>
      </c>
      <c r="F4" t="s">
        <v>22</v>
      </c>
      <c r="G4">
        <v>3</v>
      </c>
      <c r="H4">
        <v>1500</v>
      </c>
      <c r="I4">
        <f t="shared" si="0"/>
        <v>4500</v>
      </c>
      <c r="J4" t="str">
        <f t="shared" si="1"/>
        <v>Low Value</v>
      </c>
      <c r="K4" t="str">
        <f t="shared" si="2"/>
        <v>Regular</v>
      </c>
      <c r="L4" t="str">
        <f>IF(SalesData!I4&gt;=50000,"Excellent","Average")</f>
        <v>Average</v>
      </c>
      <c r="M4">
        <f t="shared" si="3"/>
        <v>3</v>
      </c>
      <c r="N4">
        <f t="shared" si="4"/>
        <v>3</v>
      </c>
      <c r="O4" t="str">
        <f t="shared" si="5"/>
        <v>Roh</v>
      </c>
      <c r="P4">
        <f t="shared" si="6"/>
        <v>8</v>
      </c>
      <c r="Q4" t="str">
        <f t="shared" si="7"/>
        <v>KEYBOARD</v>
      </c>
      <c r="R4" t="str">
        <f t="shared" si="8"/>
        <v>rohit</v>
      </c>
      <c r="S4">
        <f t="shared" si="9"/>
        <v>44625</v>
      </c>
    </row>
    <row r="5" spans="1:19" x14ac:dyDescent="0.3">
      <c r="A5">
        <v>1004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G5">
        <v>1</v>
      </c>
      <c r="H5">
        <v>50000</v>
      </c>
      <c r="I5">
        <f t="shared" si="0"/>
        <v>50000</v>
      </c>
      <c r="J5" t="str">
        <f t="shared" si="1"/>
        <v>High Value</v>
      </c>
      <c r="K5" t="str">
        <f t="shared" si="2"/>
        <v>Regular</v>
      </c>
      <c r="L5" t="str">
        <f>IF(SalesData!I5&gt;=50000,"Excellent","Average")</f>
        <v>Excellent</v>
      </c>
      <c r="M5">
        <f t="shared" si="3"/>
        <v>3</v>
      </c>
      <c r="N5">
        <f t="shared" si="4"/>
        <v>5</v>
      </c>
      <c r="O5" t="str">
        <f t="shared" si="5"/>
        <v>Sim</v>
      </c>
      <c r="P5">
        <f t="shared" si="6"/>
        <v>6</v>
      </c>
      <c r="Q5" t="str">
        <f t="shared" si="7"/>
        <v>LAPTOP</v>
      </c>
      <c r="R5" t="str">
        <f t="shared" si="8"/>
        <v>simran</v>
      </c>
      <c r="S5">
        <f t="shared" si="9"/>
        <v>19333.333333333332</v>
      </c>
    </row>
    <row r="6" spans="1:19" x14ac:dyDescent="0.3">
      <c r="A6">
        <v>1005</v>
      </c>
      <c r="B6" t="s">
        <v>27</v>
      </c>
      <c r="C6" t="s">
        <v>10</v>
      </c>
      <c r="D6" t="s">
        <v>11</v>
      </c>
      <c r="E6" t="s">
        <v>17</v>
      </c>
      <c r="F6" t="s">
        <v>18</v>
      </c>
      <c r="G6">
        <v>4</v>
      </c>
      <c r="H6">
        <v>500</v>
      </c>
      <c r="I6">
        <f t="shared" si="0"/>
        <v>2000</v>
      </c>
      <c r="J6" t="str">
        <f t="shared" si="1"/>
        <v>Low Value</v>
      </c>
      <c r="K6" t="str">
        <f t="shared" si="2"/>
        <v>Regular</v>
      </c>
      <c r="L6" t="str">
        <f>IF(SalesData!I6&gt;=50000,"Excellent","Average")</f>
        <v>Average</v>
      </c>
      <c r="M6">
        <f t="shared" si="3"/>
        <v>3</v>
      </c>
      <c r="N6">
        <f t="shared" si="4"/>
        <v>6</v>
      </c>
      <c r="O6" t="str">
        <f t="shared" si="5"/>
        <v>Ami</v>
      </c>
      <c r="P6">
        <f t="shared" si="6"/>
        <v>5</v>
      </c>
      <c r="Q6" t="str">
        <f t="shared" si="7"/>
        <v>MOUSE</v>
      </c>
      <c r="R6" t="str">
        <f t="shared" si="8"/>
        <v>amit</v>
      </c>
      <c r="S6">
        <f t="shared" si="9"/>
        <v>5500</v>
      </c>
    </row>
    <row r="7" spans="1:19" x14ac:dyDescent="0.3">
      <c r="A7">
        <v>1006</v>
      </c>
      <c r="B7" t="s">
        <v>28</v>
      </c>
      <c r="C7" t="s">
        <v>29</v>
      </c>
      <c r="D7" t="s">
        <v>16</v>
      </c>
      <c r="E7" t="s">
        <v>12</v>
      </c>
      <c r="F7" t="s">
        <v>30</v>
      </c>
      <c r="G7">
        <v>2</v>
      </c>
      <c r="H7">
        <v>12000</v>
      </c>
      <c r="I7">
        <f t="shared" si="0"/>
        <v>24000</v>
      </c>
      <c r="J7" t="str">
        <f t="shared" si="1"/>
        <v>High Value</v>
      </c>
      <c r="K7" t="str">
        <f t="shared" si="2"/>
        <v>Regular</v>
      </c>
      <c r="L7" t="str">
        <f>IF(SalesData!I7&gt;=50000,"Excellent","Average")</f>
        <v>Average</v>
      </c>
      <c r="M7">
        <f t="shared" si="3"/>
        <v>3</v>
      </c>
      <c r="N7">
        <f t="shared" si="4"/>
        <v>7</v>
      </c>
      <c r="O7" t="str">
        <f t="shared" si="5"/>
        <v>Kar</v>
      </c>
      <c r="P7">
        <f t="shared" si="6"/>
        <v>7</v>
      </c>
      <c r="Q7" t="str">
        <f t="shared" si="7"/>
        <v>MONITOR</v>
      </c>
      <c r="R7" t="str">
        <f t="shared" si="8"/>
        <v>karan</v>
      </c>
      <c r="S7">
        <f t="shared" si="9"/>
        <v>44625</v>
      </c>
    </row>
    <row r="8" spans="1:19" x14ac:dyDescent="0.3">
      <c r="A8">
        <v>1007</v>
      </c>
      <c r="B8" t="s">
        <v>31</v>
      </c>
      <c r="C8" t="s">
        <v>15</v>
      </c>
      <c r="D8" t="s">
        <v>21</v>
      </c>
      <c r="E8" t="s">
        <v>26</v>
      </c>
      <c r="F8" t="s">
        <v>22</v>
      </c>
      <c r="G8">
        <v>2</v>
      </c>
      <c r="H8">
        <v>1500</v>
      </c>
      <c r="I8">
        <f t="shared" si="0"/>
        <v>3000</v>
      </c>
      <c r="J8" t="str">
        <f t="shared" si="1"/>
        <v>Low Value</v>
      </c>
      <c r="K8" t="str">
        <f t="shared" si="2"/>
        <v>Regular</v>
      </c>
      <c r="L8" t="str">
        <f>IF(SalesData!I8&gt;=50000,"Excellent","Average")</f>
        <v>Average</v>
      </c>
      <c r="M8">
        <f t="shared" si="3"/>
        <v>3</v>
      </c>
      <c r="N8">
        <f t="shared" si="4"/>
        <v>10</v>
      </c>
      <c r="O8" t="str">
        <f t="shared" si="5"/>
        <v>Pri</v>
      </c>
      <c r="P8">
        <f t="shared" si="6"/>
        <v>8</v>
      </c>
      <c r="Q8" t="str">
        <f t="shared" si="7"/>
        <v>KEYBOARD</v>
      </c>
      <c r="R8" t="str">
        <f t="shared" si="8"/>
        <v>priya</v>
      </c>
      <c r="S8">
        <f t="shared" si="9"/>
        <v>19333.333333333332</v>
      </c>
    </row>
    <row r="9" spans="1:19" x14ac:dyDescent="0.3">
      <c r="A9">
        <v>1008</v>
      </c>
      <c r="B9" t="s">
        <v>32</v>
      </c>
      <c r="C9" t="s">
        <v>20</v>
      </c>
      <c r="D9" t="s">
        <v>25</v>
      </c>
      <c r="E9" t="s">
        <v>12</v>
      </c>
      <c r="F9" t="s">
        <v>13</v>
      </c>
      <c r="G9">
        <v>1</v>
      </c>
      <c r="H9">
        <v>50000</v>
      </c>
      <c r="I9">
        <f t="shared" si="0"/>
        <v>50000</v>
      </c>
      <c r="J9" t="str">
        <f t="shared" si="1"/>
        <v>High Value</v>
      </c>
      <c r="K9" t="str">
        <f t="shared" si="2"/>
        <v>Regular</v>
      </c>
      <c r="L9" t="str">
        <f>IF(SalesData!I9&gt;=50000,"Excellent","Average")</f>
        <v>Excellent</v>
      </c>
      <c r="M9">
        <f t="shared" si="3"/>
        <v>3</v>
      </c>
      <c r="N9">
        <f t="shared" si="4"/>
        <v>11</v>
      </c>
      <c r="O9" t="str">
        <f t="shared" si="5"/>
        <v>Roh</v>
      </c>
      <c r="P9">
        <f t="shared" si="6"/>
        <v>6</v>
      </c>
      <c r="Q9" t="str">
        <f t="shared" si="7"/>
        <v>LAPTOP</v>
      </c>
      <c r="R9" t="str">
        <f t="shared" si="8"/>
        <v>rohit</v>
      </c>
      <c r="S9">
        <f t="shared" si="9"/>
        <v>44625</v>
      </c>
    </row>
    <row r="10" spans="1:19" x14ac:dyDescent="0.3">
      <c r="A10">
        <v>1009</v>
      </c>
      <c r="B10" t="s">
        <v>33</v>
      </c>
      <c r="C10" t="s">
        <v>24</v>
      </c>
      <c r="D10" t="s">
        <v>11</v>
      </c>
      <c r="E10" t="s">
        <v>17</v>
      </c>
      <c r="F10" t="s">
        <v>30</v>
      </c>
      <c r="G10">
        <v>1</v>
      </c>
      <c r="H10">
        <v>12000</v>
      </c>
      <c r="I10">
        <f t="shared" si="0"/>
        <v>12000</v>
      </c>
      <c r="J10" t="str">
        <f t="shared" si="1"/>
        <v>Low Value</v>
      </c>
      <c r="K10" t="str">
        <f t="shared" si="2"/>
        <v>Regular</v>
      </c>
      <c r="L10" t="str">
        <f>IF(SalesData!I10&gt;=50000,"Excellent","Average")</f>
        <v>Average</v>
      </c>
      <c r="M10">
        <f t="shared" si="3"/>
        <v>3</v>
      </c>
      <c r="N10">
        <f t="shared" si="4"/>
        <v>12</v>
      </c>
      <c r="O10" t="str">
        <f t="shared" si="5"/>
        <v>Sim</v>
      </c>
      <c r="P10">
        <f t="shared" si="6"/>
        <v>7</v>
      </c>
      <c r="Q10" t="str">
        <f t="shared" si="7"/>
        <v>MONITOR</v>
      </c>
      <c r="R10" t="str">
        <f t="shared" si="8"/>
        <v>simran</v>
      </c>
      <c r="S10">
        <f t="shared" si="9"/>
        <v>5500</v>
      </c>
    </row>
    <row r="11" spans="1:19" x14ac:dyDescent="0.3">
      <c r="A11">
        <v>1010</v>
      </c>
      <c r="B11" t="s">
        <v>34</v>
      </c>
      <c r="C11" t="s">
        <v>29</v>
      </c>
      <c r="D11" t="s">
        <v>16</v>
      </c>
      <c r="E11" t="s">
        <v>26</v>
      </c>
      <c r="F11" t="s">
        <v>18</v>
      </c>
      <c r="G11">
        <v>10</v>
      </c>
      <c r="H11">
        <v>500</v>
      </c>
      <c r="I11">
        <f t="shared" si="0"/>
        <v>5000</v>
      </c>
      <c r="J11" t="str">
        <f t="shared" si="1"/>
        <v>Low Value</v>
      </c>
      <c r="K11" t="str">
        <f t="shared" si="2"/>
        <v>Bulk</v>
      </c>
      <c r="L11" t="str">
        <f>IF(SalesData!I11&gt;=50000,"Excellent","Average")</f>
        <v>Average</v>
      </c>
      <c r="M11">
        <f t="shared" si="3"/>
        <v>3</v>
      </c>
      <c r="N11">
        <f t="shared" si="4"/>
        <v>15</v>
      </c>
      <c r="O11" t="str">
        <f t="shared" si="5"/>
        <v>Kar</v>
      </c>
      <c r="P11">
        <f t="shared" si="6"/>
        <v>5</v>
      </c>
      <c r="Q11" t="str">
        <f t="shared" si="7"/>
        <v>MOUSE</v>
      </c>
      <c r="R11" t="str">
        <f t="shared" si="8"/>
        <v>karan</v>
      </c>
      <c r="S11">
        <f t="shared" si="9"/>
        <v>19333.333333333332</v>
      </c>
    </row>
    <row r="14" spans="1:19" x14ac:dyDescent="0.3">
      <c r="J14" s="4" t="s">
        <v>113</v>
      </c>
      <c r="L14" s="4" t="s">
        <v>115</v>
      </c>
      <c r="M14" s="4" t="s">
        <v>116</v>
      </c>
    </row>
    <row r="15" spans="1:19" x14ac:dyDescent="0.3">
      <c r="J15">
        <f>MAX(I:I)</f>
        <v>100000</v>
      </c>
      <c r="K15" t="str">
        <f>_xlfn.XLOOKUP(J15,I:I,E:E,"",0)</f>
        <v>Rahul</v>
      </c>
      <c r="L15" t="str">
        <f>_xlfn.XLOOKUP(J15,I:I,D:D,"")</f>
        <v>North</v>
      </c>
      <c r="M15" t="str">
        <f>_xlfn.XLOOKUP(J15,I:I,F:F,"")</f>
        <v>Laptop</v>
      </c>
    </row>
    <row r="17" spans="10:13" x14ac:dyDescent="0.3">
      <c r="J17" s="4" t="s">
        <v>114</v>
      </c>
    </row>
    <row r="18" spans="10:13" x14ac:dyDescent="0.3">
      <c r="J18">
        <f>MAX(I:I)</f>
        <v>100000</v>
      </c>
      <c r="K18" t="str">
        <f>_xlfn.XLOOKUP(J18,I:I,C:C,"")</f>
        <v>Amit</v>
      </c>
    </row>
    <row r="20" spans="10:13" x14ac:dyDescent="0.3">
      <c r="J20" t="s">
        <v>117</v>
      </c>
      <c r="L20" t="s">
        <v>118</v>
      </c>
    </row>
    <row r="21" spans="10:13" x14ac:dyDescent="0.3">
      <c r="J21">
        <f>MAX(G:G)</f>
        <v>10</v>
      </c>
      <c r="K21" t="str">
        <f>_xlfn.XLOOKUP(J21,G:G,E:E,"",0)</f>
        <v>Arjun</v>
      </c>
      <c r="L21">
        <f>MAX(G:G)</f>
        <v>10</v>
      </c>
      <c r="M21" t="str">
        <f>_xlfn.XLOOKUP(L21,G:G,F:F,"")</f>
        <v>Mouse</v>
      </c>
    </row>
    <row r="24" spans="10:13" x14ac:dyDescent="0.3">
      <c r="J24" t="s">
        <v>119</v>
      </c>
    </row>
    <row r="25" spans="10:13" x14ac:dyDescent="0.3">
      <c r="J25">
        <f>SUMIF(F:F,"Laptop",I:I)</f>
        <v>200000</v>
      </c>
      <c r="K25" s="5">
        <f>J25/J26</f>
        <v>0.79051383399209485</v>
      </c>
    </row>
    <row r="26" spans="10:13" x14ac:dyDescent="0.3">
      <c r="J26">
        <f>SUM(I2:I11)</f>
        <v>253000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813B-D5F3-475D-828C-DCAF8FF2B6D6}">
  <dimension ref="A1:P148"/>
  <sheetViews>
    <sheetView tabSelected="1" topLeftCell="A142" zoomScale="145" zoomScaleNormal="145" workbookViewId="0">
      <selection activeCell="K146" sqref="K146"/>
    </sheetView>
  </sheetViews>
  <sheetFormatPr defaultRowHeight="14.4" x14ac:dyDescent="0.3"/>
  <cols>
    <col min="8" max="8" width="12.5546875" bestFit="1" customWidth="1"/>
    <col min="9" max="9" width="15" bestFit="1" customWidth="1"/>
    <col min="10" max="10" width="6.21875" bestFit="1" customWidth="1"/>
    <col min="11" max="11" width="15" bestFit="1" customWidth="1"/>
    <col min="12" max="12" width="15.5546875" bestFit="1" customWidth="1"/>
    <col min="13" max="13" width="7.33203125" bestFit="1" customWidth="1"/>
    <col min="14" max="14" width="10.88671875" bestFit="1" customWidth="1"/>
    <col min="15" max="15" width="7.33203125" bestFit="1" customWidth="1"/>
    <col min="16" max="16" width="10.88671875" bestFit="1" customWidth="1"/>
  </cols>
  <sheetData>
    <row r="1" spans="1:6" s="2" customFormat="1" x14ac:dyDescent="0.3">
      <c r="A1" s="2" t="s">
        <v>35</v>
      </c>
    </row>
    <row r="3" spans="1:6" x14ac:dyDescent="0.3">
      <c r="A3" t="s">
        <v>36</v>
      </c>
    </row>
    <row r="5" spans="1:6" x14ac:dyDescent="0.3">
      <c r="A5" t="s">
        <v>37</v>
      </c>
    </row>
    <row r="6" spans="1:6" x14ac:dyDescent="0.3">
      <c r="A6" t="s">
        <v>38</v>
      </c>
    </row>
    <row r="7" spans="1:6" x14ac:dyDescent="0.3">
      <c r="A7" t="s">
        <v>37</v>
      </c>
    </row>
    <row r="9" spans="1:6" x14ac:dyDescent="0.3">
      <c r="A9" t="s">
        <v>39</v>
      </c>
      <c r="F9">
        <f>SUM(SalesData!I:I)</f>
        <v>253000</v>
      </c>
    </row>
    <row r="11" spans="1:6" x14ac:dyDescent="0.3">
      <c r="A11" t="s">
        <v>40</v>
      </c>
      <c r="F11">
        <f>MAX(SalesData!I:I)</f>
        <v>100000</v>
      </c>
    </row>
    <row r="13" spans="1:6" x14ac:dyDescent="0.3">
      <c r="A13" t="s">
        <v>41</v>
      </c>
      <c r="F13">
        <f>MIN(SalesData!I:I)</f>
        <v>2000</v>
      </c>
    </row>
    <row r="15" spans="1:6" x14ac:dyDescent="0.3">
      <c r="A15" t="s">
        <v>42</v>
      </c>
      <c r="F15">
        <f>COUNTA(SalesData!A2:A11)</f>
        <v>10</v>
      </c>
    </row>
    <row r="17" spans="1:7" x14ac:dyDescent="0.3">
      <c r="A17" t="s">
        <v>43</v>
      </c>
      <c r="F17">
        <f>AVERAGE(SalesData!I:I)</f>
        <v>25300</v>
      </c>
    </row>
    <row r="19" spans="1:7" x14ac:dyDescent="0.3">
      <c r="A19" t="s">
        <v>44</v>
      </c>
      <c r="F19">
        <f>SUM(SalesData!G:G)</f>
        <v>31</v>
      </c>
    </row>
    <row r="21" spans="1:7" x14ac:dyDescent="0.3">
      <c r="A21" t="s">
        <v>37</v>
      </c>
    </row>
    <row r="22" spans="1:7" x14ac:dyDescent="0.3">
      <c r="A22" t="s">
        <v>45</v>
      </c>
    </row>
    <row r="23" spans="1:7" x14ac:dyDescent="0.3">
      <c r="A23" t="s">
        <v>37</v>
      </c>
    </row>
    <row r="25" spans="1:7" x14ac:dyDescent="0.3">
      <c r="A25" t="s">
        <v>46</v>
      </c>
      <c r="G25">
        <f>COUNTIF(SalesData!E:E,"Rahul")</f>
        <v>4</v>
      </c>
    </row>
    <row r="27" spans="1:7" x14ac:dyDescent="0.3">
      <c r="A27" t="s">
        <v>47</v>
      </c>
      <c r="G27">
        <f>SUMIF(SalesData!E:E,"Rahul",SalesData!I:I)</f>
        <v>178500</v>
      </c>
    </row>
    <row r="29" spans="1:7" x14ac:dyDescent="0.3">
      <c r="A29" t="s">
        <v>48</v>
      </c>
      <c r="G29">
        <f>COUNTIF(SalesData!D:D,"North")</f>
        <v>3</v>
      </c>
    </row>
    <row r="31" spans="1:7" x14ac:dyDescent="0.3">
      <c r="A31" t="s">
        <v>49</v>
      </c>
      <c r="G31">
        <f>SUMIF(SalesData!D:D,"North",SalesData!I:I)</f>
        <v>114000</v>
      </c>
    </row>
    <row r="33" spans="1:8" x14ac:dyDescent="0.3">
      <c r="A33" t="s">
        <v>50</v>
      </c>
      <c r="G33">
        <f>COUNTIF(SalesData!F:F,"Laptop")</f>
        <v>3</v>
      </c>
    </row>
    <row r="35" spans="1:8" x14ac:dyDescent="0.3">
      <c r="A35" t="s">
        <v>51</v>
      </c>
      <c r="G35">
        <f>SUMIF(SalesData!F:F,"Laptop",SalesData!I:I)</f>
        <v>200000</v>
      </c>
    </row>
    <row r="37" spans="1:8" x14ac:dyDescent="0.3">
      <c r="A37" t="s">
        <v>52</v>
      </c>
      <c r="G37">
        <f>COUNTIF(SalesData!E:E,"Neha")</f>
        <v>3</v>
      </c>
    </row>
    <row r="39" spans="1:8" x14ac:dyDescent="0.3">
      <c r="A39" t="s">
        <v>53</v>
      </c>
      <c r="G39">
        <f>SUMIF(SalesData!E:E,"Neha",SalesData!I:I)</f>
        <v>16500</v>
      </c>
    </row>
    <row r="41" spans="1:8" x14ac:dyDescent="0.3">
      <c r="A41" t="s">
        <v>37</v>
      </c>
    </row>
    <row r="42" spans="1:8" x14ac:dyDescent="0.3">
      <c r="A42" t="s">
        <v>54</v>
      </c>
    </row>
    <row r="43" spans="1:8" x14ac:dyDescent="0.3">
      <c r="A43" t="s">
        <v>37</v>
      </c>
    </row>
    <row r="45" spans="1:8" x14ac:dyDescent="0.3">
      <c r="A45" t="s">
        <v>55</v>
      </c>
      <c r="H45">
        <f>SUMIFS(SalesData!I:I,SalesData!E:E,"Rahul",SalesData!D:D,"North")</f>
        <v>100000</v>
      </c>
    </row>
    <row r="47" spans="1:8" x14ac:dyDescent="0.3">
      <c r="A47" t="s">
        <v>56</v>
      </c>
      <c r="H47">
        <f>COUNTIFS(SalesData!F:F,"Laptop",SalesData!E:E,"Rahul")</f>
        <v>2</v>
      </c>
    </row>
    <row r="49" spans="1:8" x14ac:dyDescent="0.3">
      <c r="A49" t="s">
        <v>57</v>
      </c>
      <c r="H49">
        <f>SUMIFS(SalesData!I:I,SalesData!F:F,"Mouse",SalesData!D:D,"South")</f>
        <v>7500</v>
      </c>
    </row>
    <row r="51" spans="1:8" x14ac:dyDescent="0.3">
      <c r="A51" t="s">
        <v>58</v>
      </c>
      <c r="H51">
        <f>COUNTIFS(SalesData!D:D,"East",SalesData!E:E,"Arjun")</f>
        <v>1</v>
      </c>
    </row>
    <row r="53" spans="1:8" x14ac:dyDescent="0.3">
      <c r="A53" t="s">
        <v>59</v>
      </c>
      <c r="H53">
        <f>SUMIFS(SalesData!I:I,SalesData!E:E,"Neha",SalesData!D:D,"North")</f>
        <v>14000</v>
      </c>
    </row>
    <row r="55" spans="1:8" x14ac:dyDescent="0.3">
      <c r="A55" t="s">
        <v>60</v>
      </c>
      <c r="H55">
        <f>COUNTIFS(SalesData!F:F,"Mouse",SalesData!G:G,"&gt;4")</f>
        <v>2</v>
      </c>
    </row>
    <row r="57" spans="1:8" x14ac:dyDescent="0.3">
      <c r="A57" t="s">
        <v>37</v>
      </c>
    </row>
    <row r="58" spans="1:8" x14ac:dyDescent="0.3">
      <c r="A58" t="s">
        <v>61</v>
      </c>
    </row>
    <row r="59" spans="1:8" x14ac:dyDescent="0.3">
      <c r="A59" t="s">
        <v>37</v>
      </c>
    </row>
    <row r="61" spans="1:8" x14ac:dyDescent="0.3">
      <c r="A61" t="s">
        <v>62</v>
      </c>
      <c r="F61" t="s">
        <v>104</v>
      </c>
    </row>
    <row r="63" spans="1:8" x14ac:dyDescent="0.3">
      <c r="A63" t="s">
        <v>63</v>
      </c>
    </row>
    <row r="64" spans="1:8" x14ac:dyDescent="0.3">
      <c r="A64" t="s">
        <v>64</v>
      </c>
    </row>
    <row r="66" spans="1:6" x14ac:dyDescent="0.3">
      <c r="A66" t="s">
        <v>65</v>
      </c>
      <c r="F66" t="s">
        <v>104</v>
      </c>
    </row>
    <row r="68" spans="1:6" x14ac:dyDescent="0.3">
      <c r="A68" t="s">
        <v>66</v>
      </c>
    </row>
    <row r="69" spans="1:6" x14ac:dyDescent="0.3">
      <c r="A69" t="s">
        <v>67</v>
      </c>
    </row>
    <row r="71" spans="1:6" x14ac:dyDescent="0.3">
      <c r="A71" t="s">
        <v>68</v>
      </c>
      <c r="F71" t="s">
        <v>104</v>
      </c>
    </row>
    <row r="73" spans="1:6" x14ac:dyDescent="0.3">
      <c r="A73" t="s">
        <v>69</v>
      </c>
    </row>
    <row r="74" spans="1:6" x14ac:dyDescent="0.3">
      <c r="A74" t="s">
        <v>70</v>
      </c>
    </row>
    <row r="76" spans="1:6" x14ac:dyDescent="0.3">
      <c r="A76" t="s">
        <v>37</v>
      </c>
    </row>
    <row r="77" spans="1:6" x14ac:dyDescent="0.3">
      <c r="A77" t="s">
        <v>71</v>
      </c>
    </row>
    <row r="78" spans="1:6" x14ac:dyDescent="0.3">
      <c r="A78" t="s">
        <v>37</v>
      </c>
    </row>
    <row r="80" spans="1:6" x14ac:dyDescent="0.3">
      <c r="A80" t="s">
        <v>72</v>
      </c>
      <c r="F80" t="s">
        <v>104</v>
      </c>
    </row>
    <row r="82" spans="1:6" x14ac:dyDescent="0.3">
      <c r="A82" t="s">
        <v>73</v>
      </c>
      <c r="F82" t="s">
        <v>104</v>
      </c>
    </row>
    <row r="84" spans="1:6" x14ac:dyDescent="0.3">
      <c r="A84" t="s">
        <v>74</v>
      </c>
      <c r="F84" cm="1">
        <f t="array" ref="F84">SUMPRODUCT((SalesData!B2:B11&gt;"2026-03-07")*1)</f>
        <v>4</v>
      </c>
    </row>
    <row r="86" spans="1:6" x14ac:dyDescent="0.3">
      <c r="A86" t="s">
        <v>75</v>
      </c>
      <c r="F86" cm="1">
        <f t="array" ref="F86">SUMPRODUCT((SalesData!B2:B11&gt;"2026-03-10")*SalesData!I2:I11)</f>
        <v>67000</v>
      </c>
    </row>
    <row r="88" spans="1:6" x14ac:dyDescent="0.3">
      <c r="A88" t="s">
        <v>37</v>
      </c>
    </row>
    <row r="89" spans="1:6" x14ac:dyDescent="0.3">
      <c r="A89" t="s">
        <v>76</v>
      </c>
    </row>
    <row r="90" spans="1:6" x14ac:dyDescent="0.3">
      <c r="A90" t="s">
        <v>37</v>
      </c>
    </row>
    <row r="92" spans="1:6" x14ac:dyDescent="0.3">
      <c r="A92" t="s">
        <v>77</v>
      </c>
      <c r="F92" t="s">
        <v>104</v>
      </c>
    </row>
    <row r="94" spans="1:6" x14ac:dyDescent="0.3">
      <c r="A94" t="s">
        <v>78</v>
      </c>
      <c r="F94" t="s">
        <v>104</v>
      </c>
    </row>
    <row r="96" spans="1:6" x14ac:dyDescent="0.3">
      <c r="A96" t="s">
        <v>79</v>
      </c>
      <c r="F96" t="s">
        <v>104</v>
      </c>
    </row>
    <row r="98" spans="1:8" x14ac:dyDescent="0.3">
      <c r="A98" t="s">
        <v>80</v>
      </c>
      <c r="F98" t="s">
        <v>104</v>
      </c>
    </row>
    <row r="100" spans="1:8" x14ac:dyDescent="0.3">
      <c r="A100" t="s">
        <v>37</v>
      </c>
    </row>
    <row r="101" spans="1:8" x14ac:dyDescent="0.3">
      <c r="A101" t="s">
        <v>81</v>
      </c>
    </row>
    <row r="102" spans="1:8" x14ac:dyDescent="0.3">
      <c r="A102" t="s">
        <v>37</v>
      </c>
    </row>
    <row r="104" spans="1:8" x14ac:dyDescent="0.3">
      <c r="A104" t="s">
        <v>82</v>
      </c>
      <c r="G104" t="s">
        <v>12</v>
      </c>
    </row>
    <row r="106" spans="1:8" x14ac:dyDescent="0.3">
      <c r="A106" t="s">
        <v>83</v>
      </c>
      <c r="G106" t="s">
        <v>10</v>
      </c>
    </row>
    <row r="108" spans="1:8" x14ac:dyDescent="0.3">
      <c r="A108" t="s">
        <v>84</v>
      </c>
      <c r="G108" t="s">
        <v>11</v>
      </c>
    </row>
    <row r="110" spans="1:8" x14ac:dyDescent="0.3">
      <c r="A110" t="s">
        <v>85</v>
      </c>
      <c r="G110" t="s">
        <v>13</v>
      </c>
    </row>
    <row r="112" spans="1:8" x14ac:dyDescent="0.3">
      <c r="A112" t="s">
        <v>86</v>
      </c>
      <c r="H112" t="s">
        <v>12</v>
      </c>
    </row>
    <row r="114" spans="1:15" x14ac:dyDescent="0.3">
      <c r="A114" t="s">
        <v>87</v>
      </c>
      <c r="H114" t="s">
        <v>18</v>
      </c>
    </row>
    <row r="116" spans="1:15" x14ac:dyDescent="0.3">
      <c r="A116" t="s">
        <v>88</v>
      </c>
      <c r="H116" s="6">
        <v>0.79</v>
      </c>
    </row>
    <row r="118" spans="1:15" x14ac:dyDescent="0.3">
      <c r="A118" t="s">
        <v>89</v>
      </c>
      <c r="H118" t="s">
        <v>104</v>
      </c>
    </row>
    <row r="120" spans="1:15" x14ac:dyDescent="0.3">
      <c r="A120" t="s">
        <v>90</v>
      </c>
      <c r="I120">
        <v>174570</v>
      </c>
    </row>
    <row r="122" spans="1:15" x14ac:dyDescent="0.3">
      <c r="A122" t="s">
        <v>37</v>
      </c>
    </row>
    <row r="123" spans="1:15" x14ac:dyDescent="0.3">
      <c r="A123" t="s">
        <v>91</v>
      </c>
    </row>
    <row r="124" spans="1:15" x14ac:dyDescent="0.3">
      <c r="A124" t="s">
        <v>37</v>
      </c>
    </row>
    <row r="126" spans="1:15" x14ac:dyDescent="0.3">
      <c r="A126" t="s">
        <v>92</v>
      </c>
      <c r="H126" s="7" t="s">
        <v>121</v>
      </c>
      <c r="I126" t="s">
        <v>124</v>
      </c>
      <c r="K126" s="7" t="s">
        <v>121</v>
      </c>
      <c r="L126" t="s">
        <v>124</v>
      </c>
      <c r="N126" s="7" t="s">
        <v>121</v>
      </c>
      <c r="O126" t="s">
        <v>124</v>
      </c>
    </row>
    <row r="127" spans="1:15" x14ac:dyDescent="0.3">
      <c r="H127" s="8" t="s">
        <v>26</v>
      </c>
      <c r="I127">
        <v>58000</v>
      </c>
      <c r="K127" s="8" t="s">
        <v>21</v>
      </c>
      <c r="L127">
        <v>7500</v>
      </c>
      <c r="N127" s="8" t="s">
        <v>22</v>
      </c>
      <c r="O127">
        <v>7500</v>
      </c>
    </row>
    <row r="128" spans="1:15" x14ac:dyDescent="0.3">
      <c r="A128" t="s">
        <v>93</v>
      </c>
      <c r="H128" s="8" t="s">
        <v>17</v>
      </c>
      <c r="I128">
        <v>16500</v>
      </c>
      <c r="K128" s="8" t="s">
        <v>11</v>
      </c>
      <c r="L128">
        <v>114000</v>
      </c>
      <c r="N128" s="8" t="s">
        <v>13</v>
      </c>
      <c r="O128">
        <v>200000</v>
      </c>
    </row>
    <row r="129" spans="1:16" x14ac:dyDescent="0.3">
      <c r="H129" s="8" t="s">
        <v>12</v>
      </c>
      <c r="I129">
        <v>178500</v>
      </c>
      <c r="K129" s="8" t="s">
        <v>16</v>
      </c>
      <c r="L129">
        <v>31500</v>
      </c>
      <c r="N129" s="8" t="s">
        <v>30</v>
      </c>
      <c r="O129">
        <v>36000</v>
      </c>
    </row>
    <row r="130" spans="1:16" x14ac:dyDescent="0.3">
      <c r="A130" t="s">
        <v>94</v>
      </c>
      <c r="H130" s="8" t="s">
        <v>122</v>
      </c>
      <c r="I130">
        <v>253000</v>
      </c>
      <c r="K130" s="8" t="s">
        <v>25</v>
      </c>
      <c r="L130">
        <v>100000</v>
      </c>
      <c r="N130" s="8" t="s">
        <v>18</v>
      </c>
      <c r="O130">
        <v>9500</v>
      </c>
    </row>
    <row r="131" spans="1:16" x14ac:dyDescent="0.3">
      <c r="K131" s="8" t="s">
        <v>122</v>
      </c>
      <c r="L131">
        <v>253000</v>
      </c>
      <c r="N131" s="8" t="s">
        <v>122</v>
      </c>
      <c r="O131">
        <v>253000</v>
      </c>
    </row>
    <row r="132" spans="1:16" x14ac:dyDescent="0.3">
      <c r="A132" t="s">
        <v>95</v>
      </c>
    </row>
    <row r="133" spans="1:16" x14ac:dyDescent="0.3">
      <c r="H133" s="7" t="s">
        <v>121</v>
      </c>
      <c r="I133" t="s">
        <v>125</v>
      </c>
      <c r="K133" s="7" t="s">
        <v>124</v>
      </c>
      <c r="L133" s="7" t="s">
        <v>123</v>
      </c>
    </row>
    <row r="134" spans="1:16" x14ac:dyDescent="0.3">
      <c r="A134" t="s">
        <v>96</v>
      </c>
      <c r="H134" s="8" t="s">
        <v>22</v>
      </c>
      <c r="I134">
        <v>5</v>
      </c>
      <c r="K134" s="7" t="s">
        <v>121</v>
      </c>
      <c r="L134" t="s">
        <v>21</v>
      </c>
      <c r="M134" t="s">
        <v>11</v>
      </c>
      <c r="N134" t="s">
        <v>16</v>
      </c>
      <c r="O134" t="s">
        <v>25</v>
      </c>
      <c r="P134" t="s">
        <v>122</v>
      </c>
    </row>
    <row r="135" spans="1:16" x14ac:dyDescent="0.3">
      <c r="H135" s="8" t="s">
        <v>13</v>
      </c>
      <c r="I135">
        <v>4</v>
      </c>
      <c r="K135" s="8" t="s">
        <v>26</v>
      </c>
      <c r="L135">
        <v>3000</v>
      </c>
      <c r="N135">
        <v>5000</v>
      </c>
      <c r="O135">
        <v>50000</v>
      </c>
      <c r="P135">
        <v>58000</v>
      </c>
    </row>
    <row r="136" spans="1:16" x14ac:dyDescent="0.3">
      <c r="A136" t="s">
        <v>37</v>
      </c>
      <c r="H136" s="8" t="s">
        <v>30</v>
      </c>
      <c r="I136">
        <v>3</v>
      </c>
      <c r="K136" s="8" t="s">
        <v>17</v>
      </c>
      <c r="M136">
        <v>14000</v>
      </c>
      <c r="N136">
        <v>2500</v>
      </c>
      <c r="P136">
        <v>16500</v>
      </c>
    </row>
    <row r="137" spans="1:16" x14ac:dyDescent="0.3">
      <c r="A137" t="s">
        <v>97</v>
      </c>
      <c r="H137" s="8" t="s">
        <v>18</v>
      </c>
      <c r="I137">
        <v>19</v>
      </c>
      <c r="K137" s="8" t="s">
        <v>12</v>
      </c>
      <c r="L137">
        <v>4500</v>
      </c>
      <c r="M137">
        <v>100000</v>
      </c>
      <c r="N137">
        <v>24000</v>
      </c>
      <c r="O137">
        <v>50000</v>
      </c>
      <c r="P137">
        <v>178500</v>
      </c>
    </row>
    <row r="138" spans="1:16" x14ac:dyDescent="0.3">
      <c r="A138" t="s">
        <v>37</v>
      </c>
      <c r="H138" s="8" t="s">
        <v>122</v>
      </c>
      <c r="I138">
        <v>31</v>
      </c>
      <c r="K138" s="8" t="s">
        <v>122</v>
      </c>
      <c r="L138">
        <v>7500</v>
      </c>
      <c r="M138">
        <v>114000</v>
      </c>
      <c r="N138">
        <v>31500</v>
      </c>
      <c r="O138">
        <v>100000</v>
      </c>
      <c r="P138">
        <v>253000</v>
      </c>
    </row>
    <row r="140" spans="1:16" x14ac:dyDescent="0.3">
      <c r="A140" t="s">
        <v>98</v>
      </c>
      <c r="K140" s="8" t="s">
        <v>126</v>
      </c>
    </row>
    <row r="142" spans="1:16" x14ac:dyDescent="0.3">
      <c r="A142" t="s">
        <v>99</v>
      </c>
      <c r="H142" t="s">
        <v>127</v>
      </c>
    </row>
    <row r="144" spans="1:16" x14ac:dyDescent="0.3">
      <c r="A144" t="s">
        <v>100</v>
      </c>
      <c r="H144" t="s">
        <v>128</v>
      </c>
    </row>
    <row r="146" spans="1:12" x14ac:dyDescent="0.3">
      <c r="A146" t="s">
        <v>101</v>
      </c>
      <c r="H146" t="s">
        <v>129</v>
      </c>
    </row>
    <row r="148" spans="1:12" x14ac:dyDescent="0.3">
      <c r="A148" t="s">
        <v>102</v>
      </c>
      <c r="L14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2026-06-14T15:04:47Z</dcterms:created>
  <dcterms:modified xsi:type="dcterms:W3CDTF">2026-06-15T14:07:58Z</dcterms:modified>
</cp:coreProperties>
</file>