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3D1FDC-4331-4D46-94FB-E0DB31D82F17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Data" sheetId="1" r:id="rId1"/>
    <sheet name="Formula Tes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2" l="1"/>
  <c r="B4" i="2"/>
  <c r="E3" i="2"/>
  <c r="E4" i="2"/>
  <c r="E5" i="2"/>
  <c r="E6" i="2"/>
  <c r="E7" i="2"/>
  <c r="E2" i="2"/>
  <c r="D2" i="2" a="1"/>
  <c r="D2" i="2" s="1"/>
  <c r="B27" i="2"/>
  <c r="B23" i="2"/>
  <c r="B19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2" i="1"/>
  <c r="B30" i="2"/>
  <c r="B36" i="2"/>
  <c r="B35" i="2"/>
  <c r="B34" i="2"/>
  <c r="B33" i="2"/>
  <c r="B29" i="2"/>
  <c r="B28" i="2" a="1"/>
  <c r="B28" i="2" s="1"/>
  <c r="B26" i="2" a="1"/>
  <c r="B26" i="2" s="1"/>
  <c r="B25" i="2" a="1"/>
  <c r="B25" i="2" s="1"/>
  <c r="B24" i="2"/>
  <c r="I13" i="2"/>
  <c r="I14" i="2"/>
  <c r="I15" i="2"/>
  <c r="I12" i="2"/>
  <c r="H12" i="2" a="1"/>
  <c r="H12" i="2" s="1"/>
  <c r="B21" i="2" a="1"/>
  <c r="B21" i="2" s="1"/>
  <c r="B20" i="2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F28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20" i="2"/>
  <c r="D20" i="2" a="1"/>
  <c r="D20" i="2" s="1"/>
  <c r="B17" i="2"/>
  <c r="B16" i="2" a="1"/>
  <c r="B16" i="2"/>
  <c r="B14" i="2"/>
  <c r="F12" i="2" a="1"/>
  <c r="F12" i="2" s="1"/>
  <c r="D12" i="2" a="1"/>
  <c r="D12" i="2" s="1"/>
  <c r="B11" i="2" a="1"/>
  <c r="B11" i="2" s="1"/>
  <c r="B10" i="2"/>
  <c r="B9" i="2" a="1"/>
  <c r="B9" i="2" s="1"/>
  <c r="B8" i="2"/>
  <c r="B7" i="2"/>
  <c r="B6" i="2"/>
  <c r="B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<sst xmlns="http://schemas.openxmlformats.org/spreadsheetml/2006/main" count="830" uniqueCount="85">
  <si>
    <t>SubID</t>
  </si>
  <si>
    <t>SignupDate</t>
  </si>
  <si>
    <t>UserName</t>
  </si>
  <si>
    <t>Country</t>
  </si>
  <si>
    <t>Plan</t>
  </si>
  <si>
    <t>Device</t>
  </si>
  <si>
    <t>FavGenre</t>
  </si>
  <si>
    <t>MonthlyFee</t>
  </si>
  <si>
    <t>WatchHours</t>
  </si>
  <si>
    <t>Status</t>
  </si>
  <si>
    <t>Devansh Shah</t>
  </si>
  <si>
    <t>Germany</t>
  </si>
  <si>
    <t>Standard</t>
  </si>
  <si>
    <t>Smart TV</t>
  </si>
  <si>
    <t>Documentary</t>
  </si>
  <si>
    <t>Cancelled</t>
  </si>
  <si>
    <t>Sanjay Verma</t>
  </si>
  <si>
    <t>USA</t>
  </si>
  <si>
    <t>Mobile</t>
  </si>
  <si>
    <t>Drama</t>
  </si>
  <si>
    <t>Paused</t>
  </si>
  <si>
    <t>Ishaan Rao</t>
  </si>
  <si>
    <t>Family</t>
  </si>
  <si>
    <t>Tablet</t>
  </si>
  <si>
    <t>Meera Pillai</t>
  </si>
  <si>
    <t>India</t>
  </si>
  <si>
    <t>Thriller</t>
  </si>
  <si>
    <t>Active</t>
  </si>
  <si>
    <t>Japan</t>
  </si>
  <si>
    <t>Premium</t>
  </si>
  <si>
    <t>Farhan Ali</t>
  </si>
  <si>
    <t>Basic</t>
  </si>
  <si>
    <t>Comedy</t>
  </si>
  <si>
    <t>Console</t>
  </si>
  <si>
    <t>Tanvi Joshi</t>
  </si>
  <si>
    <t>Aarav Mehta</t>
  </si>
  <si>
    <t>Nisha Reddy</t>
  </si>
  <si>
    <t>UK</t>
  </si>
  <si>
    <t>Diya Kapoor</t>
  </si>
  <si>
    <t>Laptop</t>
  </si>
  <si>
    <t>Action</t>
  </si>
  <si>
    <t>Priyanka Rao</t>
  </si>
  <si>
    <t>Kavya Nair</t>
  </si>
  <si>
    <t>Aditya Iyer</t>
  </si>
  <si>
    <t>Rohan Gupta</t>
  </si>
  <si>
    <t>Brazil</t>
  </si>
  <si>
    <t>Ananya Bose</t>
  </si>
  <si>
    <t>Zara Khan</t>
  </si>
  <si>
    <t>Streaming Service Formula Test</t>
  </si>
  <si>
    <t>Use the Data sheet (rows 2-131) as your source. Write one formula per answer cell in column B.</t>
  </si>
  <si>
    <t>Q1. Total MonthlyFee collected from 'Premium' plan subscribers in 'India'.</t>
  </si>
  <si>
    <t>Q2. Count of subscribers on the 'Family' plan with Status='Cancelled'.</t>
  </si>
  <si>
    <t>Q3. Look up the Plan for SubID 5075, with a safe fallback if it isn't found.</t>
  </si>
  <si>
    <t>Q4. Average WatchHours for 'Standard' plan users who use a 'Smart TV'.</t>
  </si>
  <si>
    <t>Q5. Total monthly revenue across the entire dataset for subscribers with Status='Active' only, without adding a helper column.</t>
  </si>
  <si>
    <t>Q6. Classify SubID 5000's engagement as 'Low' (WatchHours&lt;=20), 'Medium' (20-60), or 'High' (60+).</t>
  </si>
  <si>
    <t>Q7. Extract the month name and year (e.g. 'March 2024') from the SignupDate of SubID 5010.</t>
  </si>
  <si>
    <t>Q8. Return the MonthlyFee where Country='Japan' and FavGenre='Thriller', using an array-style match (no helper column).</t>
  </si>
  <si>
    <t>Q9. Return a unique, alphabetically sorted list of all Countries as a spilled array.</t>
  </si>
  <si>
    <t>Q10. Return all SubIDs where Device='Console' AND Status='Active', as a spilled array.</t>
  </si>
  <si>
    <t>Q11. Count how many UserNames contain the word 'Kapoor' anywhere in the dataset.</t>
  </si>
  <si>
    <t>Q12. Find the Country with the highest total WatchHours among 'Premium' plan subscribers, using formulas only (no pivot table).</t>
  </si>
  <si>
    <t>Q13. Calculate the total number of unique UserNames who subscribed to the 'Basic' plan.</t>
  </si>
  <si>
    <t>Q14. Find the second-lowest MonthlyFee in the entire dataset.</t>
  </si>
  <si>
    <t>Q15. Return the UserName associated with the highest WatchHours on record.</t>
  </si>
  <si>
    <t>Q16. Count the number of subscribers who signed up in Q4 2024 (Oct-Dec).</t>
  </si>
  <si>
    <t>Q17. Calculate the percentage of subscribers with Status='Paused'.</t>
  </si>
  <si>
    <t>Q18. Return the most frequently chosen FavGenre overall.</t>
  </si>
  <si>
    <t>Q19. Find the total WatchHours generated by each Plan, broken out into a small 4-row summary table using formulas (not a pivot table).</t>
  </si>
  <si>
    <t>Q20. Extract just the day of the week (e.g. 'Monday') for the SignupDate of SubID 5040.</t>
  </si>
  <si>
    <t>Q21. Return the average MonthlyFee for subscribers with WatchHours greater than 50.</t>
  </si>
  <si>
    <t>Q22. Find the Device that has been used by the most subscribers overall.</t>
  </si>
  <si>
    <t>Q23. Return the number of distinct FavGenres chosen by subscribers on the 'Family' plan.</t>
  </si>
  <si>
    <t>Q24. Calculate the total number of months between SubID 5005's SignupDate and today's date, rounded down.</t>
  </si>
  <si>
    <t>Q25. Return TRUE or FALSE for whether every 'Basic' plan subscriber has WatchHours under 80.</t>
  </si>
  <si>
    <t>Q26. Concatenate the UserName and Country into a single string separated by a hyphen for SubID 5020 (e.g. 'Aarav Mehta-India').</t>
  </si>
  <si>
    <t>Q27. Find the earliest and latest SignupDate in the dataset, displayed as a single text string like 'Jan-2024 to Dec-2025'.</t>
  </si>
  <si>
    <t>done in right</t>
  </si>
  <si>
    <t>ans9</t>
  </si>
  <si>
    <t>ans10</t>
  </si>
  <si>
    <t>ref ans15</t>
  </si>
  <si>
    <t>quarter</t>
  </si>
  <si>
    <t>ans19</t>
  </si>
  <si>
    <t>ref ans27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</si>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</sst>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6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4"/>
      <name val="Arial"/>
      <charset val="1"/>
    </font>
    <font>
      <sz val="11"/>
      <name val="Arial"/>
      <charset val="1"/>
    </font>
    <font>
      <sz val="11"/>
      <color theme="1"/>
      <name val="Calibri"/>
      <family val="2"/>
      <charset val="1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9" fontId="0" fillId="0" borderId="0" xfId="1" applyFont="1"/>
    <xf numFmtId="14" fontId="0" fillId="0" borderId="0" xfId="0" applyNumberFormat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1"/>
  <sheetViews>
    <sheetView zoomScaleNormal="100" workbookViewId="0">
      <pane ySplit="1" topLeftCell="A106" activePane="bottomLeft" state="frozen"/>
      <selection pane="bottomLeft" activeCell="F1" sqref="F1"/>
    </sheetView>
  </sheetViews>
  <sheetFormatPr defaultColWidth="8.6640625" defaultRowHeight="14.4" x14ac:dyDescent="0.3"/>
  <cols>
    <col min="1" max="1" width="6.77734375" bestFit="1" customWidth="1"/>
    <col min="2" max="3" width="12.21875" bestFit="1" customWidth="1"/>
    <col min="4" max="4" width="8.77734375" bestFit="1" customWidth="1"/>
    <col min="5" max="5" width="8.21875" bestFit="1" customWidth="1"/>
    <col min="6" max="6" width="8.33203125" bestFit="1" customWidth="1"/>
    <col min="7" max="7" width="12" bestFit="1" customWidth="1"/>
    <col min="8" max="8" width="12.44140625" bestFit="1" customWidth="1"/>
    <col min="9" max="9" width="12.77734375" bestFit="1" customWidth="1"/>
    <col min="10" max="10" width="8.88671875" bestFit="1" customWidth="1"/>
    <col min="16" max="16" width="5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81</v>
      </c>
      <c r="M1" s="1" t="s">
        <v>84</v>
      </c>
    </row>
    <row r="2" spans="1:13" x14ac:dyDescent="0.3">
      <c r="A2">
        <v>5000</v>
      </c>
      <c r="B2" s="2">
        <v>45720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399</v>
      </c>
      <c r="I2">
        <v>76.099999999999994</v>
      </c>
      <c r="J2" t="s">
        <v>15</v>
      </c>
      <c r="L2">
        <f>ROUNDUP(MONTH(B2)/3,0)</f>
        <v>1</v>
      </c>
      <c r="M2">
        <f>YEAR(B2)</f>
        <v>2025</v>
      </c>
    </row>
    <row r="3" spans="1:13" x14ac:dyDescent="0.3">
      <c r="A3">
        <v>5001</v>
      </c>
      <c r="B3" s="2">
        <v>45809</v>
      </c>
      <c r="C3" t="s">
        <v>16</v>
      </c>
      <c r="D3" t="s">
        <v>17</v>
      </c>
      <c r="E3" t="s">
        <v>12</v>
      </c>
      <c r="F3" t="s">
        <v>18</v>
      </c>
      <c r="G3" t="s">
        <v>19</v>
      </c>
      <c r="H3">
        <v>399</v>
      </c>
      <c r="I3">
        <v>34</v>
      </c>
      <c r="J3" t="s">
        <v>20</v>
      </c>
      <c r="L3">
        <f t="shared" ref="L3:L66" si="0">ROUNDUP(MONTH(B3)/3,0)</f>
        <v>2</v>
      </c>
      <c r="M3">
        <f t="shared" ref="M3:M66" si="1">YEAR(B3)</f>
        <v>2025</v>
      </c>
    </row>
    <row r="4" spans="1:13" x14ac:dyDescent="0.3">
      <c r="A4">
        <v>5002</v>
      </c>
      <c r="B4" s="2">
        <v>45362</v>
      </c>
      <c r="C4" t="s">
        <v>21</v>
      </c>
      <c r="D4" t="s">
        <v>17</v>
      </c>
      <c r="E4" t="s">
        <v>22</v>
      </c>
      <c r="F4" t="s">
        <v>23</v>
      </c>
      <c r="G4" t="s">
        <v>19</v>
      </c>
      <c r="H4">
        <v>899</v>
      </c>
      <c r="I4">
        <v>39.9</v>
      </c>
      <c r="J4" t="s">
        <v>20</v>
      </c>
      <c r="L4">
        <f t="shared" si="0"/>
        <v>1</v>
      </c>
      <c r="M4">
        <f t="shared" si="1"/>
        <v>2024</v>
      </c>
    </row>
    <row r="5" spans="1:13" x14ac:dyDescent="0.3">
      <c r="A5">
        <v>5003</v>
      </c>
      <c r="B5" s="2">
        <v>45922</v>
      </c>
      <c r="C5" t="s">
        <v>24</v>
      </c>
      <c r="D5" t="s">
        <v>25</v>
      </c>
      <c r="E5" t="s">
        <v>22</v>
      </c>
      <c r="F5" t="s">
        <v>13</v>
      </c>
      <c r="G5" t="s">
        <v>26</v>
      </c>
      <c r="H5">
        <v>899</v>
      </c>
      <c r="I5">
        <v>45.3</v>
      </c>
      <c r="J5" t="s">
        <v>27</v>
      </c>
      <c r="L5">
        <f t="shared" si="0"/>
        <v>3</v>
      </c>
      <c r="M5">
        <f t="shared" si="1"/>
        <v>2025</v>
      </c>
    </row>
    <row r="6" spans="1:13" x14ac:dyDescent="0.3">
      <c r="A6">
        <v>5004</v>
      </c>
      <c r="B6" s="2">
        <v>45315</v>
      </c>
      <c r="C6" t="s">
        <v>21</v>
      </c>
      <c r="D6" t="s">
        <v>28</v>
      </c>
      <c r="E6" t="s">
        <v>29</v>
      </c>
      <c r="F6" t="s">
        <v>18</v>
      </c>
      <c r="G6" t="s">
        <v>19</v>
      </c>
      <c r="H6">
        <v>649</v>
      </c>
      <c r="I6">
        <v>73</v>
      </c>
      <c r="J6" t="s">
        <v>27</v>
      </c>
      <c r="L6">
        <f t="shared" si="0"/>
        <v>1</v>
      </c>
      <c r="M6">
        <f t="shared" si="1"/>
        <v>2024</v>
      </c>
    </row>
    <row r="7" spans="1:13" x14ac:dyDescent="0.3">
      <c r="A7">
        <v>5005</v>
      </c>
      <c r="B7" s="2">
        <v>45456</v>
      </c>
      <c r="C7" t="s">
        <v>16</v>
      </c>
      <c r="D7" t="s">
        <v>28</v>
      </c>
      <c r="E7" t="s">
        <v>22</v>
      </c>
      <c r="F7" t="s">
        <v>13</v>
      </c>
      <c r="G7" t="s">
        <v>14</v>
      </c>
      <c r="H7">
        <v>899</v>
      </c>
      <c r="I7">
        <v>44.1</v>
      </c>
      <c r="J7" t="s">
        <v>27</v>
      </c>
      <c r="L7">
        <f t="shared" si="0"/>
        <v>2</v>
      </c>
      <c r="M7">
        <f t="shared" si="1"/>
        <v>2024</v>
      </c>
    </row>
    <row r="8" spans="1:13" x14ac:dyDescent="0.3">
      <c r="A8">
        <v>5006</v>
      </c>
      <c r="B8" s="2">
        <v>45773</v>
      </c>
      <c r="C8" t="s">
        <v>30</v>
      </c>
      <c r="D8" t="s">
        <v>17</v>
      </c>
      <c r="E8" t="s">
        <v>31</v>
      </c>
      <c r="F8" t="s">
        <v>18</v>
      </c>
      <c r="G8" t="s">
        <v>32</v>
      </c>
      <c r="H8">
        <v>199</v>
      </c>
      <c r="I8">
        <v>19.600000000000001</v>
      </c>
      <c r="J8" t="s">
        <v>20</v>
      </c>
      <c r="L8">
        <f t="shared" si="0"/>
        <v>2</v>
      </c>
      <c r="M8">
        <f t="shared" si="1"/>
        <v>2025</v>
      </c>
    </row>
    <row r="9" spans="1:13" x14ac:dyDescent="0.3">
      <c r="A9">
        <v>5007</v>
      </c>
      <c r="B9" s="2">
        <v>45417</v>
      </c>
      <c r="C9" t="s">
        <v>16</v>
      </c>
      <c r="D9" t="s">
        <v>11</v>
      </c>
      <c r="E9" t="s">
        <v>31</v>
      </c>
      <c r="F9" t="s">
        <v>33</v>
      </c>
      <c r="G9" t="s">
        <v>14</v>
      </c>
      <c r="H9">
        <v>199</v>
      </c>
      <c r="I9">
        <v>18.899999999999999</v>
      </c>
      <c r="J9" t="s">
        <v>27</v>
      </c>
      <c r="L9">
        <f t="shared" si="0"/>
        <v>2</v>
      </c>
      <c r="M9">
        <f t="shared" si="1"/>
        <v>2024</v>
      </c>
    </row>
    <row r="10" spans="1:13" x14ac:dyDescent="0.3">
      <c r="A10">
        <v>5008</v>
      </c>
      <c r="B10" s="2">
        <v>45590</v>
      </c>
      <c r="C10" t="s">
        <v>34</v>
      </c>
      <c r="D10" t="s">
        <v>11</v>
      </c>
      <c r="E10" t="s">
        <v>22</v>
      </c>
      <c r="F10" t="s">
        <v>33</v>
      </c>
      <c r="G10" t="s">
        <v>14</v>
      </c>
      <c r="H10">
        <v>899</v>
      </c>
      <c r="I10">
        <v>29.3</v>
      </c>
      <c r="J10" t="s">
        <v>15</v>
      </c>
      <c r="L10">
        <f t="shared" si="0"/>
        <v>4</v>
      </c>
      <c r="M10">
        <f t="shared" si="1"/>
        <v>2024</v>
      </c>
    </row>
    <row r="11" spans="1:13" x14ac:dyDescent="0.3">
      <c r="A11">
        <v>5009</v>
      </c>
      <c r="B11" s="2">
        <v>45564</v>
      </c>
      <c r="C11" t="s">
        <v>35</v>
      </c>
      <c r="D11" t="s">
        <v>25</v>
      </c>
      <c r="E11" t="s">
        <v>22</v>
      </c>
      <c r="F11" t="s">
        <v>23</v>
      </c>
      <c r="G11" t="s">
        <v>14</v>
      </c>
      <c r="H11">
        <v>899</v>
      </c>
      <c r="I11">
        <v>1.3</v>
      </c>
      <c r="J11" t="s">
        <v>27</v>
      </c>
      <c r="L11">
        <f t="shared" si="0"/>
        <v>3</v>
      </c>
      <c r="M11">
        <f t="shared" si="1"/>
        <v>2024</v>
      </c>
    </row>
    <row r="12" spans="1:13" x14ac:dyDescent="0.3">
      <c r="A12">
        <v>5010</v>
      </c>
      <c r="B12" s="2">
        <v>45877</v>
      </c>
      <c r="C12" t="s">
        <v>36</v>
      </c>
      <c r="D12" t="s">
        <v>37</v>
      </c>
      <c r="E12" t="s">
        <v>12</v>
      </c>
      <c r="F12" t="s">
        <v>33</v>
      </c>
      <c r="G12" t="s">
        <v>26</v>
      </c>
      <c r="H12">
        <v>399</v>
      </c>
      <c r="I12">
        <v>11</v>
      </c>
      <c r="J12" t="s">
        <v>20</v>
      </c>
      <c r="L12">
        <f t="shared" si="0"/>
        <v>3</v>
      </c>
      <c r="M12">
        <f t="shared" si="1"/>
        <v>2025</v>
      </c>
    </row>
    <row r="13" spans="1:13" x14ac:dyDescent="0.3">
      <c r="A13">
        <v>5011</v>
      </c>
      <c r="B13" s="2">
        <v>45933</v>
      </c>
      <c r="C13" t="s">
        <v>34</v>
      </c>
      <c r="D13" t="s">
        <v>37</v>
      </c>
      <c r="E13" t="s">
        <v>12</v>
      </c>
      <c r="F13" t="s">
        <v>13</v>
      </c>
      <c r="G13" t="s">
        <v>26</v>
      </c>
      <c r="H13">
        <v>399</v>
      </c>
      <c r="I13">
        <v>83.7</v>
      </c>
      <c r="J13" t="s">
        <v>27</v>
      </c>
      <c r="L13">
        <f t="shared" si="0"/>
        <v>4</v>
      </c>
      <c r="M13">
        <f t="shared" si="1"/>
        <v>2025</v>
      </c>
    </row>
    <row r="14" spans="1:13" x14ac:dyDescent="0.3">
      <c r="A14">
        <v>5012</v>
      </c>
      <c r="B14" s="2">
        <v>45464</v>
      </c>
      <c r="C14" t="s">
        <v>38</v>
      </c>
      <c r="D14" t="s">
        <v>17</v>
      </c>
      <c r="E14" t="s">
        <v>31</v>
      </c>
      <c r="F14" t="s">
        <v>39</v>
      </c>
      <c r="G14" t="s">
        <v>40</v>
      </c>
      <c r="H14">
        <v>199</v>
      </c>
      <c r="I14">
        <v>15.2</v>
      </c>
      <c r="J14" t="s">
        <v>27</v>
      </c>
      <c r="L14">
        <f t="shared" si="0"/>
        <v>2</v>
      </c>
      <c r="M14">
        <f t="shared" si="1"/>
        <v>2024</v>
      </c>
    </row>
    <row r="15" spans="1:13" x14ac:dyDescent="0.3">
      <c r="A15">
        <v>5013</v>
      </c>
      <c r="B15" s="2">
        <v>45708</v>
      </c>
      <c r="C15" t="s">
        <v>41</v>
      </c>
      <c r="D15" t="s">
        <v>17</v>
      </c>
      <c r="E15" t="s">
        <v>12</v>
      </c>
      <c r="F15" t="s">
        <v>33</v>
      </c>
      <c r="G15" t="s">
        <v>19</v>
      </c>
      <c r="H15">
        <v>399</v>
      </c>
      <c r="I15">
        <v>79.599999999999994</v>
      </c>
      <c r="J15" t="s">
        <v>15</v>
      </c>
      <c r="L15">
        <f t="shared" si="0"/>
        <v>1</v>
      </c>
      <c r="M15">
        <f t="shared" si="1"/>
        <v>2025</v>
      </c>
    </row>
    <row r="16" spans="1:13" x14ac:dyDescent="0.3">
      <c r="A16">
        <v>5014</v>
      </c>
      <c r="B16" s="2">
        <v>45974</v>
      </c>
      <c r="C16" t="s">
        <v>42</v>
      </c>
      <c r="D16" t="s">
        <v>17</v>
      </c>
      <c r="E16" t="s">
        <v>22</v>
      </c>
      <c r="F16" t="s">
        <v>23</v>
      </c>
      <c r="G16" t="s">
        <v>26</v>
      </c>
      <c r="H16">
        <v>899</v>
      </c>
      <c r="I16">
        <v>7.2</v>
      </c>
      <c r="J16" t="s">
        <v>15</v>
      </c>
      <c r="L16">
        <f t="shared" si="0"/>
        <v>4</v>
      </c>
      <c r="M16">
        <f t="shared" si="1"/>
        <v>2025</v>
      </c>
    </row>
    <row r="17" spans="1:13" x14ac:dyDescent="0.3">
      <c r="A17">
        <v>5015</v>
      </c>
      <c r="B17" s="2">
        <v>45350</v>
      </c>
      <c r="C17" t="s">
        <v>30</v>
      </c>
      <c r="D17" t="s">
        <v>37</v>
      </c>
      <c r="E17" t="s">
        <v>22</v>
      </c>
      <c r="F17" t="s">
        <v>18</v>
      </c>
      <c r="G17" t="s">
        <v>40</v>
      </c>
      <c r="H17">
        <v>899</v>
      </c>
      <c r="I17">
        <v>59.6</v>
      </c>
      <c r="J17" t="s">
        <v>27</v>
      </c>
      <c r="L17">
        <f t="shared" si="0"/>
        <v>1</v>
      </c>
      <c r="M17">
        <f t="shared" si="1"/>
        <v>2024</v>
      </c>
    </row>
    <row r="18" spans="1:13" x14ac:dyDescent="0.3">
      <c r="A18">
        <v>5016</v>
      </c>
      <c r="B18" s="2">
        <v>45546</v>
      </c>
      <c r="C18" t="s">
        <v>21</v>
      </c>
      <c r="D18" t="s">
        <v>11</v>
      </c>
      <c r="E18" t="s">
        <v>22</v>
      </c>
      <c r="F18" t="s">
        <v>18</v>
      </c>
      <c r="G18" t="s">
        <v>40</v>
      </c>
      <c r="H18">
        <v>899</v>
      </c>
      <c r="I18">
        <v>58.4</v>
      </c>
      <c r="J18" t="s">
        <v>27</v>
      </c>
      <c r="L18">
        <f t="shared" si="0"/>
        <v>3</v>
      </c>
      <c r="M18">
        <f t="shared" si="1"/>
        <v>2024</v>
      </c>
    </row>
    <row r="19" spans="1:13" x14ac:dyDescent="0.3">
      <c r="A19">
        <v>5017</v>
      </c>
      <c r="B19" s="2">
        <v>45782</v>
      </c>
      <c r="C19" t="s">
        <v>35</v>
      </c>
      <c r="D19" t="s">
        <v>37</v>
      </c>
      <c r="E19" t="s">
        <v>12</v>
      </c>
      <c r="F19" t="s">
        <v>23</v>
      </c>
      <c r="G19" t="s">
        <v>26</v>
      </c>
      <c r="H19">
        <v>399</v>
      </c>
      <c r="I19">
        <v>82.1</v>
      </c>
      <c r="J19" t="s">
        <v>15</v>
      </c>
      <c r="L19">
        <f t="shared" si="0"/>
        <v>2</v>
      </c>
      <c r="M19">
        <f t="shared" si="1"/>
        <v>2025</v>
      </c>
    </row>
    <row r="20" spans="1:13" x14ac:dyDescent="0.3">
      <c r="A20">
        <v>5018</v>
      </c>
      <c r="B20" s="2">
        <v>45509</v>
      </c>
      <c r="C20" t="s">
        <v>41</v>
      </c>
      <c r="D20" t="s">
        <v>37</v>
      </c>
      <c r="E20" t="s">
        <v>31</v>
      </c>
      <c r="F20" t="s">
        <v>23</v>
      </c>
      <c r="G20" t="s">
        <v>40</v>
      </c>
      <c r="H20">
        <v>199</v>
      </c>
      <c r="I20">
        <v>54.5</v>
      </c>
      <c r="J20" t="s">
        <v>15</v>
      </c>
      <c r="L20">
        <f t="shared" si="0"/>
        <v>3</v>
      </c>
      <c r="M20">
        <f t="shared" si="1"/>
        <v>2024</v>
      </c>
    </row>
    <row r="21" spans="1:13" x14ac:dyDescent="0.3">
      <c r="A21">
        <v>5019</v>
      </c>
      <c r="B21" s="2">
        <v>45887</v>
      </c>
      <c r="C21" t="s">
        <v>41</v>
      </c>
      <c r="D21" t="s">
        <v>11</v>
      </c>
      <c r="E21" t="s">
        <v>22</v>
      </c>
      <c r="F21" t="s">
        <v>13</v>
      </c>
      <c r="G21" t="s">
        <v>32</v>
      </c>
      <c r="H21">
        <v>899</v>
      </c>
      <c r="I21">
        <v>48.6</v>
      </c>
      <c r="J21" t="s">
        <v>15</v>
      </c>
      <c r="L21">
        <f t="shared" si="0"/>
        <v>3</v>
      </c>
      <c r="M21">
        <f t="shared" si="1"/>
        <v>2025</v>
      </c>
    </row>
    <row r="22" spans="1:13" x14ac:dyDescent="0.3">
      <c r="A22">
        <v>5020</v>
      </c>
      <c r="B22" s="2">
        <v>45302</v>
      </c>
      <c r="C22" t="s">
        <v>43</v>
      </c>
      <c r="D22" t="s">
        <v>28</v>
      </c>
      <c r="E22" t="s">
        <v>12</v>
      </c>
      <c r="F22" t="s">
        <v>23</v>
      </c>
      <c r="G22" t="s">
        <v>19</v>
      </c>
      <c r="H22">
        <v>399</v>
      </c>
      <c r="I22">
        <v>24.5</v>
      </c>
      <c r="J22" t="s">
        <v>15</v>
      </c>
      <c r="L22">
        <f t="shared" si="0"/>
        <v>1</v>
      </c>
      <c r="M22">
        <f t="shared" si="1"/>
        <v>2024</v>
      </c>
    </row>
    <row r="23" spans="1:13" x14ac:dyDescent="0.3">
      <c r="A23">
        <v>5021</v>
      </c>
      <c r="B23" s="2">
        <v>45890</v>
      </c>
      <c r="C23" t="s">
        <v>43</v>
      </c>
      <c r="D23" t="s">
        <v>37</v>
      </c>
      <c r="E23" t="s">
        <v>12</v>
      </c>
      <c r="F23" t="s">
        <v>39</v>
      </c>
      <c r="G23" t="s">
        <v>32</v>
      </c>
      <c r="H23">
        <v>399</v>
      </c>
      <c r="I23">
        <v>12.9</v>
      </c>
      <c r="J23" t="s">
        <v>27</v>
      </c>
      <c r="L23">
        <f t="shared" si="0"/>
        <v>3</v>
      </c>
      <c r="M23">
        <f t="shared" si="1"/>
        <v>2025</v>
      </c>
    </row>
    <row r="24" spans="1:13" x14ac:dyDescent="0.3">
      <c r="A24">
        <v>5022</v>
      </c>
      <c r="B24" s="2">
        <v>45388</v>
      </c>
      <c r="C24" t="s">
        <v>21</v>
      </c>
      <c r="D24" t="s">
        <v>25</v>
      </c>
      <c r="E24" t="s">
        <v>22</v>
      </c>
      <c r="F24" t="s">
        <v>39</v>
      </c>
      <c r="G24" t="s">
        <v>32</v>
      </c>
      <c r="H24">
        <v>899</v>
      </c>
      <c r="I24">
        <v>7.4</v>
      </c>
      <c r="J24" t="s">
        <v>27</v>
      </c>
      <c r="L24">
        <f t="shared" si="0"/>
        <v>2</v>
      </c>
      <c r="M24">
        <f t="shared" si="1"/>
        <v>2024</v>
      </c>
    </row>
    <row r="25" spans="1:13" x14ac:dyDescent="0.3">
      <c r="A25">
        <v>5023</v>
      </c>
      <c r="B25" s="2">
        <v>45421</v>
      </c>
      <c r="C25" t="s">
        <v>44</v>
      </c>
      <c r="D25" t="s">
        <v>45</v>
      </c>
      <c r="E25" t="s">
        <v>29</v>
      </c>
      <c r="F25" t="s">
        <v>13</v>
      </c>
      <c r="G25" t="s">
        <v>14</v>
      </c>
      <c r="H25">
        <v>649</v>
      </c>
      <c r="I25">
        <v>45</v>
      </c>
      <c r="J25" t="s">
        <v>27</v>
      </c>
      <c r="L25">
        <f t="shared" si="0"/>
        <v>2</v>
      </c>
      <c r="M25">
        <f t="shared" si="1"/>
        <v>2024</v>
      </c>
    </row>
    <row r="26" spans="1:13" x14ac:dyDescent="0.3">
      <c r="A26">
        <v>5024</v>
      </c>
      <c r="B26" s="2">
        <v>45477</v>
      </c>
      <c r="C26" t="s">
        <v>21</v>
      </c>
      <c r="D26" t="s">
        <v>11</v>
      </c>
      <c r="E26" t="s">
        <v>12</v>
      </c>
      <c r="F26" t="s">
        <v>23</v>
      </c>
      <c r="G26" t="s">
        <v>26</v>
      </c>
      <c r="H26">
        <v>399</v>
      </c>
      <c r="I26">
        <v>68.400000000000006</v>
      </c>
      <c r="J26" t="s">
        <v>20</v>
      </c>
      <c r="L26">
        <f t="shared" si="0"/>
        <v>3</v>
      </c>
      <c r="M26">
        <f t="shared" si="1"/>
        <v>2024</v>
      </c>
    </row>
    <row r="27" spans="1:13" x14ac:dyDescent="0.3">
      <c r="A27">
        <v>5025</v>
      </c>
      <c r="B27" s="2">
        <v>45300</v>
      </c>
      <c r="C27" t="s">
        <v>43</v>
      </c>
      <c r="D27" t="s">
        <v>11</v>
      </c>
      <c r="E27" t="s">
        <v>31</v>
      </c>
      <c r="F27" t="s">
        <v>18</v>
      </c>
      <c r="G27" t="s">
        <v>14</v>
      </c>
      <c r="H27">
        <v>199</v>
      </c>
      <c r="I27">
        <v>69</v>
      </c>
      <c r="J27" t="s">
        <v>27</v>
      </c>
      <c r="L27">
        <f t="shared" si="0"/>
        <v>1</v>
      </c>
      <c r="M27">
        <f t="shared" si="1"/>
        <v>2024</v>
      </c>
    </row>
    <row r="28" spans="1:13" x14ac:dyDescent="0.3">
      <c r="A28">
        <v>5026</v>
      </c>
      <c r="B28" s="2">
        <v>45550</v>
      </c>
      <c r="C28" t="s">
        <v>10</v>
      </c>
      <c r="D28" t="s">
        <v>45</v>
      </c>
      <c r="E28" t="s">
        <v>12</v>
      </c>
      <c r="F28" t="s">
        <v>13</v>
      </c>
      <c r="G28" t="s">
        <v>19</v>
      </c>
      <c r="H28">
        <v>399</v>
      </c>
      <c r="I28">
        <v>22.8</v>
      </c>
      <c r="J28" t="s">
        <v>27</v>
      </c>
      <c r="L28">
        <f t="shared" si="0"/>
        <v>3</v>
      </c>
      <c r="M28">
        <f t="shared" si="1"/>
        <v>2024</v>
      </c>
    </row>
    <row r="29" spans="1:13" x14ac:dyDescent="0.3">
      <c r="A29">
        <v>5027</v>
      </c>
      <c r="B29" s="2">
        <v>45594</v>
      </c>
      <c r="C29" t="s">
        <v>30</v>
      </c>
      <c r="D29" t="s">
        <v>45</v>
      </c>
      <c r="E29" t="s">
        <v>29</v>
      </c>
      <c r="F29" t="s">
        <v>33</v>
      </c>
      <c r="G29" t="s">
        <v>14</v>
      </c>
      <c r="H29">
        <v>649</v>
      </c>
      <c r="I29">
        <v>85.4</v>
      </c>
      <c r="J29" t="s">
        <v>27</v>
      </c>
      <c r="L29">
        <f t="shared" si="0"/>
        <v>4</v>
      </c>
      <c r="M29">
        <f t="shared" si="1"/>
        <v>2024</v>
      </c>
    </row>
    <row r="30" spans="1:13" x14ac:dyDescent="0.3">
      <c r="A30">
        <v>5028</v>
      </c>
      <c r="B30" s="2">
        <v>45812</v>
      </c>
      <c r="C30" t="s">
        <v>36</v>
      </c>
      <c r="D30" t="s">
        <v>28</v>
      </c>
      <c r="E30" t="s">
        <v>31</v>
      </c>
      <c r="F30" t="s">
        <v>13</v>
      </c>
      <c r="G30" t="s">
        <v>26</v>
      </c>
      <c r="H30">
        <v>199</v>
      </c>
      <c r="I30">
        <v>28.6</v>
      </c>
      <c r="J30" t="s">
        <v>20</v>
      </c>
      <c r="L30">
        <f t="shared" si="0"/>
        <v>2</v>
      </c>
      <c r="M30">
        <f t="shared" si="1"/>
        <v>2025</v>
      </c>
    </row>
    <row r="31" spans="1:13" x14ac:dyDescent="0.3">
      <c r="A31">
        <v>5029</v>
      </c>
      <c r="B31" s="2">
        <v>45357</v>
      </c>
      <c r="C31" t="s">
        <v>36</v>
      </c>
      <c r="D31" t="s">
        <v>37</v>
      </c>
      <c r="E31" t="s">
        <v>12</v>
      </c>
      <c r="F31" t="s">
        <v>23</v>
      </c>
      <c r="G31" t="s">
        <v>40</v>
      </c>
      <c r="H31">
        <v>399</v>
      </c>
      <c r="I31">
        <v>6.8</v>
      </c>
      <c r="J31" t="s">
        <v>20</v>
      </c>
      <c r="L31">
        <f t="shared" si="0"/>
        <v>1</v>
      </c>
      <c r="M31">
        <f t="shared" si="1"/>
        <v>2024</v>
      </c>
    </row>
    <row r="32" spans="1:13" x14ac:dyDescent="0.3">
      <c r="A32">
        <v>5030</v>
      </c>
      <c r="B32" s="2">
        <v>45402</v>
      </c>
      <c r="C32" t="s">
        <v>30</v>
      </c>
      <c r="D32" t="s">
        <v>25</v>
      </c>
      <c r="E32" t="s">
        <v>22</v>
      </c>
      <c r="F32" t="s">
        <v>18</v>
      </c>
      <c r="G32" t="s">
        <v>14</v>
      </c>
      <c r="H32">
        <v>899</v>
      </c>
      <c r="I32">
        <v>45.9</v>
      </c>
      <c r="J32" t="s">
        <v>27</v>
      </c>
      <c r="L32">
        <f t="shared" si="0"/>
        <v>2</v>
      </c>
      <c r="M32">
        <f t="shared" si="1"/>
        <v>2024</v>
      </c>
    </row>
    <row r="33" spans="1:13" x14ac:dyDescent="0.3">
      <c r="A33">
        <v>5031</v>
      </c>
      <c r="B33" s="2">
        <v>45774</v>
      </c>
      <c r="C33" t="s">
        <v>16</v>
      </c>
      <c r="D33" t="s">
        <v>45</v>
      </c>
      <c r="E33" t="s">
        <v>22</v>
      </c>
      <c r="F33" t="s">
        <v>39</v>
      </c>
      <c r="G33" t="s">
        <v>14</v>
      </c>
      <c r="H33">
        <v>899</v>
      </c>
      <c r="I33">
        <v>7.3</v>
      </c>
      <c r="J33" t="s">
        <v>27</v>
      </c>
      <c r="L33">
        <f t="shared" si="0"/>
        <v>2</v>
      </c>
      <c r="M33">
        <f t="shared" si="1"/>
        <v>2025</v>
      </c>
    </row>
    <row r="34" spans="1:13" x14ac:dyDescent="0.3">
      <c r="A34">
        <v>5032</v>
      </c>
      <c r="B34" s="2">
        <v>45969</v>
      </c>
      <c r="C34" t="s">
        <v>43</v>
      </c>
      <c r="D34" t="s">
        <v>25</v>
      </c>
      <c r="E34" t="s">
        <v>31</v>
      </c>
      <c r="F34" t="s">
        <v>23</v>
      </c>
      <c r="G34" t="s">
        <v>40</v>
      </c>
      <c r="H34">
        <v>199</v>
      </c>
      <c r="I34">
        <v>63.7</v>
      </c>
      <c r="J34" t="s">
        <v>15</v>
      </c>
      <c r="L34">
        <f t="shared" si="0"/>
        <v>4</v>
      </c>
      <c r="M34">
        <f t="shared" si="1"/>
        <v>2025</v>
      </c>
    </row>
    <row r="35" spans="1:13" x14ac:dyDescent="0.3">
      <c r="A35">
        <v>5033</v>
      </c>
      <c r="B35" s="2">
        <v>45758</v>
      </c>
      <c r="C35" t="s">
        <v>46</v>
      </c>
      <c r="D35" t="s">
        <v>17</v>
      </c>
      <c r="E35" t="s">
        <v>22</v>
      </c>
      <c r="F35" t="s">
        <v>39</v>
      </c>
      <c r="G35" t="s">
        <v>14</v>
      </c>
      <c r="H35">
        <v>899</v>
      </c>
      <c r="I35">
        <v>30.1</v>
      </c>
      <c r="J35" t="s">
        <v>27</v>
      </c>
      <c r="L35">
        <f t="shared" si="0"/>
        <v>2</v>
      </c>
      <c r="M35">
        <f t="shared" si="1"/>
        <v>2025</v>
      </c>
    </row>
    <row r="36" spans="1:13" x14ac:dyDescent="0.3">
      <c r="A36">
        <v>5034</v>
      </c>
      <c r="B36" s="2">
        <v>45330</v>
      </c>
      <c r="C36" t="s">
        <v>24</v>
      </c>
      <c r="D36" t="s">
        <v>17</v>
      </c>
      <c r="E36" t="s">
        <v>31</v>
      </c>
      <c r="F36" t="s">
        <v>39</v>
      </c>
      <c r="G36" t="s">
        <v>40</v>
      </c>
      <c r="H36">
        <v>199</v>
      </c>
      <c r="I36">
        <v>64.8</v>
      </c>
      <c r="J36" t="s">
        <v>27</v>
      </c>
      <c r="L36">
        <f t="shared" si="0"/>
        <v>1</v>
      </c>
      <c r="M36">
        <f t="shared" si="1"/>
        <v>2024</v>
      </c>
    </row>
    <row r="37" spans="1:13" x14ac:dyDescent="0.3">
      <c r="A37">
        <v>5035</v>
      </c>
      <c r="B37" s="2">
        <v>45933</v>
      </c>
      <c r="C37" t="s">
        <v>47</v>
      </c>
      <c r="D37" t="s">
        <v>45</v>
      </c>
      <c r="E37" t="s">
        <v>22</v>
      </c>
      <c r="F37" t="s">
        <v>33</v>
      </c>
      <c r="G37" t="s">
        <v>40</v>
      </c>
      <c r="H37">
        <v>899</v>
      </c>
      <c r="I37">
        <v>22.8</v>
      </c>
      <c r="J37" t="s">
        <v>15</v>
      </c>
      <c r="L37">
        <f t="shared" si="0"/>
        <v>4</v>
      </c>
      <c r="M37">
        <f t="shared" si="1"/>
        <v>2025</v>
      </c>
    </row>
    <row r="38" spans="1:13" x14ac:dyDescent="0.3">
      <c r="A38">
        <v>5036</v>
      </c>
      <c r="B38" s="2">
        <v>45605</v>
      </c>
      <c r="C38" t="s">
        <v>36</v>
      </c>
      <c r="D38" t="s">
        <v>11</v>
      </c>
      <c r="E38" t="s">
        <v>22</v>
      </c>
      <c r="F38" t="s">
        <v>33</v>
      </c>
      <c r="G38" t="s">
        <v>19</v>
      </c>
      <c r="H38">
        <v>899</v>
      </c>
      <c r="I38">
        <v>15.4</v>
      </c>
      <c r="J38" t="s">
        <v>27</v>
      </c>
      <c r="L38">
        <f t="shared" si="0"/>
        <v>4</v>
      </c>
      <c r="M38">
        <f t="shared" si="1"/>
        <v>2024</v>
      </c>
    </row>
    <row r="39" spans="1:13" x14ac:dyDescent="0.3">
      <c r="A39">
        <v>5037</v>
      </c>
      <c r="B39" s="2">
        <v>45692</v>
      </c>
      <c r="C39" t="s">
        <v>10</v>
      </c>
      <c r="D39" t="s">
        <v>17</v>
      </c>
      <c r="E39" t="s">
        <v>29</v>
      </c>
      <c r="F39" t="s">
        <v>18</v>
      </c>
      <c r="G39" t="s">
        <v>26</v>
      </c>
      <c r="H39">
        <v>649</v>
      </c>
      <c r="I39">
        <v>16.600000000000001</v>
      </c>
      <c r="J39" t="s">
        <v>20</v>
      </c>
      <c r="L39">
        <f t="shared" si="0"/>
        <v>1</v>
      </c>
      <c r="M39">
        <f t="shared" si="1"/>
        <v>2025</v>
      </c>
    </row>
    <row r="40" spans="1:13" x14ac:dyDescent="0.3">
      <c r="A40">
        <v>5038</v>
      </c>
      <c r="B40" s="2">
        <v>45926</v>
      </c>
      <c r="C40" t="s">
        <v>43</v>
      </c>
      <c r="D40" t="s">
        <v>28</v>
      </c>
      <c r="E40" t="s">
        <v>29</v>
      </c>
      <c r="F40" t="s">
        <v>39</v>
      </c>
      <c r="G40" t="s">
        <v>19</v>
      </c>
      <c r="H40">
        <v>649</v>
      </c>
      <c r="I40">
        <v>89.2</v>
      </c>
      <c r="J40" t="s">
        <v>27</v>
      </c>
      <c r="L40">
        <f t="shared" si="0"/>
        <v>3</v>
      </c>
      <c r="M40">
        <f t="shared" si="1"/>
        <v>2025</v>
      </c>
    </row>
    <row r="41" spans="1:13" x14ac:dyDescent="0.3">
      <c r="A41">
        <v>5039</v>
      </c>
      <c r="B41" s="2">
        <v>45502</v>
      </c>
      <c r="C41" t="s">
        <v>47</v>
      </c>
      <c r="D41" t="s">
        <v>37</v>
      </c>
      <c r="E41" t="s">
        <v>22</v>
      </c>
      <c r="F41" t="s">
        <v>13</v>
      </c>
      <c r="G41" t="s">
        <v>26</v>
      </c>
      <c r="H41">
        <v>899</v>
      </c>
      <c r="I41">
        <v>61.7</v>
      </c>
      <c r="J41" t="s">
        <v>15</v>
      </c>
      <c r="L41">
        <f t="shared" si="0"/>
        <v>3</v>
      </c>
      <c r="M41">
        <f t="shared" si="1"/>
        <v>2024</v>
      </c>
    </row>
    <row r="42" spans="1:13" x14ac:dyDescent="0.3">
      <c r="A42">
        <v>5040</v>
      </c>
      <c r="B42" s="2">
        <v>45321</v>
      </c>
      <c r="C42" t="s">
        <v>34</v>
      </c>
      <c r="D42" t="s">
        <v>45</v>
      </c>
      <c r="E42" t="s">
        <v>31</v>
      </c>
      <c r="F42" t="s">
        <v>13</v>
      </c>
      <c r="G42" t="s">
        <v>32</v>
      </c>
      <c r="H42">
        <v>199</v>
      </c>
      <c r="I42">
        <v>81.099999999999994</v>
      </c>
      <c r="J42" t="s">
        <v>20</v>
      </c>
      <c r="L42">
        <f t="shared" si="0"/>
        <v>1</v>
      </c>
      <c r="M42">
        <f t="shared" si="1"/>
        <v>2024</v>
      </c>
    </row>
    <row r="43" spans="1:13" x14ac:dyDescent="0.3">
      <c r="A43">
        <v>5041</v>
      </c>
      <c r="B43" s="2">
        <v>45536</v>
      </c>
      <c r="C43" t="s">
        <v>36</v>
      </c>
      <c r="D43" t="s">
        <v>28</v>
      </c>
      <c r="E43" t="s">
        <v>12</v>
      </c>
      <c r="F43" t="s">
        <v>13</v>
      </c>
      <c r="G43" t="s">
        <v>14</v>
      </c>
      <c r="H43">
        <v>399</v>
      </c>
      <c r="I43">
        <v>15</v>
      </c>
      <c r="J43" t="s">
        <v>15</v>
      </c>
      <c r="L43">
        <f t="shared" si="0"/>
        <v>3</v>
      </c>
      <c r="M43">
        <f t="shared" si="1"/>
        <v>2024</v>
      </c>
    </row>
    <row r="44" spans="1:13" x14ac:dyDescent="0.3">
      <c r="A44">
        <v>5042</v>
      </c>
      <c r="B44" s="2">
        <v>45703</v>
      </c>
      <c r="C44" t="s">
        <v>43</v>
      </c>
      <c r="D44" t="s">
        <v>11</v>
      </c>
      <c r="E44" t="s">
        <v>22</v>
      </c>
      <c r="F44" t="s">
        <v>33</v>
      </c>
      <c r="G44" t="s">
        <v>40</v>
      </c>
      <c r="H44">
        <v>899</v>
      </c>
      <c r="I44">
        <v>60.6</v>
      </c>
      <c r="J44" t="s">
        <v>20</v>
      </c>
      <c r="L44">
        <f t="shared" si="0"/>
        <v>1</v>
      </c>
      <c r="M44">
        <f t="shared" si="1"/>
        <v>2025</v>
      </c>
    </row>
    <row r="45" spans="1:13" x14ac:dyDescent="0.3">
      <c r="A45">
        <v>5043</v>
      </c>
      <c r="B45" s="2">
        <v>45928</v>
      </c>
      <c r="C45" t="s">
        <v>44</v>
      </c>
      <c r="D45" t="s">
        <v>25</v>
      </c>
      <c r="E45" t="s">
        <v>22</v>
      </c>
      <c r="F45" t="s">
        <v>23</v>
      </c>
      <c r="G45" t="s">
        <v>32</v>
      </c>
      <c r="H45">
        <v>899</v>
      </c>
      <c r="I45">
        <v>4.0999999999999996</v>
      </c>
      <c r="J45" t="s">
        <v>20</v>
      </c>
      <c r="L45">
        <f t="shared" si="0"/>
        <v>3</v>
      </c>
      <c r="M45">
        <f t="shared" si="1"/>
        <v>2025</v>
      </c>
    </row>
    <row r="46" spans="1:13" x14ac:dyDescent="0.3">
      <c r="A46">
        <v>5044</v>
      </c>
      <c r="B46" s="2">
        <v>45311</v>
      </c>
      <c r="C46" t="s">
        <v>38</v>
      </c>
      <c r="D46" t="s">
        <v>45</v>
      </c>
      <c r="E46" t="s">
        <v>29</v>
      </c>
      <c r="F46" t="s">
        <v>33</v>
      </c>
      <c r="G46" t="s">
        <v>19</v>
      </c>
      <c r="H46">
        <v>649</v>
      </c>
      <c r="I46">
        <v>36.4</v>
      </c>
      <c r="J46" t="s">
        <v>15</v>
      </c>
      <c r="L46">
        <f t="shared" si="0"/>
        <v>1</v>
      </c>
      <c r="M46">
        <f t="shared" si="1"/>
        <v>2024</v>
      </c>
    </row>
    <row r="47" spans="1:13" x14ac:dyDescent="0.3">
      <c r="A47">
        <v>5045</v>
      </c>
      <c r="B47" s="2">
        <v>45537</v>
      </c>
      <c r="C47" t="s">
        <v>35</v>
      </c>
      <c r="D47" t="s">
        <v>45</v>
      </c>
      <c r="E47" t="s">
        <v>22</v>
      </c>
      <c r="F47" t="s">
        <v>23</v>
      </c>
      <c r="G47" t="s">
        <v>19</v>
      </c>
      <c r="H47">
        <v>899</v>
      </c>
      <c r="I47">
        <v>87.6</v>
      </c>
      <c r="J47" t="s">
        <v>27</v>
      </c>
      <c r="L47">
        <f t="shared" si="0"/>
        <v>3</v>
      </c>
      <c r="M47">
        <f t="shared" si="1"/>
        <v>2024</v>
      </c>
    </row>
    <row r="48" spans="1:13" x14ac:dyDescent="0.3">
      <c r="A48">
        <v>5046</v>
      </c>
      <c r="B48" s="2">
        <v>45671</v>
      </c>
      <c r="C48" t="s">
        <v>41</v>
      </c>
      <c r="D48" t="s">
        <v>25</v>
      </c>
      <c r="E48" t="s">
        <v>22</v>
      </c>
      <c r="F48" t="s">
        <v>13</v>
      </c>
      <c r="G48" t="s">
        <v>32</v>
      </c>
      <c r="H48">
        <v>899</v>
      </c>
      <c r="I48">
        <v>13</v>
      </c>
      <c r="J48" t="s">
        <v>15</v>
      </c>
      <c r="L48">
        <f t="shared" si="0"/>
        <v>1</v>
      </c>
      <c r="M48">
        <f t="shared" si="1"/>
        <v>2025</v>
      </c>
    </row>
    <row r="49" spans="1:13" x14ac:dyDescent="0.3">
      <c r="A49">
        <v>5047</v>
      </c>
      <c r="B49" s="2">
        <v>45608</v>
      </c>
      <c r="C49" t="s">
        <v>42</v>
      </c>
      <c r="D49" t="s">
        <v>11</v>
      </c>
      <c r="E49" t="s">
        <v>31</v>
      </c>
      <c r="F49" t="s">
        <v>39</v>
      </c>
      <c r="G49" t="s">
        <v>26</v>
      </c>
      <c r="H49">
        <v>199</v>
      </c>
      <c r="I49">
        <v>22.7</v>
      </c>
      <c r="J49" t="s">
        <v>20</v>
      </c>
      <c r="L49">
        <f t="shared" si="0"/>
        <v>4</v>
      </c>
      <c r="M49">
        <f t="shared" si="1"/>
        <v>2024</v>
      </c>
    </row>
    <row r="50" spans="1:13" x14ac:dyDescent="0.3">
      <c r="A50">
        <v>5048</v>
      </c>
      <c r="B50" s="2">
        <v>45310</v>
      </c>
      <c r="C50" t="s">
        <v>47</v>
      </c>
      <c r="D50" t="s">
        <v>45</v>
      </c>
      <c r="E50" t="s">
        <v>22</v>
      </c>
      <c r="F50" t="s">
        <v>18</v>
      </c>
      <c r="G50" t="s">
        <v>19</v>
      </c>
      <c r="H50">
        <v>899</v>
      </c>
      <c r="I50">
        <v>39.799999999999997</v>
      </c>
      <c r="J50" t="s">
        <v>20</v>
      </c>
      <c r="L50">
        <f t="shared" si="0"/>
        <v>1</v>
      </c>
      <c r="M50">
        <f t="shared" si="1"/>
        <v>2024</v>
      </c>
    </row>
    <row r="51" spans="1:13" x14ac:dyDescent="0.3">
      <c r="A51">
        <v>5049</v>
      </c>
      <c r="B51" s="2">
        <v>45447</v>
      </c>
      <c r="C51" t="s">
        <v>35</v>
      </c>
      <c r="D51" t="s">
        <v>11</v>
      </c>
      <c r="E51" t="s">
        <v>12</v>
      </c>
      <c r="F51" t="s">
        <v>33</v>
      </c>
      <c r="G51" t="s">
        <v>26</v>
      </c>
      <c r="H51">
        <v>399</v>
      </c>
      <c r="I51">
        <v>48.7</v>
      </c>
      <c r="J51" t="s">
        <v>15</v>
      </c>
      <c r="L51">
        <f t="shared" si="0"/>
        <v>2</v>
      </c>
      <c r="M51">
        <f t="shared" si="1"/>
        <v>2024</v>
      </c>
    </row>
    <row r="52" spans="1:13" x14ac:dyDescent="0.3">
      <c r="A52">
        <v>5050</v>
      </c>
      <c r="B52" s="2">
        <v>45987</v>
      </c>
      <c r="C52" t="s">
        <v>46</v>
      </c>
      <c r="D52" t="s">
        <v>28</v>
      </c>
      <c r="E52" t="s">
        <v>22</v>
      </c>
      <c r="F52" t="s">
        <v>13</v>
      </c>
      <c r="G52" t="s">
        <v>32</v>
      </c>
      <c r="H52">
        <v>899</v>
      </c>
      <c r="I52">
        <v>25</v>
      </c>
      <c r="J52" t="s">
        <v>15</v>
      </c>
      <c r="L52">
        <f t="shared" si="0"/>
        <v>4</v>
      </c>
      <c r="M52">
        <f t="shared" si="1"/>
        <v>2025</v>
      </c>
    </row>
    <row r="53" spans="1:13" x14ac:dyDescent="0.3">
      <c r="A53">
        <v>5051</v>
      </c>
      <c r="B53" s="2">
        <v>45597</v>
      </c>
      <c r="C53" t="s">
        <v>47</v>
      </c>
      <c r="D53" t="s">
        <v>28</v>
      </c>
      <c r="E53" t="s">
        <v>29</v>
      </c>
      <c r="F53" t="s">
        <v>18</v>
      </c>
      <c r="G53" t="s">
        <v>19</v>
      </c>
      <c r="H53">
        <v>649</v>
      </c>
      <c r="I53">
        <v>60.5</v>
      </c>
      <c r="J53" t="s">
        <v>27</v>
      </c>
      <c r="L53">
        <f t="shared" si="0"/>
        <v>4</v>
      </c>
      <c r="M53">
        <f t="shared" si="1"/>
        <v>2024</v>
      </c>
    </row>
    <row r="54" spans="1:13" x14ac:dyDescent="0.3">
      <c r="A54">
        <v>5052</v>
      </c>
      <c r="B54" s="2">
        <v>45986</v>
      </c>
      <c r="C54" t="s">
        <v>30</v>
      </c>
      <c r="D54" t="s">
        <v>17</v>
      </c>
      <c r="E54" t="s">
        <v>31</v>
      </c>
      <c r="F54" t="s">
        <v>13</v>
      </c>
      <c r="G54" t="s">
        <v>40</v>
      </c>
      <c r="H54">
        <v>199</v>
      </c>
      <c r="I54">
        <v>32.4</v>
      </c>
      <c r="J54" t="s">
        <v>27</v>
      </c>
      <c r="L54">
        <f t="shared" si="0"/>
        <v>4</v>
      </c>
      <c r="M54">
        <f t="shared" si="1"/>
        <v>2025</v>
      </c>
    </row>
    <row r="55" spans="1:13" x14ac:dyDescent="0.3">
      <c r="A55">
        <v>5053</v>
      </c>
      <c r="B55" s="2">
        <v>45891</v>
      </c>
      <c r="C55" t="s">
        <v>24</v>
      </c>
      <c r="D55" t="s">
        <v>37</v>
      </c>
      <c r="E55" t="s">
        <v>31</v>
      </c>
      <c r="F55" t="s">
        <v>39</v>
      </c>
      <c r="G55" t="s">
        <v>32</v>
      </c>
      <c r="H55">
        <v>199</v>
      </c>
      <c r="I55">
        <v>3.9</v>
      </c>
      <c r="J55" t="s">
        <v>27</v>
      </c>
      <c r="L55">
        <f t="shared" si="0"/>
        <v>3</v>
      </c>
      <c r="M55">
        <f t="shared" si="1"/>
        <v>2025</v>
      </c>
    </row>
    <row r="56" spans="1:13" x14ac:dyDescent="0.3">
      <c r="A56">
        <v>5054</v>
      </c>
      <c r="B56" s="2">
        <v>45843</v>
      </c>
      <c r="C56" t="s">
        <v>44</v>
      </c>
      <c r="D56" t="s">
        <v>11</v>
      </c>
      <c r="E56" t="s">
        <v>29</v>
      </c>
      <c r="F56" t="s">
        <v>23</v>
      </c>
      <c r="G56" t="s">
        <v>32</v>
      </c>
      <c r="H56">
        <v>649</v>
      </c>
      <c r="I56">
        <v>65.8</v>
      </c>
      <c r="J56" t="s">
        <v>20</v>
      </c>
      <c r="L56">
        <f t="shared" si="0"/>
        <v>3</v>
      </c>
      <c r="M56">
        <f t="shared" si="1"/>
        <v>2025</v>
      </c>
    </row>
    <row r="57" spans="1:13" x14ac:dyDescent="0.3">
      <c r="A57">
        <v>5055</v>
      </c>
      <c r="B57" s="2">
        <v>45372</v>
      </c>
      <c r="C57" t="s">
        <v>34</v>
      </c>
      <c r="D57" t="s">
        <v>17</v>
      </c>
      <c r="E57" t="s">
        <v>22</v>
      </c>
      <c r="F57" t="s">
        <v>23</v>
      </c>
      <c r="G57" t="s">
        <v>26</v>
      </c>
      <c r="H57">
        <v>899</v>
      </c>
      <c r="I57">
        <v>4.5999999999999996</v>
      </c>
      <c r="J57" t="s">
        <v>15</v>
      </c>
      <c r="L57">
        <f t="shared" si="0"/>
        <v>1</v>
      </c>
      <c r="M57">
        <f t="shared" si="1"/>
        <v>2024</v>
      </c>
    </row>
    <row r="58" spans="1:13" x14ac:dyDescent="0.3">
      <c r="A58">
        <v>5056</v>
      </c>
      <c r="B58" s="2">
        <v>45313</v>
      </c>
      <c r="C58" t="s">
        <v>10</v>
      </c>
      <c r="D58" t="s">
        <v>37</v>
      </c>
      <c r="E58" t="s">
        <v>12</v>
      </c>
      <c r="F58" t="s">
        <v>39</v>
      </c>
      <c r="G58" t="s">
        <v>14</v>
      </c>
      <c r="H58">
        <v>399</v>
      </c>
      <c r="I58">
        <v>15.4</v>
      </c>
      <c r="J58" t="s">
        <v>15</v>
      </c>
      <c r="L58">
        <f t="shared" si="0"/>
        <v>1</v>
      </c>
      <c r="M58">
        <f t="shared" si="1"/>
        <v>2024</v>
      </c>
    </row>
    <row r="59" spans="1:13" x14ac:dyDescent="0.3">
      <c r="A59">
        <v>5057</v>
      </c>
      <c r="B59" s="2">
        <v>45578</v>
      </c>
      <c r="C59" t="s">
        <v>47</v>
      </c>
      <c r="D59" t="s">
        <v>25</v>
      </c>
      <c r="E59" t="s">
        <v>31</v>
      </c>
      <c r="F59" t="s">
        <v>23</v>
      </c>
      <c r="G59" t="s">
        <v>26</v>
      </c>
      <c r="H59">
        <v>199</v>
      </c>
      <c r="I59">
        <v>48.5</v>
      </c>
      <c r="J59" t="s">
        <v>27</v>
      </c>
      <c r="L59">
        <f t="shared" si="0"/>
        <v>4</v>
      </c>
      <c r="M59">
        <f t="shared" si="1"/>
        <v>2024</v>
      </c>
    </row>
    <row r="60" spans="1:13" x14ac:dyDescent="0.3">
      <c r="A60">
        <v>5058</v>
      </c>
      <c r="B60" s="2">
        <v>45691</v>
      </c>
      <c r="C60" t="s">
        <v>42</v>
      </c>
      <c r="D60" t="s">
        <v>11</v>
      </c>
      <c r="E60" t="s">
        <v>29</v>
      </c>
      <c r="F60" t="s">
        <v>13</v>
      </c>
      <c r="G60" t="s">
        <v>19</v>
      </c>
      <c r="H60">
        <v>649</v>
      </c>
      <c r="I60">
        <v>82.3</v>
      </c>
      <c r="J60" t="s">
        <v>27</v>
      </c>
      <c r="L60">
        <f t="shared" si="0"/>
        <v>1</v>
      </c>
      <c r="M60">
        <f t="shared" si="1"/>
        <v>2025</v>
      </c>
    </row>
    <row r="61" spans="1:13" x14ac:dyDescent="0.3">
      <c r="A61">
        <v>5059</v>
      </c>
      <c r="B61" s="2">
        <v>45913</v>
      </c>
      <c r="C61" t="s">
        <v>35</v>
      </c>
      <c r="D61" t="s">
        <v>11</v>
      </c>
      <c r="E61" t="s">
        <v>29</v>
      </c>
      <c r="F61" t="s">
        <v>23</v>
      </c>
      <c r="G61" t="s">
        <v>32</v>
      </c>
      <c r="H61">
        <v>649</v>
      </c>
      <c r="I61">
        <v>83.8</v>
      </c>
      <c r="J61" t="s">
        <v>20</v>
      </c>
      <c r="L61">
        <f t="shared" si="0"/>
        <v>3</v>
      </c>
      <c r="M61">
        <f t="shared" si="1"/>
        <v>2025</v>
      </c>
    </row>
    <row r="62" spans="1:13" x14ac:dyDescent="0.3">
      <c r="A62">
        <v>5060</v>
      </c>
      <c r="B62" s="2">
        <v>45503</v>
      </c>
      <c r="C62" t="s">
        <v>42</v>
      </c>
      <c r="D62" t="s">
        <v>45</v>
      </c>
      <c r="E62" t="s">
        <v>22</v>
      </c>
      <c r="F62" t="s">
        <v>33</v>
      </c>
      <c r="G62" t="s">
        <v>40</v>
      </c>
      <c r="H62">
        <v>899</v>
      </c>
      <c r="I62">
        <v>70</v>
      </c>
      <c r="J62" t="s">
        <v>20</v>
      </c>
      <c r="L62">
        <f t="shared" si="0"/>
        <v>3</v>
      </c>
      <c r="M62">
        <f t="shared" si="1"/>
        <v>2024</v>
      </c>
    </row>
    <row r="63" spans="1:13" x14ac:dyDescent="0.3">
      <c r="A63">
        <v>5061</v>
      </c>
      <c r="B63" s="2">
        <v>45376</v>
      </c>
      <c r="C63" t="s">
        <v>42</v>
      </c>
      <c r="D63" t="s">
        <v>11</v>
      </c>
      <c r="E63" t="s">
        <v>29</v>
      </c>
      <c r="F63" t="s">
        <v>33</v>
      </c>
      <c r="G63" t="s">
        <v>32</v>
      </c>
      <c r="H63">
        <v>649</v>
      </c>
      <c r="I63">
        <v>32.299999999999997</v>
      </c>
      <c r="J63" t="s">
        <v>20</v>
      </c>
      <c r="L63">
        <f t="shared" si="0"/>
        <v>1</v>
      </c>
      <c r="M63">
        <f t="shared" si="1"/>
        <v>2024</v>
      </c>
    </row>
    <row r="64" spans="1:13" x14ac:dyDescent="0.3">
      <c r="A64">
        <v>5062</v>
      </c>
      <c r="B64" s="2">
        <v>45878</v>
      </c>
      <c r="C64" t="s">
        <v>21</v>
      </c>
      <c r="D64" t="s">
        <v>25</v>
      </c>
      <c r="E64" t="s">
        <v>29</v>
      </c>
      <c r="F64" t="s">
        <v>39</v>
      </c>
      <c r="G64" t="s">
        <v>26</v>
      </c>
      <c r="H64">
        <v>649</v>
      </c>
      <c r="I64">
        <v>68.2</v>
      </c>
      <c r="J64" t="s">
        <v>20</v>
      </c>
      <c r="L64">
        <f t="shared" si="0"/>
        <v>3</v>
      </c>
      <c r="M64">
        <f t="shared" si="1"/>
        <v>2025</v>
      </c>
    </row>
    <row r="65" spans="1:13" x14ac:dyDescent="0.3">
      <c r="A65">
        <v>5063</v>
      </c>
      <c r="B65" s="2">
        <v>45401</v>
      </c>
      <c r="C65" t="s">
        <v>42</v>
      </c>
      <c r="D65" t="s">
        <v>45</v>
      </c>
      <c r="E65" t="s">
        <v>12</v>
      </c>
      <c r="F65" t="s">
        <v>33</v>
      </c>
      <c r="G65" t="s">
        <v>40</v>
      </c>
      <c r="H65">
        <v>399</v>
      </c>
      <c r="I65">
        <v>80.7</v>
      </c>
      <c r="J65" t="s">
        <v>20</v>
      </c>
      <c r="L65">
        <f t="shared" si="0"/>
        <v>2</v>
      </c>
      <c r="M65">
        <f t="shared" si="1"/>
        <v>2024</v>
      </c>
    </row>
    <row r="66" spans="1:13" x14ac:dyDescent="0.3">
      <c r="A66">
        <v>5064</v>
      </c>
      <c r="B66" s="2">
        <v>45417</v>
      </c>
      <c r="C66" t="s">
        <v>21</v>
      </c>
      <c r="D66" t="s">
        <v>17</v>
      </c>
      <c r="E66" t="s">
        <v>29</v>
      </c>
      <c r="F66" t="s">
        <v>39</v>
      </c>
      <c r="G66" t="s">
        <v>26</v>
      </c>
      <c r="H66">
        <v>649</v>
      </c>
      <c r="I66">
        <v>58</v>
      </c>
      <c r="J66" t="s">
        <v>15</v>
      </c>
      <c r="L66">
        <f t="shared" si="0"/>
        <v>2</v>
      </c>
      <c r="M66">
        <f t="shared" si="1"/>
        <v>2024</v>
      </c>
    </row>
    <row r="67" spans="1:13" x14ac:dyDescent="0.3">
      <c r="A67">
        <v>5065</v>
      </c>
      <c r="B67" s="2">
        <v>45958</v>
      </c>
      <c r="C67" t="s">
        <v>42</v>
      </c>
      <c r="D67" t="s">
        <v>37</v>
      </c>
      <c r="E67" t="s">
        <v>12</v>
      </c>
      <c r="F67" t="s">
        <v>23</v>
      </c>
      <c r="G67" t="s">
        <v>14</v>
      </c>
      <c r="H67">
        <v>399</v>
      </c>
      <c r="I67">
        <v>74.599999999999994</v>
      </c>
      <c r="J67" t="s">
        <v>27</v>
      </c>
      <c r="L67">
        <f t="shared" ref="L67:L130" si="2">ROUNDUP(MONTH(B67)/3,0)</f>
        <v>4</v>
      </c>
      <c r="M67">
        <f t="shared" ref="M67:M130" si="3">YEAR(B67)</f>
        <v>2025</v>
      </c>
    </row>
    <row r="68" spans="1:13" x14ac:dyDescent="0.3">
      <c r="A68">
        <v>5066</v>
      </c>
      <c r="B68" s="2">
        <v>45780</v>
      </c>
      <c r="C68" t="s">
        <v>44</v>
      </c>
      <c r="D68" t="s">
        <v>25</v>
      </c>
      <c r="E68" t="s">
        <v>22</v>
      </c>
      <c r="F68" t="s">
        <v>33</v>
      </c>
      <c r="G68" t="s">
        <v>14</v>
      </c>
      <c r="H68">
        <v>899</v>
      </c>
      <c r="I68">
        <v>19.3</v>
      </c>
      <c r="J68" t="s">
        <v>15</v>
      </c>
      <c r="L68">
        <f t="shared" si="2"/>
        <v>2</v>
      </c>
      <c r="M68">
        <f t="shared" si="3"/>
        <v>2025</v>
      </c>
    </row>
    <row r="69" spans="1:13" x14ac:dyDescent="0.3">
      <c r="A69">
        <v>5067</v>
      </c>
      <c r="B69" s="2">
        <v>45601</v>
      </c>
      <c r="C69" t="s">
        <v>10</v>
      </c>
      <c r="D69" t="s">
        <v>17</v>
      </c>
      <c r="E69" t="s">
        <v>22</v>
      </c>
      <c r="F69" t="s">
        <v>23</v>
      </c>
      <c r="G69" t="s">
        <v>32</v>
      </c>
      <c r="H69">
        <v>899</v>
      </c>
      <c r="I69">
        <v>34.5</v>
      </c>
      <c r="J69" t="s">
        <v>15</v>
      </c>
      <c r="L69">
        <f t="shared" si="2"/>
        <v>4</v>
      </c>
      <c r="M69">
        <f t="shared" si="3"/>
        <v>2024</v>
      </c>
    </row>
    <row r="70" spans="1:13" x14ac:dyDescent="0.3">
      <c r="A70">
        <v>5068</v>
      </c>
      <c r="B70" s="2">
        <v>45295</v>
      </c>
      <c r="C70" t="s">
        <v>46</v>
      </c>
      <c r="D70" t="s">
        <v>28</v>
      </c>
      <c r="E70" t="s">
        <v>31</v>
      </c>
      <c r="F70" t="s">
        <v>33</v>
      </c>
      <c r="G70" t="s">
        <v>40</v>
      </c>
      <c r="H70">
        <v>199</v>
      </c>
      <c r="I70">
        <v>52.3</v>
      </c>
      <c r="J70" t="s">
        <v>15</v>
      </c>
      <c r="L70">
        <f t="shared" si="2"/>
        <v>1</v>
      </c>
      <c r="M70">
        <f t="shared" si="3"/>
        <v>2024</v>
      </c>
    </row>
    <row r="71" spans="1:13" x14ac:dyDescent="0.3">
      <c r="A71">
        <v>5069</v>
      </c>
      <c r="B71" s="2">
        <v>45789</v>
      </c>
      <c r="C71" t="s">
        <v>42</v>
      </c>
      <c r="D71" t="s">
        <v>28</v>
      </c>
      <c r="E71" t="s">
        <v>12</v>
      </c>
      <c r="F71" t="s">
        <v>33</v>
      </c>
      <c r="G71" t="s">
        <v>14</v>
      </c>
      <c r="H71">
        <v>399</v>
      </c>
      <c r="I71">
        <v>60.9</v>
      </c>
      <c r="J71" t="s">
        <v>27</v>
      </c>
      <c r="L71">
        <f t="shared" si="2"/>
        <v>2</v>
      </c>
      <c r="M71">
        <f t="shared" si="3"/>
        <v>2025</v>
      </c>
    </row>
    <row r="72" spans="1:13" x14ac:dyDescent="0.3">
      <c r="A72">
        <v>5070</v>
      </c>
      <c r="B72" s="2">
        <v>45427</v>
      </c>
      <c r="C72" t="s">
        <v>24</v>
      </c>
      <c r="D72" t="s">
        <v>37</v>
      </c>
      <c r="E72" t="s">
        <v>29</v>
      </c>
      <c r="F72" t="s">
        <v>39</v>
      </c>
      <c r="G72" t="s">
        <v>40</v>
      </c>
      <c r="H72">
        <v>649</v>
      </c>
      <c r="I72">
        <v>35.700000000000003</v>
      </c>
      <c r="J72" t="s">
        <v>20</v>
      </c>
      <c r="L72">
        <f t="shared" si="2"/>
        <v>2</v>
      </c>
      <c r="M72">
        <f t="shared" si="3"/>
        <v>2024</v>
      </c>
    </row>
    <row r="73" spans="1:13" x14ac:dyDescent="0.3">
      <c r="A73">
        <v>5071</v>
      </c>
      <c r="B73" s="2">
        <v>45904</v>
      </c>
      <c r="C73" t="s">
        <v>10</v>
      </c>
      <c r="D73" t="s">
        <v>28</v>
      </c>
      <c r="E73" t="s">
        <v>22</v>
      </c>
      <c r="F73" t="s">
        <v>18</v>
      </c>
      <c r="G73" t="s">
        <v>40</v>
      </c>
      <c r="H73">
        <v>899</v>
      </c>
      <c r="I73">
        <v>67.900000000000006</v>
      </c>
      <c r="J73" t="s">
        <v>15</v>
      </c>
      <c r="L73">
        <f t="shared" si="2"/>
        <v>3</v>
      </c>
      <c r="M73">
        <f t="shared" si="3"/>
        <v>2025</v>
      </c>
    </row>
    <row r="74" spans="1:13" x14ac:dyDescent="0.3">
      <c r="A74">
        <v>5072</v>
      </c>
      <c r="B74" s="2">
        <v>45761</v>
      </c>
      <c r="C74" t="s">
        <v>46</v>
      </c>
      <c r="D74" t="s">
        <v>25</v>
      </c>
      <c r="E74" t="s">
        <v>29</v>
      </c>
      <c r="F74" t="s">
        <v>23</v>
      </c>
      <c r="G74" t="s">
        <v>26</v>
      </c>
      <c r="H74">
        <v>649</v>
      </c>
      <c r="I74">
        <v>76.400000000000006</v>
      </c>
      <c r="J74" t="s">
        <v>27</v>
      </c>
      <c r="L74">
        <f t="shared" si="2"/>
        <v>2</v>
      </c>
      <c r="M74">
        <f t="shared" si="3"/>
        <v>2025</v>
      </c>
    </row>
    <row r="75" spans="1:13" x14ac:dyDescent="0.3">
      <c r="A75">
        <v>5073</v>
      </c>
      <c r="B75" s="2">
        <v>45546</v>
      </c>
      <c r="C75" t="s">
        <v>47</v>
      </c>
      <c r="D75" t="s">
        <v>17</v>
      </c>
      <c r="E75" t="s">
        <v>29</v>
      </c>
      <c r="F75" t="s">
        <v>23</v>
      </c>
      <c r="G75" t="s">
        <v>40</v>
      </c>
      <c r="H75">
        <v>649</v>
      </c>
      <c r="I75">
        <v>10.3</v>
      </c>
      <c r="J75" t="s">
        <v>20</v>
      </c>
      <c r="L75">
        <f t="shared" si="2"/>
        <v>3</v>
      </c>
      <c r="M75">
        <f t="shared" si="3"/>
        <v>2024</v>
      </c>
    </row>
    <row r="76" spans="1:13" x14ac:dyDescent="0.3">
      <c r="A76">
        <v>5074</v>
      </c>
      <c r="B76" s="2">
        <v>45953</v>
      </c>
      <c r="C76" t="s">
        <v>42</v>
      </c>
      <c r="D76" t="s">
        <v>45</v>
      </c>
      <c r="E76" t="s">
        <v>29</v>
      </c>
      <c r="F76" t="s">
        <v>23</v>
      </c>
      <c r="G76" t="s">
        <v>32</v>
      </c>
      <c r="H76">
        <v>649</v>
      </c>
      <c r="I76">
        <v>45.3</v>
      </c>
      <c r="J76" t="s">
        <v>20</v>
      </c>
      <c r="L76">
        <f t="shared" si="2"/>
        <v>4</v>
      </c>
      <c r="M76">
        <f t="shared" si="3"/>
        <v>2025</v>
      </c>
    </row>
    <row r="77" spans="1:13" x14ac:dyDescent="0.3">
      <c r="A77">
        <v>5075</v>
      </c>
      <c r="B77" s="2">
        <v>45515</v>
      </c>
      <c r="C77" t="s">
        <v>35</v>
      </c>
      <c r="D77" t="s">
        <v>28</v>
      </c>
      <c r="E77" t="s">
        <v>22</v>
      </c>
      <c r="F77" t="s">
        <v>13</v>
      </c>
      <c r="G77" t="s">
        <v>26</v>
      </c>
      <c r="H77">
        <v>899</v>
      </c>
      <c r="I77">
        <v>33.799999999999997</v>
      </c>
      <c r="J77" t="s">
        <v>27</v>
      </c>
      <c r="L77">
        <f t="shared" si="2"/>
        <v>3</v>
      </c>
      <c r="M77">
        <f t="shared" si="3"/>
        <v>2024</v>
      </c>
    </row>
    <row r="78" spans="1:13" x14ac:dyDescent="0.3">
      <c r="A78">
        <v>5076</v>
      </c>
      <c r="B78" s="2">
        <v>45582</v>
      </c>
      <c r="C78" t="s">
        <v>35</v>
      </c>
      <c r="D78" t="s">
        <v>37</v>
      </c>
      <c r="E78" t="s">
        <v>12</v>
      </c>
      <c r="F78" t="s">
        <v>39</v>
      </c>
      <c r="G78" t="s">
        <v>19</v>
      </c>
      <c r="H78">
        <v>399</v>
      </c>
      <c r="I78">
        <v>12</v>
      </c>
      <c r="J78" t="s">
        <v>20</v>
      </c>
      <c r="L78">
        <f t="shared" si="2"/>
        <v>4</v>
      </c>
      <c r="M78">
        <f t="shared" si="3"/>
        <v>2024</v>
      </c>
    </row>
    <row r="79" spans="1:13" x14ac:dyDescent="0.3">
      <c r="A79">
        <v>5077</v>
      </c>
      <c r="B79" s="2">
        <v>45530</v>
      </c>
      <c r="C79" t="s">
        <v>36</v>
      </c>
      <c r="D79" t="s">
        <v>28</v>
      </c>
      <c r="E79" t="s">
        <v>31</v>
      </c>
      <c r="F79" t="s">
        <v>39</v>
      </c>
      <c r="G79" t="s">
        <v>14</v>
      </c>
      <c r="H79">
        <v>199</v>
      </c>
      <c r="I79">
        <v>45.6</v>
      </c>
      <c r="J79" t="s">
        <v>20</v>
      </c>
      <c r="L79">
        <f t="shared" si="2"/>
        <v>3</v>
      </c>
      <c r="M79">
        <f t="shared" si="3"/>
        <v>2024</v>
      </c>
    </row>
    <row r="80" spans="1:13" x14ac:dyDescent="0.3">
      <c r="A80">
        <v>5078</v>
      </c>
      <c r="B80" s="2">
        <v>45734</v>
      </c>
      <c r="C80" t="s">
        <v>47</v>
      </c>
      <c r="D80" t="s">
        <v>25</v>
      </c>
      <c r="E80" t="s">
        <v>29</v>
      </c>
      <c r="F80" t="s">
        <v>13</v>
      </c>
      <c r="G80" t="s">
        <v>32</v>
      </c>
      <c r="H80">
        <v>649</v>
      </c>
      <c r="I80">
        <v>31.8</v>
      </c>
      <c r="J80" t="s">
        <v>15</v>
      </c>
      <c r="L80">
        <f t="shared" si="2"/>
        <v>1</v>
      </c>
      <c r="M80">
        <f t="shared" si="3"/>
        <v>2025</v>
      </c>
    </row>
    <row r="81" spans="1:13" x14ac:dyDescent="0.3">
      <c r="A81">
        <v>5079</v>
      </c>
      <c r="B81" s="2">
        <v>45818</v>
      </c>
      <c r="C81" t="s">
        <v>36</v>
      </c>
      <c r="D81" t="s">
        <v>17</v>
      </c>
      <c r="E81" t="s">
        <v>22</v>
      </c>
      <c r="F81" t="s">
        <v>39</v>
      </c>
      <c r="G81" t="s">
        <v>32</v>
      </c>
      <c r="H81">
        <v>899</v>
      </c>
      <c r="I81">
        <v>2.8</v>
      </c>
      <c r="J81" t="s">
        <v>20</v>
      </c>
      <c r="L81">
        <f t="shared" si="2"/>
        <v>2</v>
      </c>
      <c r="M81">
        <f t="shared" si="3"/>
        <v>2025</v>
      </c>
    </row>
    <row r="82" spans="1:13" x14ac:dyDescent="0.3">
      <c r="A82">
        <v>5080</v>
      </c>
      <c r="B82" s="2">
        <v>45518</v>
      </c>
      <c r="C82" t="s">
        <v>46</v>
      </c>
      <c r="D82" t="s">
        <v>45</v>
      </c>
      <c r="E82" t="s">
        <v>22</v>
      </c>
      <c r="F82" t="s">
        <v>33</v>
      </c>
      <c r="G82" t="s">
        <v>19</v>
      </c>
      <c r="H82">
        <v>899</v>
      </c>
      <c r="I82">
        <v>31.7</v>
      </c>
      <c r="J82" t="s">
        <v>27</v>
      </c>
      <c r="L82">
        <f t="shared" si="2"/>
        <v>3</v>
      </c>
      <c r="M82">
        <f t="shared" si="3"/>
        <v>2024</v>
      </c>
    </row>
    <row r="83" spans="1:13" x14ac:dyDescent="0.3">
      <c r="A83">
        <v>5081</v>
      </c>
      <c r="B83" s="2">
        <v>45305</v>
      </c>
      <c r="C83" t="s">
        <v>46</v>
      </c>
      <c r="D83" t="s">
        <v>37</v>
      </c>
      <c r="E83" t="s">
        <v>12</v>
      </c>
      <c r="F83" t="s">
        <v>13</v>
      </c>
      <c r="G83" t="s">
        <v>40</v>
      </c>
      <c r="H83">
        <v>399</v>
      </c>
      <c r="I83">
        <v>27.6</v>
      </c>
      <c r="J83" t="s">
        <v>27</v>
      </c>
      <c r="L83">
        <f t="shared" si="2"/>
        <v>1</v>
      </c>
      <c r="M83">
        <f t="shared" si="3"/>
        <v>2024</v>
      </c>
    </row>
    <row r="84" spans="1:13" x14ac:dyDescent="0.3">
      <c r="A84">
        <v>5082</v>
      </c>
      <c r="B84" s="2">
        <v>45483</v>
      </c>
      <c r="C84" t="s">
        <v>42</v>
      </c>
      <c r="D84" t="s">
        <v>17</v>
      </c>
      <c r="E84" t="s">
        <v>22</v>
      </c>
      <c r="F84" t="s">
        <v>18</v>
      </c>
      <c r="G84" t="s">
        <v>26</v>
      </c>
      <c r="H84">
        <v>899</v>
      </c>
      <c r="I84">
        <v>15.1</v>
      </c>
      <c r="J84" t="s">
        <v>27</v>
      </c>
      <c r="L84">
        <f t="shared" si="2"/>
        <v>3</v>
      </c>
      <c r="M84">
        <f t="shared" si="3"/>
        <v>2024</v>
      </c>
    </row>
    <row r="85" spans="1:13" x14ac:dyDescent="0.3">
      <c r="A85">
        <v>5083</v>
      </c>
      <c r="B85" s="2">
        <v>45856</v>
      </c>
      <c r="C85" t="s">
        <v>38</v>
      </c>
      <c r="D85" t="s">
        <v>17</v>
      </c>
      <c r="E85" t="s">
        <v>12</v>
      </c>
      <c r="F85" t="s">
        <v>33</v>
      </c>
      <c r="G85" t="s">
        <v>19</v>
      </c>
      <c r="H85">
        <v>399</v>
      </c>
      <c r="I85">
        <v>56.9</v>
      </c>
      <c r="J85" t="s">
        <v>27</v>
      </c>
      <c r="L85">
        <f t="shared" si="2"/>
        <v>3</v>
      </c>
      <c r="M85">
        <f t="shared" si="3"/>
        <v>2025</v>
      </c>
    </row>
    <row r="86" spans="1:13" x14ac:dyDescent="0.3">
      <c r="A86">
        <v>5084</v>
      </c>
      <c r="B86" s="2">
        <v>45500</v>
      </c>
      <c r="C86" t="s">
        <v>10</v>
      </c>
      <c r="D86" t="s">
        <v>28</v>
      </c>
      <c r="E86" t="s">
        <v>31</v>
      </c>
      <c r="F86" t="s">
        <v>23</v>
      </c>
      <c r="G86" t="s">
        <v>26</v>
      </c>
      <c r="H86">
        <v>199</v>
      </c>
      <c r="I86">
        <v>2.6</v>
      </c>
      <c r="J86" t="s">
        <v>27</v>
      </c>
      <c r="L86">
        <f t="shared" si="2"/>
        <v>3</v>
      </c>
      <c r="M86">
        <f t="shared" si="3"/>
        <v>2024</v>
      </c>
    </row>
    <row r="87" spans="1:13" x14ac:dyDescent="0.3">
      <c r="A87">
        <v>5085</v>
      </c>
      <c r="B87" s="2">
        <v>45905</v>
      </c>
      <c r="C87" t="s">
        <v>36</v>
      </c>
      <c r="D87" t="s">
        <v>25</v>
      </c>
      <c r="E87" t="s">
        <v>12</v>
      </c>
      <c r="F87" t="s">
        <v>23</v>
      </c>
      <c r="G87" t="s">
        <v>32</v>
      </c>
      <c r="H87">
        <v>399</v>
      </c>
      <c r="I87">
        <v>39.4</v>
      </c>
      <c r="J87" t="s">
        <v>20</v>
      </c>
      <c r="L87">
        <f t="shared" si="2"/>
        <v>3</v>
      </c>
      <c r="M87">
        <f t="shared" si="3"/>
        <v>2025</v>
      </c>
    </row>
    <row r="88" spans="1:13" x14ac:dyDescent="0.3">
      <c r="A88">
        <v>5086</v>
      </c>
      <c r="B88" s="2">
        <v>45701</v>
      </c>
      <c r="C88" t="s">
        <v>44</v>
      </c>
      <c r="D88" t="s">
        <v>37</v>
      </c>
      <c r="E88" t="s">
        <v>31</v>
      </c>
      <c r="F88" t="s">
        <v>13</v>
      </c>
      <c r="G88" t="s">
        <v>14</v>
      </c>
      <c r="H88">
        <v>199</v>
      </c>
      <c r="I88">
        <v>4.0999999999999996</v>
      </c>
      <c r="J88" t="s">
        <v>15</v>
      </c>
      <c r="L88">
        <f t="shared" si="2"/>
        <v>1</v>
      </c>
      <c r="M88">
        <f t="shared" si="3"/>
        <v>2025</v>
      </c>
    </row>
    <row r="89" spans="1:13" x14ac:dyDescent="0.3">
      <c r="A89">
        <v>5087</v>
      </c>
      <c r="B89" s="2">
        <v>45705</v>
      </c>
      <c r="C89" t="s">
        <v>46</v>
      </c>
      <c r="D89" t="s">
        <v>45</v>
      </c>
      <c r="E89" t="s">
        <v>31</v>
      </c>
      <c r="F89" t="s">
        <v>39</v>
      </c>
      <c r="G89" t="s">
        <v>32</v>
      </c>
      <c r="H89">
        <v>199</v>
      </c>
      <c r="I89">
        <v>4.4000000000000004</v>
      </c>
      <c r="J89" t="s">
        <v>20</v>
      </c>
      <c r="L89">
        <f t="shared" si="2"/>
        <v>1</v>
      </c>
      <c r="M89">
        <f t="shared" si="3"/>
        <v>2025</v>
      </c>
    </row>
    <row r="90" spans="1:13" x14ac:dyDescent="0.3">
      <c r="A90">
        <v>5088</v>
      </c>
      <c r="B90" s="2">
        <v>45555</v>
      </c>
      <c r="C90" t="s">
        <v>46</v>
      </c>
      <c r="D90" t="s">
        <v>11</v>
      </c>
      <c r="E90" t="s">
        <v>31</v>
      </c>
      <c r="F90" t="s">
        <v>13</v>
      </c>
      <c r="G90" t="s">
        <v>26</v>
      </c>
      <c r="H90">
        <v>199</v>
      </c>
      <c r="I90">
        <v>74.400000000000006</v>
      </c>
      <c r="J90" t="s">
        <v>15</v>
      </c>
      <c r="L90">
        <f t="shared" si="2"/>
        <v>3</v>
      </c>
      <c r="M90">
        <f t="shared" si="3"/>
        <v>2024</v>
      </c>
    </row>
    <row r="91" spans="1:13" x14ac:dyDescent="0.3">
      <c r="A91">
        <v>5089</v>
      </c>
      <c r="B91" s="2">
        <v>45671</v>
      </c>
      <c r="C91" t="s">
        <v>47</v>
      </c>
      <c r="D91" t="s">
        <v>11</v>
      </c>
      <c r="E91" t="s">
        <v>29</v>
      </c>
      <c r="F91" t="s">
        <v>13</v>
      </c>
      <c r="G91" t="s">
        <v>14</v>
      </c>
      <c r="H91">
        <v>649</v>
      </c>
      <c r="I91">
        <v>82.6</v>
      </c>
      <c r="J91" t="s">
        <v>15</v>
      </c>
      <c r="L91">
        <f t="shared" si="2"/>
        <v>1</v>
      </c>
      <c r="M91">
        <f t="shared" si="3"/>
        <v>2025</v>
      </c>
    </row>
    <row r="92" spans="1:13" x14ac:dyDescent="0.3">
      <c r="A92">
        <v>5090</v>
      </c>
      <c r="B92" s="2">
        <v>45410</v>
      </c>
      <c r="C92" t="s">
        <v>44</v>
      </c>
      <c r="D92" t="s">
        <v>45</v>
      </c>
      <c r="E92" t="s">
        <v>31</v>
      </c>
      <c r="F92" t="s">
        <v>18</v>
      </c>
      <c r="G92" t="s">
        <v>14</v>
      </c>
      <c r="H92">
        <v>199</v>
      </c>
      <c r="I92">
        <v>29.9</v>
      </c>
      <c r="J92" t="s">
        <v>27</v>
      </c>
      <c r="L92">
        <f t="shared" si="2"/>
        <v>2</v>
      </c>
      <c r="M92">
        <f t="shared" si="3"/>
        <v>2024</v>
      </c>
    </row>
    <row r="93" spans="1:13" x14ac:dyDescent="0.3">
      <c r="A93">
        <v>5091</v>
      </c>
      <c r="B93" s="2">
        <v>45611</v>
      </c>
      <c r="C93" t="s">
        <v>44</v>
      </c>
      <c r="D93" t="s">
        <v>11</v>
      </c>
      <c r="E93" t="s">
        <v>12</v>
      </c>
      <c r="F93" t="s">
        <v>18</v>
      </c>
      <c r="G93" t="s">
        <v>40</v>
      </c>
      <c r="H93">
        <v>399</v>
      </c>
      <c r="I93">
        <v>59.9</v>
      </c>
      <c r="J93" t="s">
        <v>15</v>
      </c>
      <c r="L93">
        <f t="shared" si="2"/>
        <v>4</v>
      </c>
      <c r="M93">
        <f t="shared" si="3"/>
        <v>2024</v>
      </c>
    </row>
    <row r="94" spans="1:13" x14ac:dyDescent="0.3">
      <c r="A94">
        <v>5092</v>
      </c>
      <c r="B94" s="2">
        <v>45342</v>
      </c>
      <c r="C94" t="s">
        <v>34</v>
      </c>
      <c r="D94" t="s">
        <v>28</v>
      </c>
      <c r="E94" t="s">
        <v>12</v>
      </c>
      <c r="F94" t="s">
        <v>39</v>
      </c>
      <c r="G94" t="s">
        <v>26</v>
      </c>
      <c r="H94">
        <v>399</v>
      </c>
      <c r="I94">
        <v>62.5</v>
      </c>
      <c r="J94" t="s">
        <v>20</v>
      </c>
      <c r="L94">
        <f t="shared" si="2"/>
        <v>1</v>
      </c>
      <c r="M94">
        <f t="shared" si="3"/>
        <v>2024</v>
      </c>
    </row>
    <row r="95" spans="1:13" x14ac:dyDescent="0.3">
      <c r="A95">
        <v>5093</v>
      </c>
      <c r="B95" s="2">
        <v>45515</v>
      </c>
      <c r="C95" t="s">
        <v>16</v>
      </c>
      <c r="D95" t="s">
        <v>37</v>
      </c>
      <c r="E95" t="s">
        <v>22</v>
      </c>
      <c r="F95" t="s">
        <v>23</v>
      </c>
      <c r="G95" t="s">
        <v>19</v>
      </c>
      <c r="H95">
        <v>899</v>
      </c>
      <c r="I95">
        <v>45</v>
      </c>
      <c r="J95" t="s">
        <v>15</v>
      </c>
      <c r="L95">
        <f t="shared" si="2"/>
        <v>3</v>
      </c>
      <c r="M95">
        <f t="shared" si="3"/>
        <v>2024</v>
      </c>
    </row>
    <row r="96" spans="1:13" x14ac:dyDescent="0.3">
      <c r="A96">
        <v>5094</v>
      </c>
      <c r="B96" s="2">
        <v>45737</v>
      </c>
      <c r="C96" t="s">
        <v>21</v>
      </c>
      <c r="D96" t="s">
        <v>25</v>
      </c>
      <c r="E96" t="s">
        <v>29</v>
      </c>
      <c r="F96" t="s">
        <v>39</v>
      </c>
      <c r="G96" t="s">
        <v>26</v>
      </c>
      <c r="H96">
        <v>649</v>
      </c>
      <c r="I96">
        <v>18.8</v>
      </c>
      <c r="J96" t="s">
        <v>27</v>
      </c>
      <c r="L96">
        <f t="shared" si="2"/>
        <v>1</v>
      </c>
      <c r="M96">
        <f t="shared" si="3"/>
        <v>2025</v>
      </c>
    </row>
    <row r="97" spans="1:13" x14ac:dyDescent="0.3">
      <c r="A97">
        <v>5095</v>
      </c>
      <c r="B97" s="2">
        <v>45511</v>
      </c>
      <c r="C97" t="s">
        <v>21</v>
      </c>
      <c r="D97" t="s">
        <v>37</v>
      </c>
      <c r="E97" t="s">
        <v>12</v>
      </c>
      <c r="F97" t="s">
        <v>18</v>
      </c>
      <c r="G97" t="s">
        <v>32</v>
      </c>
      <c r="H97">
        <v>399</v>
      </c>
      <c r="I97">
        <v>76.7</v>
      </c>
      <c r="J97" t="s">
        <v>15</v>
      </c>
      <c r="L97">
        <f t="shared" si="2"/>
        <v>3</v>
      </c>
      <c r="M97">
        <f t="shared" si="3"/>
        <v>2024</v>
      </c>
    </row>
    <row r="98" spans="1:13" x14ac:dyDescent="0.3">
      <c r="A98">
        <v>5096</v>
      </c>
      <c r="B98" s="2">
        <v>45655</v>
      </c>
      <c r="C98" t="s">
        <v>16</v>
      </c>
      <c r="D98" t="s">
        <v>11</v>
      </c>
      <c r="E98" t="s">
        <v>12</v>
      </c>
      <c r="F98" t="s">
        <v>23</v>
      </c>
      <c r="G98" t="s">
        <v>40</v>
      </c>
      <c r="H98">
        <v>399</v>
      </c>
      <c r="I98">
        <v>63.4</v>
      </c>
      <c r="J98" t="s">
        <v>27</v>
      </c>
      <c r="L98">
        <f t="shared" si="2"/>
        <v>4</v>
      </c>
      <c r="M98">
        <f t="shared" si="3"/>
        <v>2024</v>
      </c>
    </row>
    <row r="99" spans="1:13" x14ac:dyDescent="0.3">
      <c r="A99">
        <v>5097</v>
      </c>
      <c r="B99" s="2">
        <v>45783</v>
      </c>
      <c r="C99" t="s">
        <v>21</v>
      </c>
      <c r="D99" t="s">
        <v>37</v>
      </c>
      <c r="E99" t="s">
        <v>29</v>
      </c>
      <c r="F99" t="s">
        <v>13</v>
      </c>
      <c r="G99" t="s">
        <v>32</v>
      </c>
      <c r="H99">
        <v>649</v>
      </c>
      <c r="I99">
        <v>26.6</v>
      </c>
      <c r="J99" t="s">
        <v>20</v>
      </c>
      <c r="L99">
        <f t="shared" si="2"/>
        <v>2</v>
      </c>
      <c r="M99">
        <f t="shared" si="3"/>
        <v>2025</v>
      </c>
    </row>
    <row r="100" spans="1:13" x14ac:dyDescent="0.3">
      <c r="A100">
        <v>5098</v>
      </c>
      <c r="B100" s="2">
        <v>45351</v>
      </c>
      <c r="C100" t="s">
        <v>42</v>
      </c>
      <c r="D100" t="s">
        <v>28</v>
      </c>
      <c r="E100" t="s">
        <v>31</v>
      </c>
      <c r="F100" t="s">
        <v>13</v>
      </c>
      <c r="G100" t="s">
        <v>40</v>
      </c>
      <c r="H100">
        <v>199</v>
      </c>
      <c r="I100">
        <v>50.8</v>
      </c>
      <c r="J100" t="s">
        <v>27</v>
      </c>
      <c r="L100">
        <f t="shared" si="2"/>
        <v>1</v>
      </c>
      <c r="M100">
        <f t="shared" si="3"/>
        <v>2024</v>
      </c>
    </row>
    <row r="101" spans="1:13" x14ac:dyDescent="0.3">
      <c r="A101">
        <v>5099</v>
      </c>
      <c r="B101" s="2">
        <v>45320</v>
      </c>
      <c r="C101" t="s">
        <v>47</v>
      </c>
      <c r="D101" t="s">
        <v>45</v>
      </c>
      <c r="E101" t="s">
        <v>22</v>
      </c>
      <c r="F101" t="s">
        <v>13</v>
      </c>
      <c r="G101" t="s">
        <v>40</v>
      </c>
      <c r="H101">
        <v>899</v>
      </c>
      <c r="I101">
        <v>19.899999999999999</v>
      </c>
      <c r="J101" t="s">
        <v>20</v>
      </c>
      <c r="L101">
        <f t="shared" si="2"/>
        <v>1</v>
      </c>
      <c r="M101">
        <f t="shared" si="3"/>
        <v>2024</v>
      </c>
    </row>
    <row r="102" spans="1:13" x14ac:dyDescent="0.3">
      <c r="A102">
        <v>5100</v>
      </c>
      <c r="B102" s="2">
        <v>45416</v>
      </c>
      <c r="C102" t="s">
        <v>30</v>
      </c>
      <c r="D102" t="s">
        <v>25</v>
      </c>
      <c r="E102" t="s">
        <v>12</v>
      </c>
      <c r="F102" t="s">
        <v>23</v>
      </c>
      <c r="G102" t="s">
        <v>14</v>
      </c>
      <c r="H102">
        <v>399</v>
      </c>
      <c r="I102">
        <v>88.1</v>
      </c>
      <c r="J102" t="s">
        <v>15</v>
      </c>
      <c r="L102">
        <f t="shared" si="2"/>
        <v>2</v>
      </c>
      <c r="M102">
        <f t="shared" si="3"/>
        <v>2024</v>
      </c>
    </row>
    <row r="103" spans="1:13" x14ac:dyDescent="0.3">
      <c r="A103">
        <v>5101</v>
      </c>
      <c r="B103" s="2">
        <v>45462</v>
      </c>
      <c r="C103" t="s">
        <v>47</v>
      </c>
      <c r="D103" t="s">
        <v>11</v>
      </c>
      <c r="E103" t="s">
        <v>12</v>
      </c>
      <c r="F103" t="s">
        <v>39</v>
      </c>
      <c r="G103" t="s">
        <v>40</v>
      </c>
      <c r="H103">
        <v>399</v>
      </c>
      <c r="I103">
        <v>69.5</v>
      </c>
      <c r="J103" t="s">
        <v>20</v>
      </c>
      <c r="L103">
        <f t="shared" si="2"/>
        <v>2</v>
      </c>
      <c r="M103">
        <f t="shared" si="3"/>
        <v>2024</v>
      </c>
    </row>
    <row r="104" spans="1:13" x14ac:dyDescent="0.3">
      <c r="A104">
        <v>5102</v>
      </c>
      <c r="B104" s="2">
        <v>45341</v>
      </c>
      <c r="C104" t="s">
        <v>21</v>
      </c>
      <c r="D104" t="s">
        <v>28</v>
      </c>
      <c r="E104" t="s">
        <v>22</v>
      </c>
      <c r="F104" t="s">
        <v>18</v>
      </c>
      <c r="G104" t="s">
        <v>19</v>
      </c>
      <c r="H104">
        <v>899</v>
      </c>
      <c r="I104">
        <v>15.8</v>
      </c>
      <c r="J104" t="s">
        <v>27</v>
      </c>
      <c r="L104">
        <f t="shared" si="2"/>
        <v>1</v>
      </c>
      <c r="M104">
        <f t="shared" si="3"/>
        <v>2024</v>
      </c>
    </row>
    <row r="105" spans="1:13" x14ac:dyDescent="0.3">
      <c r="A105">
        <v>5103</v>
      </c>
      <c r="B105" s="2">
        <v>45341</v>
      </c>
      <c r="C105" t="s">
        <v>38</v>
      </c>
      <c r="D105" t="s">
        <v>28</v>
      </c>
      <c r="E105" t="s">
        <v>22</v>
      </c>
      <c r="F105" t="s">
        <v>13</v>
      </c>
      <c r="G105" t="s">
        <v>19</v>
      </c>
      <c r="H105">
        <v>899</v>
      </c>
      <c r="I105">
        <v>16.7</v>
      </c>
      <c r="J105" t="s">
        <v>20</v>
      </c>
      <c r="L105">
        <f t="shared" si="2"/>
        <v>1</v>
      </c>
      <c r="M105">
        <f t="shared" si="3"/>
        <v>2024</v>
      </c>
    </row>
    <row r="106" spans="1:13" x14ac:dyDescent="0.3">
      <c r="A106">
        <v>5104</v>
      </c>
      <c r="B106" s="2">
        <v>45960</v>
      </c>
      <c r="C106" t="s">
        <v>24</v>
      </c>
      <c r="D106" t="s">
        <v>28</v>
      </c>
      <c r="E106" t="s">
        <v>29</v>
      </c>
      <c r="F106" t="s">
        <v>13</v>
      </c>
      <c r="G106" t="s">
        <v>14</v>
      </c>
      <c r="H106">
        <v>649</v>
      </c>
      <c r="I106">
        <v>69.3</v>
      </c>
      <c r="J106" t="s">
        <v>20</v>
      </c>
      <c r="L106">
        <f t="shared" si="2"/>
        <v>4</v>
      </c>
      <c r="M106">
        <f t="shared" si="3"/>
        <v>2025</v>
      </c>
    </row>
    <row r="107" spans="1:13" x14ac:dyDescent="0.3">
      <c r="A107">
        <v>5105</v>
      </c>
      <c r="B107" s="2">
        <v>45577</v>
      </c>
      <c r="C107" t="s">
        <v>34</v>
      </c>
      <c r="D107" t="s">
        <v>25</v>
      </c>
      <c r="E107" t="s">
        <v>31</v>
      </c>
      <c r="F107" t="s">
        <v>39</v>
      </c>
      <c r="G107" t="s">
        <v>40</v>
      </c>
      <c r="H107">
        <v>199</v>
      </c>
      <c r="I107">
        <v>42.2</v>
      </c>
      <c r="J107" t="s">
        <v>15</v>
      </c>
      <c r="L107">
        <f t="shared" si="2"/>
        <v>4</v>
      </c>
      <c r="M107">
        <f t="shared" si="3"/>
        <v>2024</v>
      </c>
    </row>
    <row r="108" spans="1:13" x14ac:dyDescent="0.3">
      <c r="A108">
        <v>5106</v>
      </c>
      <c r="B108" s="2">
        <v>45649</v>
      </c>
      <c r="C108" t="s">
        <v>21</v>
      </c>
      <c r="D108" t="s">
        <v>45</v>
      </c>
      <c r="E108" t="s">
        <v>29</v>
      </c>
      <c r="F108" t="s">
        <v>13</v>
      </c>
      <c r="G108" t="s">
        <v>40</v>
      </c>
      <c r="H108">
        <v>649</v>
      </c>
      <c r="I108">
        <v>19.2</v>
      </c>
      <c r="J108" t="s">
        <v>27</v>
      </c>
      <c r="L108">
        <f t="shared" si="2"/>
        <v>4</v>
      </c>
      <c r="M108">
        <f t="shared" si="3"/>
        <v>2024</v>
      </c>
    </row>
    <row r="109" spans="1:13" x14ac:dyDescent="0.3">
      <c r="A109">
        <v>5107</v>
      </c>
      <c r="B109" s="2">
        <v>45577</v>
      </c>
      <c r="C109" t="s">
        <v>46</v>
      </c>
      <c r="D109" t="s">
        <v>17</v>
      </c>
      <c r="E109" t="s">
        <v>31</v>
      </c>
      <c r="F109" t="s">
        <v>18</v>
      </c>
      <c r="G109" t="s">
        <v>40</v>
      </c>
      <c r="H109">
        <v>199</v>
      </c>
      <c r="I109">
        <v>4.8</v>
      </c>
      <c r="J109" t="s">
        <v>15</v>
      </c>
      <c r="L109">
        <f t="shared" si="2"/>
        <v>4</v>
      </c>
      <c r="M109">
        <f t="shared" si="3"/>
        <v>2024</v>
      </c>
    </row>
    <row r="110" spans="1:13" x14ac:dyDescent="0.3">
      <c r="A110">
        <v>5108</v>
      </c>
      <c r="B110" s="2">
        <v>45808</v>
      </c>
      <c r="C110" t="s">
        <v>35</v>
      </c>
      <c r="D110" t="s">
        <v>25</v>
      </c>
      <c r="E110" t="s">
        <v>12</v>
      </c>
      <c r="F110" t="s">
        <v>18</v>
      </c>
      <c r="G110" t="s">
        <v>32</v>
      </c>
      <c r="H110">
        <v>399</v>
      </c>
      <c r="I110">
        <v>29.9</v>
      </c>
      <c r="J110" t="s">
        <v>20</v>
      </c>
      <c r="L110">
        <f t="shared" si="2"/>
        <v>2</v>
      </c>
      <c r="M110">
        <f t="shared" si="3"/>
        <v>2025</v>
      </c>
    </row>
    <row r="111" spans="1:13" x14ac:dyDescent="0.3">
      <c r="A111">
        <v>5109</v>
      </c>
      <c r="B111" s="2">
        <v>45423</v>
      </c>
      <c r="C111" t="s">
        <v>30</v>
      </c>
      <c r="D111" t="s">
        <v>37</v>
      </c>
      <c r="E111" t="s">
        <v>12</v>
      </c>
      <c r="F111" t="s">
        <v>33</v>
      </c>
      <c r="G111" t="s">
        <v>32</v>
      </c>
      <c r="H111">
        <v>399</v>
      </c>
      <c r="I111">
        <v>55.1</v>
      </c>
      <c r="J111" t="s">
        <v>27</v>
      </c>
      <c r="L111">
        <f t="shared" si="2"/>
        <v>2</v>
      </c>
      <c r="M111">
        <f t="shared" si="3"/>
        <v>2024</v>
      </c>
    </row>
    <row r="112" spans="1:13" x14ac:dyDescent="0.3">
      <c r="A112">
        <v>5110</v>
      </c>
      <c r="B112" s="2">
        <v>45469</v>
      </c>
      <c r="C112" t="s">
        <v>41</v>
      </c>
      <c r="D112" t="s">
        <v>28</v>
      </c>
      <c r="E112" t="s">
        <v>31</v>
      </c>
      <c r="F112" t="s">
        <v>13</v>
      </c>
      <c r="G112" t="s">
        <v>14</v>
      </c>
      <c r="H112">
        <v>199</v>
      </c>
      <c r="I112">
        <v>23.5</v>
      </c>
      <c r="J112" t="s">
        <v>27</v>
      </c>
      <c r="L112">
        <f t="shared" si="2"/>
        <v>2</v>
      </c>
      <c r="M112">
        <f t="shared" si="3"/>
        <v>2024</v>
      </c>
    </row>
    <row r="113" spans="1:13" x14ac:dyDescent="0.3">
      <c r="A113">
        <v>5111</v>
      </c>
      <c r="B113" s="2">
        <v>45685</v>
      </c>
      <c r="C113" t="s">
        <v>46</v>
      </c>
      <c r="D113" t="s">
        <v>37</v>
      </c>
      <c r="E113" t="s">
        <v>22</v>
      </c>
      <c r="F113" t="s">
        <v>18</v>
      </c>
      <c r="G113" t="s">
        <v>32</v>
      </c>
      <c r="H113">
        <v>899</v>
      </c>
      <c r="I113">
        <v>27.6</v>
      </c>
      <c r="J113" t="s">
        <v>27</v>
      </c>
      <c r="L113">
        <f t="shared" si="2"/>
        <v>1</v>
      </c>
      <c r="M113">
        <f t="shared" si="3"/>
        <v>2025</v>
      </c>
    </row>
    <row r="114" spans="1:13" x14ac:dyDescent="0.3">
      <c r="A114">
        <v>5112</v>
      </c>
      <c r="B114" s="2">
        <v>45735</v>
      </c>
      <c r="C114" t="s">
        <v>46</v>
      </c>
      <c r="D114" t="s">
        <v>17</v>
      </c>
      <c r="E114" t="s">
        <v>29</v>
      </c>
      <c r="F114" t="s">
        <v>18</v>
      </c>
      <c r="G114" t="s">
        <v>26</v>
      </c>
      <c r="H114">
        <v>649</v>
      </c>
      <c r="I114">
        <v>86.8</v>
      </c>
      <c r="J114" t="s">
        <v>15</v>
      </c>
      <c r="L114">
        <f t="shared" si="2"/>
        <v>1</v>
      </c>
      <c r="M114">
        <f t="shared" si="3"/>
        <v>2025</v>
      </c>
    </row>
    <row r="115" spans="1:13" x14ac:dyDescent="0.3">
      <c r="A115">
        <v>5113</v>
      </c>
      <c r="B115" s="2">
        <v>46020</v>
      </c>
      <c r="C115" t="s">
        <v>10</v>
      </c>
      <c r="D115" t="s">
        <v>17</v>
      </c>
      <c r="E115" t="s">
        <v>22</v>
      </c>
      <c r="F115" t="s">
        <v>23</v>
      </c>
      <c r="G115" t="s">
        <v>26</v>
      </c>
      <c r="H115">
        <v>899</v>
      </c>
      <c r="I115">
        <v>40</v>
      </c>
      <c r="J115" t="s">
        <v>27</v>
      </c>
      <c r="L115">
        <f t="shared" si="2"/>
        <v>4</v>
      </c>
      <c r="M115">
        <f t="shared" si="3"/>
        <v>2025</v>
      </c>
    </row>
    <row r="116" spans="1:13" x14ac:dyDescent="0.3">
      <c r="A116">
        <v>5114</v>
      </c>
      <c r="B116" s="2">
        <v>45790</v>
      </c>
      <c r="C116" t="s">
        <v>38</v>
      </c>
      <c r="D116" t="s">
        <v>28</v>
      </c>
      <c r="E116" t="s">
        <v>22</v>
      </c>
      <c r="F116" t="s">
        <v>33</v>
      </c>
      <c r="G116" t="s">
        <v>14</v>
      </c>
      <c r="H116">
        <v>899</v>
      </c>
      <c r="I116">
        <v>81.5</v>
      </c>
      <c r="J116" t="s">
        <v>27</v>
      </c>
      <c r="L116">
        <f t="shared" si="2"/>
        <v>2</v>
      </c>
      <c r="M116">
        <f t="shared" si="3"/>
        <v>2025</v>
      </c>
    </row>
    <row r="117" spans="1:13" x14ac:dyDescent="0.3">
      <c r="A117">
        <v>5115</v>
      </c>
      <c r="B117" s="2">
        <v>45923</v>
      </c>
      <c r="C117" t="s">
        <v>46</v>
      </c>
      <c r="D117" t="s">
        <v>25</v>
      </c>
      <c r="E117" t="s">
        <v>31</v>
      </c>
      <c r="F117" t="s">
        <v>18</v>
      </c>
      <c r="G117" t="s">
        <v>40</v>
      </c>
      <c r="H117">
        <v>199</v>
      </c>
      <c r="I117">
        <v>47.4</v>
      </c>
      <c r="J117" t="s">
        <v>20</v>
      </c>
      <c r="L117">
        <f t="shared" si="2"/>
        <v>3</v>
      </c>
      <c r="M117">
        <f t="shared" si="3"/>
        <v>2025</v>
      </c>
    </row>
    <row r="118" spans="1:13" x14ac:dyDescent="0.3">
      <c r="A118">
        <v>5116</v>
      </c>
      <c r="B118" s="2">
        <v>45937</v>
      </c>
      <c r="C118" t="s">
        <v>41</v>
      </c>
      <c r="D118" t="s">
        <v>25</v>
      </c>
      <c r="E118" t="s">
        <v>31</v>
      </c>
      <c r="F118" t="s">
        <v>39</v>
      </c>
      <c r="G118" t="s">
        <v>19</v>
      </c>
      <c r="H118">
        <v>199</v>
      </c>
      <c r="I118">
        <v>52.1</v>
      </c>
      <c r="J118" t="s">
        <v>15</v>
      </c>
      <c r="L118">
        <f t="shared" si="2"/>
        <v>4</v>
      </c>
      <c r="M118">
        <f t="shared" si="3"/>
        <v>2025</v>
      </c>
    </row>
    <row r="119" spans="1:13" x14ac:dyDescent="0.3">
      <c r="A119">
        <v>5117</v>
      </c>
      <c r="B119" s="2">
        <v>45743</v>
      </c>
      <c r="C119" t="s">
        <v>24</v>
      </c>
      <c r="D119" t="s">
        <v>28</v>
      </c>
      <c r="E119" t="s">
        <v>22</v>
      </c>
      <c r="F119" t="s">
        <v>13</v>
      </c>
      <c r="G119" t="s">
        <v>32</v>
      </c>
      <c r="H119">
        <v>899</v>
      </c>
      <c r="I119">
        <v>51.3</v>
      </c>
      <c r="J119" t="s">
        <v>20</v>
      </c>
      <c r="L119">
        <f t="shared" si="2"/>
        <v>1</v>
      </c>
      <c r="M119">
        <f t="shared" si="3"/>
        <v>2025</v>
      </c>
    </row>
    <row r="120" spans="1:13" x14ac:dyDescent="0.3">
      <c r="A120">
        <v>5118</v>
      </c>
      <c r="B120" s="2">
        <v>45601</v>
      </c>
      <c r="C120" t="s">
        <v>38</v>
      </c>
      <c r="D120" t="s">
        <v>17</v>
      </c>
      <c r="E120" t="s">
        <v>12</v>
      </c>
      <c r="F120" t="s">
        <v>23</v>
      </c>
      <c r="G120" t="s">
        <v>14</v>
      </c>
      <c r="H120">
        <v>399</v>
      </c>
      <c r="I120">
        <v>59.2</v>
      </c>
      <c r="J120" t="s">
        <v>20</v>
      </c>
      <c r="L120">
        <f t="shared" si="2"/>
        <v>4</v>
      </c>
      <c r="M120">
        <f t="shared" si="3"/>
        <v>2024</v>
      </c>
    </row>
    <row r="121" spans="1:13" x14ac:dyDescent="0.3">
      <c r="A121">
        <v>5119</v>
      </c>
      <c r="B121" s="2">
        <v>45652</v>
      </c>
      <c r="C121" t="s">
        <v>43</v>
      </c>
      <c r="D121" t="s">
        <v>45</v>
      </c>
      <c r="E121" t="s">
        <v>29</v>
      </c>
      <c r="F121" t="s">
        <v>18</v>
      </c>
      <c r="G121" t="s">
        <v>40</v>
      </c>
      <c r="H121">
        <v>649</v>
      </c>
      <c r="I121">
        <v>48.5</v>
      </c>
      <c r="J121" t="s">
        <v>27</v>
      </c>
      <c r="L121">
        <f t="shared" si="2"/>
        <v>4</v>
      </c>
      <c r="M121">
        <f t="shared" si="3"/>
        <v>2024</v>
      </c>
    </row>
    <row r="122" spans="1:13" x14ac:dyDescent="0.3">
      <c r="A122">
        <v>5120</v>
      </c>
      <c r="B122" s="2">
        <v>45948</v>
      </c>
      <c r="C122" t="s">
        <v>42</v>
      </c>
      <c r="D122" t="s">
        <v>17</v>
      </c>
      <c r="E122" t="s">
        <v>31</v>
      </c>
      <c r="F122" t="s">
        <v>39</v>
      </c>
      <c r="G122" t="s">
        <v>40</v>
      </c>
      <c r="H122">
        <v>199</v>
      </c>
      <c r="I122">
        <v>43.1</v>
      </c>
      <c r="J122" t="s">
        <v>20</v>
      </c>
      <c r="L122">
        <f t="shared" si="2"/>
        <v>4</v>
      </c>
      <c r="M122">
        <f t="shared" si="3"/>
        <v>2025</v>
      </c>
    </row>
    <row r="123" spans="1:13" x14ac:dyDescent="0.3">
      <c r="A123">
        <v>5121</v>
      </c>
      <c r="B123" s="2">
        <v>45965</v>
      </c>
      <c r="C123" t="s">
        <v>16</v>
      </c>
      <c r="D123" t="s">
        <v>11</v>
      </c>
      <c r="E123" t="s">
        <v>12</v>
      </c>
      <c r="F123" t="s">
        <v>13</v>
      </c>
      <c r="G123" t="s">
        <v>32</v>
      </c>
      <c r="H123">
        <v>399</v>
      </c>
      <c r="I123">
        <v>62</v>
      </c>
      <c r="J123" t="s">
        <v>15</v>
      </c>
      <c r="L123">
        <f t="shared" si="2"/>
        <v>4</v>
      </c>
      <c r="M123">
        <f t="shared" si="3"/>
        <v>2025</v>
      </c>
    </row>
    <row r="124" spans="1:13" x14ac:dyDescent="0.3">
      <c r="A124">
        <v>5122</v>
      </c>
      <c r="B124" s="2">
        <v>45922</v>
      </c>
      <c r="C124" t="s">
        <v>36</v>
      </c>
      <c r="D124" t="s">
        <v>28</v>
      </c>
      <c r="E124" t="s">
        <v>29</v>
      </c>
      <c r="F124" t="s">
        <v>39</v>
      </c>
      <c r="G124" t="s">
        <v>26</v>
      </c>
      <c r="H124">
        <v>649</v>
      </c>
      <c r="I124">
        <v>38.4</v>
      </c>
      <c r="J124" t="s">
        <v>27</v>
      </c>
      <c r="L124">
        <f t="shared" si="2"/>
        <v>3</v>
      </c>
      <c r="M124">
        <f t="shared" si="3"/>
        <v>2025</v>
      </c>
    </row>
    <row r="125" spans="1:13" x14ac:dyDescent="0.3">
      <c r="A125">
        <v>5123</v>
      </c>
      <c r="B125" s="2">
        <v>45500</v>
      </c>
      <c r="C125" t="s">
        <v>47</v>
      </c>
      <c r="D125" t="s">
        <v>17</v>
      </c>
      <c r="E125" t="s">
        <v>29</v>
      </c>
      <c r="F125" t="s">
        <v>33</v>
      </c>
      <c r="G125" t="s">
        <v>26</v>
      </c>
      <c r="H125">
        <v>649</v>
      </c>
      <c r="I125">
        <v>86.4</v>
      </c>
      <c r="J125" t="s">
        <v>27</v>
      </c>
      <c r="L125">
        <f t="shared" si="2"/>
        <v>3</v>
      </c>
      <c r="M125">
        <f t="shared" si="3"/>
        <v>2024</v>
      </c>
    </row>
    <row r="126" spans="1:13" x14ac:dyDescent="0.3">
      <c r="A126">
        <v>5124</v>
      </c>
      <c r="B126" s="2">
        <v>45481</v>
      </c>
      <c r="C126" t="s">
        <v>44</v>
      </c>
      <c r="D126" t="s">
        <v>11</v>
      </c>
      <c r="E126" t="s">
        <v>31</v>
      </c>
      <c r="F126" t="s">
        <v>39</v>
      </c>
      <c r="G126" t="s">
        <v>26</v>
      </c>
      <c r="H126">
        <v>199</v>
      </c>
      <c r="I126">
        <v>48.6</v>
      </c>
      <c r="J126" t="s">
        <v>27</v>
      </c>
      <c r="L126">
        <f t="shared" si="2"/>
        <v>3</v>
      </c>
      <c r="M126">
        <f t="shared" si="3"/>
        <v>2024</v>
      </c>
    </row>
    <row r="127" spans="1:13" x14ac:dyDescent="0.3">
      <c r="A127">
        <v>5125</v>
      </c>
      <c r="B127" s="2">
        <v>45381</v>
      </c>
      <c r="C127" t="s">
        <v>30</v>
      </c>
      <c r="D127" t="s">
        <v>45</v>
      </c>
      <c r="E127" t="s">
        <v>29</v>
      </c>
      <c r="F127" t="s">
        <v>18</v>
      </c>
      <c r="G127" t="s">
        <v>40</v>
      </c>
      <c r="H127">
        <v>649</v>
      </c>
      <c r="I127">
        <v>51.1</v>
      </c>
      <c r="J127" t="s">
        <v>27</v>
      </c>
      <c r="L127">
        <f t="shared" si="2"/>
        <v>1</v>
      </c>
      <c r="M127">
        <f t="shared" si="3"/>
        <v>2024</v>
      </c>
    </row>
    <row r="128" spans="1:13" x14ac:dyDescent="0.3">
      <c r="A128">
        <v>5126</v>
      </c>
      <c r="B128" s="2">
        <v>45842</v>
      </c>
      <c r="C128" t="s">
        <v>21</v>
      </c>
      <c r="D128" t="s">
        <v>28</v>
      </c>
      <c r="E128" t="s">
        <v>12</v>
      </c>
      <c r="F128" t="s">
        <v>18</v>
      </c>
      <c r="G128" t="s">
        <v>26</v>
      </c>
      <c r="H128">
        <v>399</v>
      </c>
      <c r="I128">
        <v>69.5</v>
      </c>
      <c r="J128" t="s">
        <v>20</v>
      </c>
      <c r="L128">
        <f t="shared" si="2"/>
        <v>3</v>
      </c>
      <c r="M128">
        <f t="shared" si="3"/>
        <v>2025</v>
      </c>
    </row>
    <row r="129" spans="1:13" x14ac:dyDescent="0.3">
      <c r="A129">
        <v>5127</v>
      </c>
      <c r="B129" s="2">
        <v>45947</v>
      </c>
      <c r="C129" t="s">
        <v>43</v>
      </c>
      <c r="D129" t="s">
        <v>28</v>
      </c>
      <c r="E129" t="s">
        <v>12</v>
      </c>
      <c r="F129" t="s">
        <v>39</v>
      </c>
      <c r="G129" t="s">
        <v>14</v>
      </c>
      <c r="H129">
        <v>399</v>
      </c>
      <c r="I129">
        <v>24.2</v>
      </c>
      <c r="J129" t="s">
        <v>20</v>
      </c>
      <c r="L129">
        <f t="shared" si="2"/>
        <v>4</v>
      </c>
      <c r="M129">
        <f t="shared" si="3"/>
        <v>2025</v>
      </c>
    </row>
    <row r="130" spans="1:13" x14ac:dyDescent="0.3">
      <c r="A130">
        <v>5128</v>
      </c>
      <c r="B130" s="2">
        <v>45733</v>
      </c>
      <c r="C130" t="s">
        <v>42</v>
      </c>
      <c r="D130" t="s">
        <v>25</v>
      </c>
      <c r="E130" t="s">
        <v>12</v>
      </c>
      <c r="F130" t="s">
        <v>13</v>
      </c>
      <c r="G130" t="s">
        <v>14</v>
      </c>
      <c r="H130">
        <v>399</v>
      </c>
      <c r="I130">
        <v>38.200000000000003</v>
      </c>
      <c r="J130" t="s">
        <v>20</v>
      </c>
      <c r="L130">
        <f t="shared" si="2"/>
        <v>1</v>
      </c>
      <c r="M130">
        <f t="shared" si="3"/>
        <v>2025</v>
      </c>
    </row>
    <row r="131" spans="1:13" x14ac:dyDescent="0.3">
      <c r="A131">
        <v>5129</v>
      </c>
      <c r="B131" s="2">
        <v>45936</v>
      </c>
      <c r="C131" t="s">
        <v>47</v>
      </c>
      <c r="D131" t="s">
        <v>11</v>
      </c>
      <c r="E131" t="s">
        <v>29</v>
      </c>
      <c r="F131" t="s">
        <v>39</v>
      </c>
      <c r="G131" t="s">
        <v>40</v>
      </c>
      <c r="H131">
        <v>649</v>
      </c>
      <c r="I131">
        <v>53.2</v>
      </c>
      <c r="J131" t="s">
        <v>27</v>
      </c>
      <c r="L131">
        <f t="shared" ref="L131" si="4">ROUNDUP(MONTH(B131)/3,0)</f>
        <v>4</v>
      </c>
      <c r="M131">
        <f t="shared" ref="M131" si="5">YEAR(B131)</f>
        <v>2025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tabSelected="1" topLeftCell="A4" zoomScaleNormal="100" workbookViewId="0">
      <selection activeCell="B19" sqref="B19"/>
    </sheetView>
  </sheetViews>
  <sheetFormatPr defaultColWidth="8.6640625" defaultRowHeight="14.4" x14ac:dyDescent="0.3"/>
  <cols>
    <col min="1" max="1" width="123.77734375" bestFit="1" customWidth="1"/>
    <col min="2" max="2" width="40" customWidth="1"/>
    <col min="4" max="4" width="12.21875" bestFit="1" customWidth="1"/>
  </cols>
  <sheetData>
    <row r="1" spans="1:9" ht="17.399999999999999" x14ac:dyDescent="0.3">
      <c r="A1" s="3" t="s">
        <v>48</v>
      </c>
    </row>
    <row r="2" spans="1:9" x14ac:dyDescent="0.3">
      <c r="A2" t="s">
        <v>49</v>
      </c>
      <c r="D2" t="str" cm="1">
        <f t="array" ref="D2:D7">_xlfn.UNIQUE(Data!D2:D131)</f>
        <v>Germany</v>
      </c>
      <c r="E2">
        <f>SUMIFS(Data!I2:I131,Data!D2:D131,'Formula Test'!D2,Data!E2:E131,"Premium")</f>
        <v>399.99999999999994</v>
      </c>
    </row>
    <row r="3" spans="1:9" x14ac:dyDescent="0.3">
      <c r="D3" t="str">
        <v>USA</v>
      </c>
      <c r="E3">
        <f>SUMIFS(Data!I3:I132,Data!D3:D132,'Formula Test'!D3,Data!E3:E132,"Premium")</f>
        <v>258.10000000000002</v>
      </c>
    </row>
    <row r="4" spans="1:9" x14ac:dyDescent="0.3">
      <c r="A4" s="4" t="s">
        <v>50</v>
      </c>
      <c r="B4">
        <f>SUMIFS(Data!H2:H131,Data!D2:D131,"India",Data!E2:E131,"Premium")</f>
        <v>2596</v>
      </c>
      <c r="D4" t="str">
        <v>India</v>
      </c>
      <c r="E4">
        <f>SUMIFS(Data!I4:I133,Data!D4:D133,'Formula Test'!D4,Data!E4:E133,"Premium")</f>
        <v>195.20000000000005</v>
      </c>
    </row>
    <row r="5" spans="1:9" x14ac:dyDescent="0.3">
      <c r="A5" s="4" t="s">
        <v>51</v>
      </c>
      <c r="B5">
        <f>COUNTIFS(Data!E2:E131,"Family",Data!J2:J131,"Cancelled")</f>
        <v>12</v>
      </c>
      <c r="D5" t="str">
        <v>Japan</v>
      </c>
      <c r="E5">
        <f>SUMIFS(Data!I5:I134,Data!D5:D134,'Formula Test'!D5,Data!E5:E134,"Premium")</f>
        <v>330.4</v>
      </c>
    </row>
    <row r="6" spans="1:9" x14ac:dyDescent="0.3">
      <c r="A6" s="4" t="s">
        <v>52</v>
      </c>
      <c r="B6" t="str">
        <f>_xlfn.XLOOKUP(5075,Data!A2:A131,Data!E2:E131,"Not found")</f>
        <v>Family</v>
      </c>
      <c r="D6" t="str">
        <v>UK</v>
      </c>
      <c r="E6">
        <f>SUMIFS(Data!I6:I135,Data!D6:D135,'Formula Test'!D6,Data!E6:E135,"Premium")</f>
        <v>62.300000000000004</v>
      </c>
    </row>
    <row r="7" spans="1:9" x14ac:dyDescent="0.3">
      <c r="A7" s="4" t="s">
        <v>53</v>
      </c>
      <c r="B7">
        <f>AVERAGEIFS(Data!I2:I131,Data!E2:E131,"Standard",Data!F2:F131,"Smart TV")</f>
        <v>46.485714285714288</v>
      </c>
      <c r="D7" t="str">
        <v>Brazil</v>
      </c>
      <c r="E7">
        <f>SUMIFS(Data!I7:I136,Data!D7:D136,'Formula Test'!D7,Data!E7:E136,"Premium")</f>
        <v>330.90000000000003</v>
      </c>
    </row>
    <row r="8" spans="1:9" x14ac:dyDescent="0.3">
      <c r="A8" s="4" t="s">
        <v>54</v>
      </c>
      <c r="B8">
        <f>SUMIF(Data!J2:J131,"Active",Data!H2:H131)</f>
        <v>31247</v>
      </c>
    </row>
    <row r="9" spans="1:9" x14ac:dyDescent="0.3">
      <c r="A9" s="4" t="s">
        <v>55</v>
      </c>
      <c r="B9" t="str" cm="1">
        <f t="array" ref="B9">_xlfn.IFS(Data!I2&lt;=20,"Low",Data!I2&lt;=60,"Medium",Data!I2&gt;60,"High")</f>
        <v>High</v>
      </c>
    </row>
    <row r="10" spans="1:9" x14ac:dyDescent="0.3">
      <c r="A10" s="4" t="s">
        <v>56</v>
      </c>
      <c r="B10" t="str">
        <f>TEXT(Data!B12,"mmmm yyyy")</f>
        <v>August 2025</v>
      </c>
    </row>
    <row r="11" spans="1:9" x14ac:dyDescent="0.3">
      <c r="A11" s="4" t="s">
        <v>57</v>
      </c>
      <c r="B11" cm="1">
        <f t="array" ref="B11">INDEX(Data!H2:H131,MATCH(1,(Data!D2:D131="Japan")*(Data!G2:G131="Thriller"),0))</f>
        <v>199</v>
      </c>
      <c r="D11" t="s">
        <v>78</v>
      </c>
      <c r="F11" t="s">
        <v>79</v>
      </c>
      <c r="H11" t="s">
        <v>82</v>
      </c>
    </row>
    <row r="12" spans="1:9" x14ac:dyDescent="0.3">
      <c r="A12" s="4" t="s">
        <v>58</v>
      </c>
      <c r="B12" t="s">
        <v>77</v>
      </c>
      <c r="D12" t="str" cm="1">
        <f t="array" ref="D12:D17">_xlfn._xlws.SORT(_xlfn.UNIQUE(Data!D2:D131))</f>
        <v>Brazil</v>
      </c>
      <c r="F12" cm="1">
        <f t="array" ref="F12:F20">_xlfn._xlws.FILTER(Data!A2:A131,(Data!F2:F131="Console")*(Data!J2:J131="Active"),"Null")</f>
        <v>5007</v>
      </c>
      <c r="H12" t="str" cm="1">
        <f t="array" ref="H12:H15">_xlfn.UNIQUE(Data!E2:E131)</f>
        <v>Standard</v>
      </c>
      <c r="I12">
        <f>SUMIF(Data!E2:E131,'Formula Test'!H12,Data!I2:I131)</f>
        <v>1691.3000000000002</v>
      </c>
    </row>
    <row r="13" spans="1:9" x14ac:dyDescent="0.3">
      <c r="A13" s="4" t="s">
        <v>59</v>
      </c>
      <c r="B13" t="s">
        <v>77</v>
      </c>
      <c r="D13" t="str">
        <v>Germany</v>
      </c>
      <c r="F13">
        <v>5027</v>
      </c>
      <c r="H13" t="str">
        <v>Family</v>
      </c>
      <c r="I13">
        <f>SUMIF(Data!E3:E132,'Formula Test'!H13,Data!I3:I132)</f>
        <v>1331.8999999999999</v>
      </c>
    </row>
    <row r="14" spans="1:9" x14ac:dyDescent="0.3">
      <c r="A14" s="4" t="s">
        <v>60</v>
      </c>
      <c r="B14">
        <f>COUNTIF(Data!C2:C131,"*Kapoor*")</f>
        <v>6</v>
      </c>
      <c r="D14" t="str">
        <v>India</v>
      </c>
      <c r="F14">
        <v>5036</v>
      </c>
      <c r="H14" t="str">
        <v>Premium</v>
      </c>
      <c r="I14">
        <f>SUMIF(Data!E4:E133,'Formula Test'!H14,Data!I4:I133)</f>
        <v>1576.8999999999996</v>
      </c>
    </row>
    <row r="15" spans="1:9" x14ac:dyDescent="0.3">
      <c r="A15" s="7" t="s">
        <v>61</v>
      </c>
      <c r="B15" t="s">
        <v>11</v>
      </c>
      <c r="D15" t="str">
        <v>Japan</v>
      </c>
      <c r="F15">
        <v>5069</v>
      </c>
      <c r="H15" t="str">
        <v>Basic</v>
      </c>
      <c r="I15">
        <f>SUMIF(Data!E5:E134,'Formula Test'!H15,Data!I5:I134)</f>
        <v>1048.6999999999998</v>
      </c>
    </row>
    <row r="16" spans="1:9" x14ac:dyDescent="0.3">
      <c r="A16" s="4" t="s">
        <v>62</v>
      </c>
      <c r="B16" cm="1">
        <f t="array" ref="B16">COUNTA(_xlfn.UNIQUE(_xlfn._xlws.FILTER(Data!C2:C131,Data!E2:E131="Basic","null")))</f>
        <v>13</v>
      </c>
      <c r="D16" t="str">
        <v>UK</v>
      </c>
      <c r="F16">
        <v>5080</v>
      </c>
    </row>
    <row r="17" spans="1:6" x14ac:dyDescent="0.3">
      <c r="A17" s="4" t="s">
        <v>63</v>
      </c>
      <c r="B17">
        <f>SMALL(Data!H2:H131,2)</f>
        <v>199</v>
      </c>
      <c r="D17" t="str">
        <v>USA</v>
      </c>
      <c r="F17">
        <v>5083</v>
      </c>
    </row>
    <row r="18" spans="1:6" x14ac:dyDescent="0.3">
      <c r="A18" s="4" t="s">
        <v>64</v>
      </c>
      <c r="B18" t="str">
        <f>_xlfn.XLOOKUP(MAX(Data!I2:I131),Data!I2:I131,Data!C2:C131,"null")</f>
        <v>Aditya Iyer</v>
      </c>
      <c r="F18">
        <v>5109</v>
      </c>
    </row>
    <row r="19" spans="1:6" x14ac:dyDescent="0.3">
      <c r="A19" s="4" t="s">
        <v>65</v>
      </c>
      <c r="B19">
        <f>COUNTIFS(Data!L2:L131,4,Data!M2:M131,2024)</f>
        <v>15</v>
      </c>
      <c r="D19" t="s">
        <v>80</v>
      </c>
      <c r="F19">
        <v>5114</v>
      </c>
    </row>
    <row r="20" spans="1:6" x14ac:dyDescent="0.3">
      <c r="A20" s="4" t="s">
        <v>66</v>
      </c>
      <c r="B20" s="5">
        <f>COUNTIF(Data!J2:J131,"Paused")/COUNTA(Data!J2:J131)</f>
        <v>0.31538461538461537</v>
      </c>
      <c r="D20" t="str" cm="1">
        <f t="array" ref="D20:D34">_xlfn.UNIQUE(Data!C2:C131)</f>
        <v>Devansh Shah</v>
      </c>
      <c r="E20">
        <f>SUMIF(Data!C2:C131,'Formula Test'!D20,Data!I2:I131)</f>
        <v>275.89999999999998</v>
      </c>
      <c r="F20">
        <v>5123</v>
      </c>
    </row>
    <row r="21" spans="1:6" x14ac:dyDescent="0.3">
      <c r="A21" s="4" t="s">
        <v>67</v>
      </c>
      <c r="B21" t="str" cm="1">
        <f t="array" ref="B21">INDEX(Data!G2:G131,_xlfn.MODE.SNGL(MATCH(Data!G2:G131,Data!G2:G131,0)))</f>
        <v>Action</v>
      </c>
      <c r="D21" t="str">
        <v>Sanjay Verma</v>
      </c>
      <c r="E21">
        <f>SUMIF(Data!C3:C132,'Formula Test'!D21,Data!I3:I132)</f>
        <v>274.70000000000005</v>
      </c>
    </row>
    <row r="22" spans="1:6" x14ac:dyDescent="0.3">
      <c r="A22" s="4" t="s">
        <v>68</v>
      </c>
      <c r="B22" t="s">
        <v>77</v>
      </c>
      <c r="D22" t="str">
        <v>Ishaan Rao</v>
      </c>
      <c r="E22">
        <f>SUMIF(Data!C4:C133,'Formula Test'!D22,Data!I4:I133)</f>
        <v>599.90000000000009</v>
      </c>
    </row>
    <row r="23" spans="1:6" x14ac:dyDescent="0.3">
      <c r="A23" s="4" t="s">
        <v>69</v>
      </c>
      <c r="B23" t="str">
        <f>TEXT(Data!B42,"dddd")</f>
        <v>Tuesday</v>
      </c>
      <c r="D23" t="str">
        <v>Meera Pillai</v>
      </c>
      <c r="E23">
        <f>SUMIF(Data!C5:C134,'Formula Test'!D23,Data!I5:I134)</f>
        <v>270.3</v>
      </c>
    </row>
    <row r="24" spans="1:6" x14ac:dyDescent="0.3">
      <c r="A24" s="4" t="s">
        <v>70</v>
      </c>
      <c r="B24">
        <f>AVERAGEIF(Data!I2:I131,"&gt;50",Data!H2:H131)</f>
        <v>525.41509433962267</v>
      </c>
      <c r="D24" t="str">
        <v>Farhan Ali</v>
      </c>
      <c r="E24">
        <f>SUMIF(Data!C6:C135,'Formula Test'!D24,Data!I6:I135)</f>
        <v>437.20000000000005</v>
      </c>
    </row>
    <row r="25" spans="1:6" x14ac:dyDescent="0.3">
      <c r="A25" s="4" t="s">
        <v>71</v>
      </c>
      <c r="B25" t="str" cm="1">
        <f t="array" ref="B25">INDEX(Data!F2:F131,_xlfn.MODE.SNGL(MATCH(Data!F2:F131,Data!F2:F131,0)))</f>
        <v>Smart TV</v>
      </c>
      <c r="D25" t="str">
        <v>Tanvi Joshi</v>
      </c>
      <c r="E25">
        <f>SUMIF(Data!C7:C136,'Formula Test'!D25,Data!I7:I136)</f>
        <v>303.39999999999998</v>
      </c>
    </row>
    <row r="26" spans="1:6" x14ac:dyDescent="0.3">
      <c r="A26" s="4" t="s">
        <v>72</v>
      </c>
      <c r="B26" cm="1">
        <f t="array" ref="B26">COUNTA(_xlfn.UNIQUE(_xlfn._xlws.FILTER(Data!G2:G131,Data!E2:E131="Family","null")))</f>
        <v>5</v>
      </c>
      <c r="D26" t="str">
        <v>Aarav Mehta</v>
      </c>
      <c r="E26">
        <f>SUMIF(Data!C8:C137,'Formula Test'!D26,Data!I8:I137)</f>
        <v>379.2</v>
      </c>
    </row>
    <row r="27" spans="1:6" x14ac:dyDescent="0.3">
      <c r="A27" s="4" t="s">
        <v>73</v>
      </c>
      <c r="B27">
        <f ca="1">DATEDIF(_xlfn.XLOOKUP(5005,Data!A:A,Data!B:B),TODAY(),"m")</f>
        <v>24</v>
      </c>
      <c r="D27" t="str">
        <v>Nisha Reddy</v>
      </c>
      <c r="E27">
        <f>SUMIF(Data!C9:C138,'Formula Test'!D27,Data!I9:I138)</f>
        <v>203</v>
      </c>
    </row>
    <row r="28" spans="1:6" x14ac:dyDescent="0.3">
      <c r="A28" s="4" t="s">
        <v>74</v>
      </c>
      <c r="B28" t="b" cm="1">
        <f t="array" ref="B28">SUMPRODUCT((Data!E2:E131="Basic")*(Data!I2:I131&lt;80))=0</f>
        <v>0</v>
      </c>
      <c r="D28" t="str">
        <v>Diya Kapoor</v>
      </c>
      <c r="E28">
        <f>SUMIF(Data!C10:C139,'Formula Test'!D28,Data!I10:I139)</f>
        <v>265.89999999999998</v>
      </c>
      <c r="F28">
        <f>MAX(E20:E34)</f>
        <v>623.20000000000005</v>
      </c>
    </row>
    <row r="29" spans="1:6" x14ac:dyDescent="0.3">
      <c r="A29" s="4" t="s">
        <v>75</v>
      </c>
      <c r="B29" t="str">
        <f>_xlfn.TEXTJOIN("-",TRUE,Data!C22,Data!D22)</f>
        <v>Aditya Iyer-Japan</v>
      </c>
      <c r="D29" t="str">
        <v>Priyanka Rao</v>
      </c>
      <c r="E29">
        <f>SUMIF(Data!C11:C140,'Formula Test'!D29,Data!I11:I140)</f>
        <v>271.3</v>
      </c>
    </row>
    <row r="30" spans="1:6" x14ac:dyDescent="0.3">
      <c r="A30" s="4" t="s">
        <v>76</v>
      </c>
      <c r="B30" t="str">
        <f>_xlfn.TEXTJOIN(" to ",TRUE,B35,B36)</f>
        <v>Jan-2024 to Dec-2025</v>
      </c>
      <c r="D30" t="str">
        <v>Kavya Nair</v>
      </c>
      <c r="E30">
        <f>SUMIF(Data!C12:C141,'Formula Test'!D30,Data!I12:I141)</f>
        <v>623.20000000000005</v>
      </c>
    </row>
    <row r="31" spans="1:6" x14ac:dyDescent="0.3">
      <c r="D31" t="str">
        <v>Aditya Iyer</v>
      </c>
      <c r="E31">
        <f>SUMIF(Data!C13:C142,'Formula Test'!D31,Data!I13:I142)</f>
        <v>392.6</v>
      </c>
    </row>
    <row r="32" spans="1:6" x14ac:dyDescent="0.3">
      <c r="B32" t="s">
        <v>83</v>
      </c>
      <c r="D32" t="str">
        <v>Rohan Gupta</v>
      </c>
      <c r="E32">
        <f>SUMIF(Data!C14:C143,'Formula Test'!D32,Data!I14:I143)</f>
        <v>276.70000000000005</v>
      </c>
    </row>
    <row r="33" spans="2:5" x14ac:dyDescent="0.3">
      <c r="B33" s="6">
        <f>MIN(Data!B2:B131)</f>
        <v>45295</v>
      </c>
      <c r="D33" t="str">
        <v>Ananya Bose</v>
      </c>
      <c r="E33">
        <f>SUMIF(Data!C15:C144,'Formula Test'!D33,Data!I15:I144)</f>
        <v>488.5</v>
      </c>
    </row>
    <row r="34" spans="2:5" x14ac:dyDescent="0.3">
      <c r="B34" s="6">
        <f>MAX(Data!B2:B131)</f>
        <v>46020</v>
      </c>
      <c r="D34" t="str">
        <v>Zara Khan</v>
      </c>
      <c r="E34">
        <f>SUMIF(Data!C16:C145,'Formula Test'!D34,Data!I16:I145)</f>
        <v>587</v>
      </c>
    </row>
    <row r="35" spans="2:5" x14ac:dyDescent="0.3">
      <c r="B35" t="str">
        <f>TEXT(B33,"mmm-yyyy")</f>
        <v>Jan-2024</v>
      </c>
    </row>
    <row r="36" spans="2:5" x14ac:dyDescent="0.3">
      <c r="B36" t="str">
        <f>TEXT(B34,"mmm-yyyy")</f>
        <v>Dec-2025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Formula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2026-07-06T10:54:03Z</dcterms:created>
  <dcterms:modified xsi:type="dcterms:W3CDTF">2026-07-07T04:32:30Z</dcterms:modified>
  <dc:language>en-US</dc:language>
</cp:coreProperties>
</file>