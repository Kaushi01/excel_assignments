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raj\Downloads\"/>
    </mc:Choice>
  </mc:AlternateContent>
  <xr:revisionPtr revIDLastSave="0" documentId="13_ncr:1_{8883D426-28C1-4836-B2E7-60BE7D68B107}" xr6:coauthVersionLast="47" xr6:coauthVersionMax="47" xr10:uidLastSave="{00000000-0000-0000-0000-000000000000}"/>
  <bookViews>
    <workbookView xWindow="-108" yWindow="-108" windowWidth="23256" windowHeight="12456" firstSheet="6" activeTab="9" xr2:uid="{00000000-000D-0000-FFFF-FFFF00000000}"/>
  </bookViews>
  <sheets>
    <sheet name="Extract Time Parts" sheetId="1" r:id="rId1"/>
    <sheet name="Working Hours" sheetId="2" r:id="rId2"/>
    <sheet name="Date Parts" sheetId="3" r:id="rId3"/>
    <sheet name="Probation End Date" sheetId="4" r:id="rId4"/>
    <sheet name="Days in Company" sheetId="5" r:id="rId5"/>
    <sheet name="Month-Year Format" sheetId="8" r:id="rId6"/>
    <sheet name="Working Days Excl Holidays" sheetId="12" r:id="rId7"/>
    <sheet name="Weekday from Date" sheetId="9" r:id="rId8"/>
    <sheet name="Joining Day Name" sheetId="10" r:id="rId9"/>
    <sheet name="Days Worked + Quarter"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1" l="1"/>
  <c r="E3" i="11"/>
  <c r="E4" i="11"/>
  <c r="E5" i="11"/>
  <c r="E6" i="11"/>
  <c r="E7" i="11"/>
  <c r="E8" i="11"/>
  <c r="E9" i="11"/>
  <c r="E10" i="11"/>
  <c r="E11" i="11"/>
  <c r="D3" i="11"/>
  <c r="D4" i="11"/>
  <c r="D5" i="11"/>
  <c r="D6" i="11"/>
  <c r="D7" i="11"/>
  <c r="D8" i="11"/>
  <c r="D9" i="11"/>
  <c r="D10" i="11"/>
  <c r="D11" i="11"/>
  <c r="D2" i="11"/>
  <c r="C3" i="11"/>
  <c r="C4" i="11"/>
  <c r="C5" i="11"/>
  <c r="C6" i="11"/>
  <c r="C7" i="11"/>
  <c r="C8" i="11"/>
  <c r="C9" i="11"/>
  <c r="C10" i="11"/>
  <c r="C11" i="11"/>
  <c r="C2" i="11"/>
  <c r="C3" i="10"/>
  <c r="C4" i="10"/>
  <c r="C5" i="10"/>
  <c r="C6" i="10"/>
  <c r="C7" i="10"/>
  <c r="C8" i="10"/>
  <c r="C9" i="10"/>
  <c r="C10" i="10"/>
  <c r="C11" i="10"/>
  <c r="C2" i="10"/>
  <c r="D4" i="9"/>
  <c r="D5" i="9"/>
  <c r="D6" i="9"/>
  <c r="D7" i="9"/>
  <c r="D8" i="9"/>
  <c r="D9" i="9"/>
  <c r="D10" i="9"/>
  <c r="D11" i="9"/>
  <c r="D12" i="9"/>
  <c r="D13" i="9"/>
  <c r="D3" i="9"/>
  <c r="C4" i="9"/>
  <c r="C5" i="9"/>
  <c r="C6" i="9"/>
  <c r="C7" i="9"/>
  <c r="C8" i="9"/>
  <c r="C9" i="9"/>
  <c r="C10" i="9"/>
  <c r="C11" i="9"/>
  <c r="C12" i="9"/>
  <c r="C13" i="9"/>
  <c r="C3" i="9"/>
  <c r="G4" i="12"/>
  <c r="C4" i="8"/>
  <c r="C5" i="8"/>
  <c r="C6" i="8"/>
  <c r="C7" i="8"/>
  <c r="C8" i="8"/>
  <c r="C9" i="8"/>
  <c r="C10" i="8"/>
  <c r="C11" i="8"/>
  <c r="C12" i="8"/>
  <c r="C13" i="8"/>
  <c r="C3" i="8"/>
  <c r="F4" i="5"/>
  <c r="F5" i="5"/>
  <c r="F6" i="5"/>
  <c r="F7" i="5"/>
  <c r="F8" i="5"/>
  <c r="F9" i="5"/>
  <c r="F10" i="5"/>
  <c r="F11" i="5"/>
  <c r="F12" i="5"/>
  <c r="F3" i="5"/>
  <c r="D4" i="5"/>
  <c r="D5" i="5"/>
  <c r="D6" i="5"/>
  <c r="D7" i="5"/>
  <c r="D8" i="5"/>
  <c r="D9" i="5"/>
  <c r="D10" i="5"/>
  <c r="D11" i="5"/>
  <c r="D12" i="5"/>
  <c r="D3" i="5"/>
  <c r="D4" i="4"/>
  <c r="D5" i="4"/>
  <c r="D6" i="4"/>
  <c r="D7" i="4"/>
  <c r="D8" i="4"/>
  <c r="D9" i="4"/>
  <c r="D10" i="4"/>
  <c r="D11" i="4"/>
  <c r="D12" i="4"/>
  <c r="D3" i="4"/>
  <c r="H4" i="3"/>
  <c r="H5" i="3"/>
  <c r="H6" i="3"/>
  <c r="H7" i="3"/>
  <c r="H8" i="3"/>
  <c r="H9" i="3"/>
  <c r="H10" i="3"/>
  <c r="H11" i="3"/>
  <c r="H12" i="3"/>
  <c r="H3" i="3"/>
  <c r="G4" i="3"/>
  <c r="G5" i="3"/>
  <c r="G6" i="3"/>
  <c r="G7" i="3"/>
  <c r="G8" i="3"/>
  <c r="G9" i="3"/>
  <c r="G10" i="3"/>
  <c r="G11" i="3"/>
  <c r="G12" i="3"/>
  <c r="F4" i="3"/>
  <c r="F5" i="3"/>
  <c r="F6" i="3"/>
  <c r="F7" i="3"/>
  <c r="F8" i="3"/>
  <c r="F9" i="3"/>
  <c r="F10" i="3"/>
  <c r="F11" i="3"/>
  <c r="F12" i="3"/>
  <c r="E4" i="3"/>
  <c r="E5" i="3"/>
  <c r="E6" i="3"/>
  <c r="E7" i="3"/>
  <c r="E8" i="3"/>
  <c r="E9" i="3"/>
  <c r="E10" i="3"/>
  <c r="E11" i="3"/>
  <c r="E12" i="3"/>
  <c r="G3" i="3"/>
  <c r="F3" i="3"/>
  <c r="E3" i="3"/>
  <c r="F4" i="2"/>
  <c r="F5" i="2"/>
  <c r="F6" i="2"/>
  <c r="F7" i="2"/>
  <c r="F8" i="2"/>
  <c r="F9" i="2"/>
  <c r="F10" i="2"/>
  <c r="F11" i="2"/>
  <c r="F12" i="2"/>
  <c r="F3" i="2"/>
  <c r="G4" i="1"/>
  <c r="G5" i="1"/>
  <c r="G6" i="1"/>
  <c r="G7" i="1"/>
  <c r="G8" i="1"/>
  <c r="G9" i="1"/>
  <c r="G10" i="1"/>
  <c r="G11" i="1"/>
  <c r="G12" i="1"/>
  <c r="G3" i="1"/>
  <c r="F4" i="1"/>
  <c r="F5" i="1"/>
  <c r="F6" i="1"/>
  <c r="F7" i="1"/>
  <c r="F8" i="1"/>
  <c r="F9" i="1"/>
  <c r="F10" i="1"/>
  <c r="F11" i="1"/>
  <c r="F12" i="1"/>
  <c r="F3" i="1"/>
  <c r="E4" i="1"/>
  <c r="E5" i="1"/>
  <c r="E6" i="1"/>
  <c r="E7" i="1"/>
  <c r="E8" i="1"/>
  <c r="E9" i="1"/>
  <c r="E10" i="1"/>
  <c r="E11" i="1"/>
  <c r="E12" i="1"/>
  <c r="E3" i="1"/>
</calcChain>
</file>

<file path=xl/sharedStrings.xml><?xml version="1.0" encoding="utf-8"?>
<sst xmlns="http://schemas.openxmlformats.org/spreadsheetml/2006/main" count="269" uniqueCount="124">
  <si>
    <t>ID</t>
  </si>
  <si>
    <t>Name</t>
  </si>
  <si>
    <t>Entry Time</t>
  </si>
  <si>
    <t>Hour</t>
  </si>
  <si>
    <t>Minutes</t>
  </si>
  <si>
    <t>Second</t>
  </si>
  <si>
    <t>EMP1</t>
  </si>
  <si>
    <t>EMP2</t>
  </si>
  <si>
    <t>EMP3</t>
  </si>
  <si>
    <t>EMP4</t>
  </si>
  <si>
    <t>EMP5</t>
  </si>
  <si>
    <t>EMP6</t>
  </si>
  <si>
    <t>EMP7</t>
  </si>
  <si>
    <t>EMP8</t>
  </si>
  <si>
    <t>EMP9</t>
  </si>
  <si>
    <t>EMP10</t>
  </si>
  <si>
    <t>Kunal</t>
  </si>
  <si>
    <t>Divya</t>
  </si>
  <si>
    <t>Amit</t>
  </si>
  <si>
    <t>Swati</t>
  </si>
  <si>
    <t>Pooja</t>
  </si>
  <si>
    <t>Ankit</t>
  </si>
  <si>
    <t>Sneha</t>
  </si>
  <si>
    <t>Neha</t>
  </si>
  <si>
    <t>Isha</t>
  </si>
  <si>
    <t>Raghav</t>
  </si>
  <si>
    <t>6:16:28 AM</t>
  </si>
  <si>
    <t>9:49:05 AM</t>
  </si>
  <si>
    <t>9:02:56 AM</t>
  </si>
  <si>
    <t>11:18:42 AM</t>
  </si>
  <si>
    <t>6:07:29 AM</t>
  </si>
  <si>
    <t>11:55:59 AM</t>
  </si>
  <si>
    <t>6:20:24 AM</t>
  </si>
  <si>
    <t>9:37:42 AM</t>
  </si>
  <si>
    <t>8:24:34 AM</t>
  </si>
  <si>
    <t>10:17:44 AM</t>
  </si>
  <si>
    <t>Leaving Time</t>
  </si>
  <si>
    <t>Working Hours</t>
  </si>
  <si>
    <t>10:24:55 AM</t>
  </si>
  <si>
    <t>7:27:03 AM</t>
  </si>
  <si>
    <t>8:29:04 AM</t>
  </si>
  <si>
    <t>10:01:27 AM</t>
  </si>
  <si>
    <t>8:40:50 AM</t>
  </si>
  <si>
    <t>6:34:50 AM</t>
  </si>
  <si>
    <t>11:04:15 AM</t>
  </si>
  <si>
    <t>10:19:54 AM</t>
  </si>
  <si>
    <t>10:48:09 AM</t>
  </si>
  <si>
    <t>9:14:19 AM</t>
  </si>
  <si>
    <t>2:31:34 PM</t>
  </si>
  <si>
    <t>5:33:05 PM</t>
  </si>
  <si>
    <t>7:52:46 PM</t>
  </si>
  <si>
    <t>4:27:05 PM</t>
  </si>
  <si>
    <t>2:16:41 PM</t>
  </si>
  <si>
    <t>3:40:58 PM</t>
  </si>
  <si>
    <t>9:05:28 PM</t>
  </si>
  <si>
    <t>9:29:03 PM</t>
  </si>
  <si>
    <t>1:24:20 PM</t>
  </si>
  <si>
    <t>3:44:01 PM</t>
  </si>
  <si>
    <t>Date of Joining</t>
  </si>
  <si>
    <t>Day</t>
  </si>
  <si>
    <t>Month</t>
  </si>
  <si>
    <t>Year</t>
  </si>
  <si>
    <t>Total Years in Company</t>
  </si>
  <si>
    <t>2018-02-18</t>
  </si>
  <si>
    <t>2019-01-21</t>
  </si>
  <si>
    <t>2019-01-01</t>
  </si>
  <si>
    <t>2023-05-23</t>
  </si>
  <si>
    <t>2023-06-17</t>
  </si>
  <si>
    <t>2022-06-09</t>
  </si>
  <si>
    <t>2022-03-18</t>
  </si>
  <si>
    <t>2021-06-29</t>
  </si>
  <si>
    <t>2021-11-01</t>
  </si>
  <si>
    <t>2022-07-02</t>
  </si>
  <si>
    <t>Name of the Employee</t>
  </si>
  <si>
    <t>Last date of probation date</t>
  </si>
  <si>
    <t>Nikhil</t>
  </si>
  <si>
    <t>Rishi</t>
  </si>
  <si>
    <t>Reema</t>
  </si>
  <si>
    <t>Tanvi</t>
  </si>
  <si>
    <t>Ritika</t>
  </si>
  <si>
    <t>Karan</t>
  </si>
  <si>
    <t>Sameer</t>
  </si>
  <si>
    <t>Mehul</t>
  </si>
  <si>
    <t>Tushar</t>
  </si>
  <si>
    <t>Payal</t>
  </si>
  <si>
    <t>2021-06-19</t>
  </si>
  <si>
    <t>2023-04-16</t>
  </si>
  <si>
    <t>2018-12-07</t>
  </si>
  <si>
    <t>2019-05-15</t>
  </si>
  <si>
    <t>2023-01-13</t>
  </si>
  <si>
    <t>2019-08-13</t>
  </si>
  <si>
    <t>2019-04-15</t>
  </si>
  <si>
    <t>2019-05-17</t>
  </si>
  <si>
    <t>2020-11-12</t>
  </si>
  <si>
    <t>2019-03-29</t>
  </si>
  <si>
    <t>Current Date</t>
  </si>
  <si>
    <t>No of days in the company</t>
  </si>
  <si>
    <t>2025-07-22</t>
  </si>
  <si>
    <t>List of Holidays</t>
  </si>
  <si>
    <t>31-Jan-2021</t>
  </si>
  <si>
    <t>31-Mar-2021</t>
  </si>
  <si>
    <t>31-May-2021</t>
  </si>
  <si>
    <t>31-Jul-2021</t>
  </si>
  <si>
    <t>30-Sep-2021</t>
  </si>
  <si>
    <t>30-Nov-2021</t>
  </si>
  <si>
    <t>31-Jan-2022</t>
  </si>
  <si>
    <t>31-Mar-2022</t>
  </si>
  <si>
    <t>31-May-2022</t>
  </si>
  <si>
    <t>31-Jul-2022</t>
  </si>
  <si>
    <t>30-Sep-2022</t>
  </si>
  <si>
    <t>Start date</t>
  </si>
  <si>
    <t>Last working date</t>
  </si>
  <si>
    <t>No. of working days (Excl. Holidays)</t>
  </si>
  <si>
    <t>2021-01-01</t>
  </si>
  <si>
    <t>2022-12-31</t>
  </si>
  <si>
    <t>NewDate</t>
  </si>
  <si>
    <t>Dates</t>
  </si>
  <si>
    <t>End Of Month</t>
  </si>
  <si>
    <t>Number Format</t>
  </si>
  <si>
    <t>Day Name</t>
  </si>
  <si>
    <t>Date of joining</t>
  </si>
  <si>
    <t>Worked Till Today</t>
  </si>
  <si>
    <t>Quarter</t>
  </si>
  <si>
    <t>Answer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</si>
</sst>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F400]h:mm:ss\ AM/PM"/>
    <numFmt numFmtId="167" formatCode="yyyy\-mm\-dd;@"/>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6699"/>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2" borderId="3" xfId="0" applyFill="1" applyBorder="1"/>
    <xf numFmtId="0" fontId="0" fillId="2" borderId="4" xfId="0" applyFill="1" applyBorder="1"/>
    <xf numFmtId="0" fontId="1" fillId="3" borderId="1" xfId="0" applyFont="1" applyFill="1" applyBorder="1" applyAlignment="1">
      <alignment horizontal="center" vertical="top"/>
    </xf>
    <xf numFmtId="166" fontId="0" fillId="2" borderId="4" xfId="0" applyNumberFormat="1" applyFill="1" applyBorder="1"/>
    <xf numFmtId="167" fontId="0" fillId="2" borderId="4" xfId="0" applyNumberFormat="1" applyFill="1" applyBorder="1"/>
    <xf numFmtId="167" fontId="0" fillId="2" borderId="3" xfId="0" applyNumberFormat="1" applyFill="1" applyBorder="1"/>
    <xf numFmtId="0" fontId="0" fillId="2" borderId="1" xfId="0" applyFill="1" applyBorder="1"/>
    <xf numFmtId="14" fontId="0" fillId="2" borderId="3" xfId="0" applyNumberFormat="1" applyFill="1" applyBorder="1"/>
    <xf numFmtId="0" fontId="0" fillId="2" borderId="0" xfId="0" applyNumberFormat="1" applyFill="1"/>
    <xf numFmtId="1" fontId="0" fillId="0" borderId="0" xfId="0" applyNumberFormat="1"/>
    <xf numFmtId="1" fontId="0" fillId="2" borderId="0" xfId="0" applyNumberFormat="1" applyFill="1"/>
    <xf numFmtId="14" fontId="0" fillId="2" borderId="0" xfId="0" applyNumberFormat="1" applyFill="1"/>
  </cellXfs>
  <cellStyles count="1">
    <cellStyle name="Normal" xfId="0" builtinId="0"/>
  </cellStyles>
  <dxfs count="0"/>
  <tableStyles count="0" defaultTableStyle="TableStyleMedium9"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9</xdr:col>
      <xdr:colOff>396240</xdr:colOff>
      <xdr:row>1</xdr:row>
      <xdr:rowOff>53340</xdr:rowOff>
    </xdr:from>
    <xdr:to>
      <xdr:col>15</xdr:col>
      <xdr:colOff>190500</xdr:colOff>
      <xdr:row>11</xdr:row>
      <xdr:rowOff>0</xdr:rowOff>
    </xdr:to>
    <xdr:sp macro="" textlink="">
      <xdr:nvSpPr>
        <xdr:cNvPr id="3" name="Arrow: Left 2">
          <a:extLst>
            <a:ext uri="{FF2B5EF4-FFF2-40B4-BE49-F238E27FC236}">
              <a16:creationId xmlns:a16="http://schemas.microsoft.com/office/drawing/2014/main" id="{B488449C-F977-4E9A-915B-016D0316857E}"/>
            </a:ext>
          </a:extLst>
        </xdr:cNvPr>
        <xdr:cNvSpPr/>
      </xdr:nvSpPr>
      <xdr:spPr>
        <a:xfrm>
          <a:off x="5318760" y="236220"/>
          <a:ext cx="345186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j-lt"/>
              <a:ea typeface="+mn-ea"/>
              <a:cs typeface="+mn-cs"/>
            </a:rPr>
            <a:t>You are given the entry time of each employee in a time format (e.g., 7:21:17 AM). Your task is to separate this time into three parts: hours, minutes, and seconds.</a:t>
          </a:r>
          <a:r>
            <a:rPr lang="en-IN" b="1">
              <a:latin typeface="+mj-lt"/>
            </a:rPr>
            <a:t> </a:t>
          </a:r>
          <a:endParaRPr lang="en-IN" sz="1100" b="1">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99060</xdr:colOff>
      <xdr:row>1</xdr:row>
      <xdr:rowOff>76200</xdr:rowOff>
    </xdr:from>
    <xdr:to>
      <xdr:col>12</xdr:col>
      <xdr:colOff>502921</xdr:colOff>
      <xdr:row>12</xdr:row>
      <xdr:rowOff>121920</xdr:rowOff>
    </xdr:to>
    <xdr:sp macro="" textlink="">
      <xdr:nvSpPr>
        <xdr:cNvPr id="3" name="Arrow: Left 2">
          <a:extLst>
            <a:ext uri="{FF2B5EF4-FFF2-40B4-BE49-F238E27FC236}">
              <a16:creationId xmlns:a16="http://schemas.microsoft.com/office/drawing/2014/main" id="{E6A9DAAD-9CA3-497A-A2D6-C8E7771963BA}"/>
            </a:ext>
          </a:extLst>
        </xdr:cNvPr>
        <xdr:cNvSpPr/>
      </xdr:nvSpPr>
      <xdr:spPr>
        <a:xfrm>
          <a:off x="4777740" y="259080"/>
          <a:ext cx="3451861"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Each employee has an entry time and a leaving time. Calculate how </a:t>
          </a:r>
          <a:r>
            <a:rPr lang="en-IN">
              <a:latin typeface="+mj-lt"/>
            </a:rPr>
            <a:t>many</a:t>
          </a:r>
          <a:r>
            <a:rPr lang="en-IN"/>
            <a:t> hours they worked in total for the day. Make sure to subtract entry time from leaving time correctly, especially if the time crosses over from AM to PM.</a:t>
          </a:r>
          <a:endParaRPr lang="en-IN" sz="1100" b="1">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518160</xdr:colOff>
      <xdr:row>2</xdr:row>
      <xdr:rowOff>76200</xdr:rowOff>
    </xdr:from>
    <xdr:to>
      <xdr:col>15</xdr:col>
      <xdr:colOff>464820</xdr:colOff>
      <xdr:row>13</xdr:row>
      <xdr:rowOff>121920</xdr:rowOff>
    </xdr:to>
    <xdr:sp macro="" textlink="">
      <xdr:nvSpPr>
        <xdr:cNvPr id="2" name="Arrow: Left 1">
          <a:extLst>
            <a:ext uri="{FF2B5EF4-FFF2-40B4-BE49-F238E27FC236}">
              <a16:creationId xmlns:a16="http://schemas.microsoft.com/office/drawing/2014/main" id="{4B6C2901-837C-42FD-A9C5-C1A674F76AA5}"/>
            </a:ext>
          </a:extLst>
        </xdr:cNvPr>
        <xdr:cNvSpPr/>
      </xdr:nvSpPr>
      <xdr:spPr>
        <a:xfrm>
          <a:off x="5394960" y="25908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date each employee joined the company. Use Excel functions to extract the day (e.g., 01), month (e.g., 02), and year (e.g., 2022) from this date. Then, calculate how many full years they have completed in the company as of today.</a:t>
          </a:r>
          <a:endParaRPr lang="en-IN" sz="1100" b="1">
            <a:latin typeface="+mj-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518160</xdr:colOff>
      <xdr:row>1</xdr:row>
      <xdr:rowOff>38100</xdr:rowOff>
    </xdr:from>
    <xdr:to>
      <xdr:col>11</xdr:col>
      <xdr:colOff>464820</xdr:colOff>
      <xdr:row>12</xdr:row>
      <xdr:rowOff>83820</xdr:rowOff>
    </xdr:to>
    <xdr:sp macro="" textlink="">
      <xdr:nvSpPr>
        <xdr:cNvPr id="2" name="Arrow: Left 1">
          <a:extLst>
            <a:ext uri="{FF2B5EF4-FFF2-40B4-BE49-F238E27FC236}">
              <a16:creationId xmlns:a16="http://schemas.microsoft.com/office/drawing/2014/main" id="{93DA2C18-2332-4132-9BA2-48B59C9A6521}"/>
            </a:ext>
          </a:extLst>
        </xdr:cNvPr>
        <xdr:cNvSpPr/>
      </xdr:nvSpPr>
      <xdr:spPr>
        <a:xfrm>
          <a:off x="5722620" y="22098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Every employee has a probation period of 3 months starting from their joining date. Use an Excel formula to calculate the date when their probation ends by adding 3 months to their date of joining.</a:t>
          </a:r>
          <a:endParaRPr lang="en-IN" sz="1100" b="1">
            <a:latin typeface="+mj-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266700</xdr:colOff>
      <xdr:row>1</xdr:row>
      <xdr:rowOff>144780</xdr:rowOff>
    </xdr:from>
    <xdr:to>
      <xdr:col>13</xdr:col>
      <xdr:colOff>419100</xdr:colOff>
      <xdr:row>10</xdr:row>
      <xdr:rowOff>68580</xdr:rowOff>
    </xdr:to>
    <xdr:sp macro="" textlink="">
      <xdr:nvSpPr>
        <xdr:cNvPr id="2" name="Arrow: Left 1">
          <a:extLst>
            <a:ext uri="{FF2B5EF4-FFF2-40B4-BE49-F238E27FC236}">
              <a16:creationId xmlns:a16="http://schemas.microsoft.com/office/drawing/2014/main" id="{8FE89F82-F6EA-44D3-8F35-74F2EAF8B1B2}"/>
            </a:ext>
          </a:extLst>
        </xdr:cNvPr>
        <xdr:cNvSpPr/>
      </xdr:nvSpPr>
      <xdr:spPr>
        <a:xfrm>
          <a:off x="7909560" y="32766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in the company using Excel.</a:t>
          </a:r>
          <a:endParaRPr lang="en-IN" sz="1100" b="1">
            <a:latin typeface="+mj-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5</xdr:row>
      <xdr:rowOff>0</xdr:rowOff>
    </xdr:from>
    <xdr:to>
      <xdr:col>9</xdr:col>
      <xdr:colOff>563880</xdr:colOff>
      <xdr:row>13</xdr:row>
      <xdr:rowOff>106680</xdr:rowOff>
    </xdr:to>
    <xdr:sp macro="" textlink="">
      <xdr:nvSpPr>
        <xdr:cNvPr id="2" name="Arrow: Left 1">
          <a:extLst>
            <a:ext uri="{FF2B5EF4-FFF2-40B4-BE49-F238E27FC236}">
              <a16:creationId xmlns:a16="http://schemas.microsoft.com/office/drawing/2014/main" id="{B54714A7-9B60-4192-950A-84D1E088227B}"/>
            </a:ext>
          </a:extLst>
        </xdr:cNvPr>
        <xdr:cNvSpPr/>
      </xdr:nvSpPr>
      <xdr:spPr>
        <a:xfrm>
          <a:off x="3360420" y="91440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example, 29-Feb-2020 should become "February - 2020"). Use the appropriate function in Excel to format the date this way.</a:t>
          </a:r>
          <a:endParaRPr lang="en-IN" sz="1100" b="1">
            <a:latin typeface="+mj-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480060</xdr:colOff>
      <xdr:row>1</xdr:row>
      <xdr:rowOff>175260</xdr:rowOff>
    </xdr:from>
    <xdr:to>
      <xdr:col>16</xdr:col>
      <xdr:colOff>144780</xdr:colOff>
      <xdr:row>14</xdr:row>
      <xdr:rowOff>83820</xdr:rowOff>
    </xdr:to>
    <xdr:sp macro="" textlink="">
      <xdr:nvSpPr>
        <xdr:cNvPr id="2" name="Arrow: Left 1">
          <a:extLst>
            <a:ext uri="{FF2B5EF4-FFF2-40B4-BE49-F238E27FC236}">
              <a16:creationId xmlns:a16="http://schemas.microsoft.com/office/drawing/2014/main" id="{E6565DF1-2E98-4590-8A84-494B9E0DE258}"/>
            </a:ext>
          </a:extLst>
        </xdr:cNvPr>
        <xdr:cNvSpPr/>
      </xdr:nvSpPr>
      <xdr:spPr>
        <a:xfrm>
          <a:off x="7101840" y="358140"/>
          <a:ext cx="5318760" cy="22860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You are provided a start date, an end date, and a list of holidays. Use the Appropriate function of Excel to calculate how many working days are there between those two dates, excluding weekends and the given holidays. the company using Excel.</a:t>
          </a:r>
          <a:endParaRPr lang="en-IN" sz="1100" b="1">
            <a:latin typeface="+mj-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510540</xdr:colOff>
      <xdr:row>2</xdr:row>
      <xdr:rowOff>15240</xdr:rowOff>
    </xdr:from>
    <xdr:to>
      <xdr:col>13</xdr:col>
      <xdr:colOff>121920</xdr:colOff>
      <xdr:row>12</xdr:row>
      <xdr:rowOff>83820</xdr:rowOff>
    </xdr:to>
    <xdr:sp macro="" textlink="">
      <xdr:nvSpPr>
        <xdr:cNvPr id="2" name="Arrow: Left 1">
          <a:extLst>
            <a:ext uri="{FF2B5EF4-FFF2-40B4-BE49-F238E27FC236}">
              <a16:creationId xmlns:a16="http://schemas.microsoft.com/office/drawing/2014/main" id="{D6FF89BB-B1AB-4C17-968D-5C80135C14CD}"/>
            </a:ext>
          </a:extLst>
        </xdr:cNvPr>
        <xdr:cNvSpPr/>
      </xdr:nvSpPr>
      <xdr:spPr>
        <a:xfrm>
          <a:off x="3810000" y="381000"/>
          <a:ext cx="5097780" cy="189738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For each date, find the name of the weekday it falls on (e.g., Monday, Tuesday). Also, calculate the last date of that month using Excel. You can use the appropriate functions for this., 29-Feb-2020 should become "February - 2020"). Use the appropriate function in Excel to format the date this way.</a:t>
          </a:r>
          <a:endParaRPr lang="en-IN" sz="1100" b="1">
            <a:latin typeface="+mj-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3</xdr:row>
      <xdr:rowOff>0</xdr:rowOff>
    </xdr:from>
    <xdr:to>
      <xdr:col>13</xdr:col>
      <xdr:colOff>320040</xdr:colOff>
      <xdr:row>12</xdr:row>
      <xdr:rowOff>129540</xdr:rowOff>
    </xdr:to>
    <xdr:sp macro="" textlink="">
      <xdr:nvSpPr>
        <xdr:cNvPr id="2" name="Arrow: Left 1">
          <a:extLst>
            <a:ext uri="{FF2B5EF4-FFF2-40B4-BE49-F238E27FC236}">
              <a16:creationId xmlns:a16="http://schemas.microsoft.com/office/drawing/2014/main" id="{7ED3E836-E4A4-481D-8FD6-F6C1DE568877}"/>
            </a:ext>
          </a:extLst>
        </xdr:cNvPr>
        <xdr:cNvSpPr/>
      </xdr:nvSpPr>
      <xdr:spPr>
        <a:xfrm>
          <a:off x="4876800" y="548640"/>
          <a:ext cx="336804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Use the employee's joining date to find out what day of the week they joined (e.g., Monday, Friday). Use the appropriate function to return the weekday name from the date.</a:t>
          </a:r>
          <a:endParaRPr lang="en-IN" sz="1100" b="1">
            <a:latin typeface="+mj-l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121920</xdr:colOff>
      <xdr:row>0</xdr:row>
      <xdr:rowOff>76200</xdr:rowOff>
    </xdr:from>
    <xdr:to>
      <xdr:col>14</xdr:col>
      <xdr:colOff>586740</xdr:colOff>
      <xdr:row>10</xdr:row>
      <xdr:rowOff>22860</xdr:rowOff>
    </xdr:to>
    <xdr:sp macro="" textlink="">
      <xdr:nvSpPr>
        <xdr:cNvPr id="2" name="Arrow: Left 1">
          <a:extLst>
            <a:ext uri="{FF2B5EF4-FFF2-40B4-BE49-F238E27FC236}">
              <a16:creationId xmlns:a16="http://schemas.microsoft.com/office/drawing/2014/main" id="{C05D1436-9065-4F4D-83BC-F5DACD728219}"/>
            </a:ext>
          </a:extLst>
        </xdr:cNvPr>
        <xdr:cNvSpPr/>
      </xdr:nvSpPr>
      <xdr:spPr>
        <a:xfrm>
          <a:off x="4998720" y="76200"/>
          <a:ext cx="41224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employee, calculate how many days they have worked in the company from their joining date till today. Also, find out in which quarter (Q1, Q2, Q3, or Q4) of the year they joined, based on their joining month.</a:t>
          </a:r>
          <a:endParaRPr lang="en-IN" sz="1100" b="1">
            <a:latin typeface="+mj-l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workbookViewId="0">
      <selection activeCell="H15" sqref="H15"/>
    </sheetView>
  </sheetViews>
  <sheetFormatPr defaultRowHeight="14.4" x14ac:dyDescent="0.3"/>
  <cols>
    <col min="2" max="2" width="6.6640625" bestFit="1" customWidth="1"/>
    <col min="3" max="3" width="6.88671875" bestFit="1" customWidth="1"/>
    <col min="4" max="4" width="11.33203125" bestFit="1" customWidth="1"/>
    <col min="5" max="5" width="5.109375" bestFit="1" customWidth="1"/>
    <col min="6" max="6" width="7.88671875" bestFit="1" customWidth="1"/>
    <col min="7" max="7" width="7.21875" bestFit="1" customWidth="1"/>
  </cols>
  <sheetData>
    <row r="2" spans="2:7" x14ac:dyDescent="0.3">
      <c r="B2" s="15" t="s">
        <v>0</v>
      </c>
      <c r="C2" s="15" t="s">
        <v>1</v>
      </c>
      <c r="D2" s="15" t="s">
        <v>2</v>
      </c>
      <c r="E2" s="15" t="s">
        <v>3</v>
      </c>
      <c r="F2" s="15" t="s">
        <v>4</v>
      </c>
      <c r="G2" s="15" t="s">
        <v>5</v>
      </c>
    </row>
    <row r="3" spans="2:7" x14ac:dyDescent="0.3">
      <c r="B3" s="2" t="s">
        <v>6</v>
      </c>
      <c r="C3" s="3" t="s">
        <v>16</v>
      </c>
      <c r="D3" s="3" t="s">
        <v>26</v>
      </c>
      <c r="E3" s="13">
        <f>HOUR(D3)</f>
        <v>6</v>
      </c>
      <c r="F3" s="13">
        <f>MINUTE(D3)</f>
        <v>16</v>
      </c>
      <c r="G3" s="14">
        <f>SECOND(D3)</f>
        <v>28</v>
      </c>
    </row>
    <row r="4" spans="2:7" x14ac:dyDescent="0.3">
      <c r="B4" s="5" t="s">
        <v>7</v>
      </c>
      <c r="C4" t="s">
        <v>17</v>
      </c>
      <c r="D4" t="s">
        <v>27</v>
      </c>
      <c r="E4" s="13">
        <f t="shared" ref="E4:E12" si="0">HOUR(D4)</f>
        <v>9</v>
      </c>
      <c r="F4" s="13">
        <f t="shared" ref="F4:F12" si="1">MINUTE(D4)</f>
        <v>49</v>
      </c>
      <c r="G4" s="14">
        <f t="shared" ref="G4:G12" si="2">SECOND(D4)</f>
        <v>5</v>
      </c>
    </row>
    <row r="5" spans="2:7" x14ac:dyDescent="0.3">
      <c r="B5" s="5" t="s">
        <v>8</v>
      </c>
      <c r="C5" t="s">
        <v>18</v>
      </c>
      <c r="D5" t="s">
        <v>28</v>
      </c>
      <c r="E5" s="13">
        <f t="shared" si="0"/>
        <v>9</v>
      </c>
      <c r="F5" s="13">
        <f t="shared" si="1"/>
        <v>2</v>
      </c>
      <c r="G5" s="14">
        <f t="shared" si="2"/>
        <v>56</v>
      </c>
    </row>
    <row r="6" spans="2:7" x14ac:dyDescent="0.3">
      <c r="B6" s="5" t="s">
        <v>9</v>
      </c>
      <c r="C6" t="s">
        <v>19</v>
      </c>
      <c r="D6" t="s">
        <v>29</v>
      </c>
      <c r="E6" s="13">
        <f t="shared" si="0"/>
        <v>11</v>
      </c>
      <c r="F6" s="13">
        <f t="shared" si="1"/>
        <v>18</v>
      </c>
      <c r="G6" s="14">
        <f t="shared" si="2"/>
        <v>42</v>
      </c>
    </row>
    <row r="7" spans="2:7" x14ac:dyDescent="0.3">
      <c r="B7" s="5" t="s">
        <v>10</v>
      </c>
      <c r="C7" t="s">
        <v>20</v>
      </c>
      <c r="D7" t="s">
        <v>30</v>
      </c>
      <c r="E7" s="13">
        <f t="shared" si="0"/>
        <v>6</v>
      </c>
      <c r="F7" s="13">
        <f t="shared" si="1"/>
        <v>7</v>
      </c>
      <c r="G7" s="14">
        <f t="shared" si="2"/>
        <v>29</v>
      </c>
    </row>
    <row r="8" spans="2:7" x14ac:dyDescent="0.3">
      <c r="B8" s="5" t="s">
        <v>11</v>
      </c>
      <c r="C8" t="s">
        <v>21</v>
      </c>
      <c r="D8" t="s">
        <v>31</v>
      </c>
      <c r="E8" s="13">
        <f t="shared" si="0"/>
        <v>11</v>
      </c>
      <c r="F8" s="13">
        <f t="shared" si="1"/>
        <v>55</v>
      </c>
      <c r="G8" s="14">
        <f t="shared" si="2"/>
        <v>59</v>
      </c>
    </row>
    <row r="9" spans="2:7" x14ac:dyDescent="0.3">
      <c r="B9" s="5" t="s">
        <v>12</v>
      </c>
      <c r="C9" t="s">
        <v>22</v>
      </c>
      <c r="D9" t="s">
        <v>32</v>
      </c>
      <c r="E9" s="13">
        <f t="shared" si="0"/>
        <v>6</v>
      </c>
      <c r="F9" s="13">
        <f t="shared" si="1"/>
        <v>20</v>
      </c>
      <c r="G9" s="14">
        <f t="shared" si="2"/>
        <v>24</v>
      </c>
    </row>
    <row r="10" spans="2:7" x14ac:dyDescent="0.3">
      <c r="B10" s="5" t="s">
        <v>13</v>
      </c>
      <c r="C10" t="s">
        <v>23</v>
      </c>
      <c r="D10" t="s">
        <v>33</v>
      </c>
      <c r="E10" s="13">
        <f t="shared" si="0"/>
        <v>9</v>
      </c>
      <c r="F10" s="13">
        <f t="shared" si="1"/>
        <v>37</v>
      </c>
      <c r="G10" s="14">
        <f t="shared" si="2"/>
        <v>42</v>
      </c>
    </row>
    <row r="11" spans="2:7" x14ac:dyDescent="0.3">
      <c r="B11" s="5" t="s">
        <v>14</v>
      </c>
      <c r="C11" t="s">
        <v>24</v>
      </c>
      <c r="D11" t="s">
        <v>34</v>
      </c>
      <c r="E11" s="13">
        <f t="shared" si="0"/>
        <v>8</v>
      </c>
      <c r="F11" s="13">
        <f t="shared" si="1"/>
        <v>24</v>
      </c>
      <c r="G11" s="14">
        <f t="shared" si="2"/>
        <v>34</v>
      </c>
    </row>
    <row r="12" spans="2:7" x14ac:dyDescent="0.3">
      <c r="B12" s="6" t="s">
        <v>15</v>
      </c>
      <c r="C12" s="7" t="s">
        <v>25</v>
      </c>
      <c r="D12" s="7" t="s">
        <v>35</v>
      </c>
      <c r="E12" s="13">
        <f t="shared" si="0"/>
        <v>10</v>
      </c>
      <c r="F12" s="13">
        <f t="shared" si="1"/>
        <v>17</v>
      </c>
      <c r="G12" s="14">
        <f t="shared" si="2"/>
        <v>44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2"/>
  <sheetViews>
    <sheetView workbookViewId="0">
      <selection activeCell="E16" sqref="E16"/>
    </sheetView>
  </sheetViews>
  <sheetFormatPr defaultRowHeight="14.4" x14ac:dyDescent="0.3"/>
  <cols>
    <col min="2" max="2" width="6.6640625" bestFit="1" customWidth="1"/>
    <col min="3" max="3" width="6.88671875" bestFit="1" customWidth="1"/>
    <col min="4" max="4" width="11.33203125" bestFit="1" customWidth="1"/>
    <col min="5" max="5" width="12" bestFit="1" customWidth="1"/>
    <col min="6" max="6" width="13.5546875" bestFit="1" customWidth="1"/>
  </cols>
  <sheetData>
    <row r="2" spans="2:6" x14ac:dyDescent="0.3">
      <c r="B2" s="15" t="s">
        <v>0</v>
      </c>
      <c r="C2" s="15" t="s">
        <v>1</v>
      </c>
      <c r="D2" s="15" t="s">
        <v>2</v>
      </c>
      <c r="E2" s="15" t="s">
        <v>36</v>
      </c>
      <c r="F2" s="15" t="s">
        <v>37</v>
      </c>
    </row>
    <row r="3" spans="2:6" x14ac:dyDescent="0.3">
      <c r="B3" s="2" t="s">
        <v>6</v>
      </c>
      <c r="C3" s="3" t="s">
        <v>16</v>
      </c>
      <c r="D3" s="3" t="s">
        <v>38</v>
      </c>
      <c r="E3" s="3" t="s">
        <v>48</v>
      </c>
      <c r="F3" s="16">
        <f>E3-D3</f>
        <v>0.17128472222222219</v>
      </c>
    </row>
    <row r="4" spans="2:6" x14ac:dyDescent="0.3">
      <c r="B4" s="5" t="s">
        <v>7</v>
      </c>
      <c r="C4" t="s">
        <v>17</v>
      </c>
      <c r="D4" t="s">
        <v>39</v>
      </c>
      <c r="E4" t="s">
        <v>49</v>
      </c>
      <c r="F4" s="16">
        <f t="shared" ref="F4:F12" si="0">E4-D4</f>
        <v>0.42085648148148147</v>
      </c>
    </row>
    <row r="5" spans="2:6" x14ac:dyDescent="0.3">
      <c r="B5" s="5" t="s">
        <v>8</v>
      </c>
      <c r="C5" t="s">
        <v>18</v>
      </c>
      <c r="D5" t="s">
        <v>40</v>
      </c>
      <c r="E5" t="s">
        <v>50</v>
      </c>
      <c r="F5" s="16">
        <f t="shared" si="0"/>
        <v>0.47479166666666667</v>
      </c>
    </row>
    <row r="6" spans="2:6" x14ac:dyDescent="0.3">
      <c r="B6" s="5" t="s">
        <v>9</v>
      </c>
      <c r="C6" t="s">
        <v>19</v>
      </c>
      <c r="D6" t="s">
        <v>41</v>
      </c>
      <c r="E6" t="s">
        <v>51</v>
      </c>
      <c r="F6" s="16">
        <f t="shared" si="0"/>
        <v>0.26780092592592597</v>
      </c>
    </row>
    <row r="7" spans="2:6" x14ac:dyDescent="0.3">
      <c r="B7" s="5" t="s">
        <v>10</v>
      </c>
      <c r="C7" t="s">
        <v>20</v>
      </c>
      <c r="D7" t="s">
        <v>42</v>
      </c>
      <c r="E7" t="s">
        <v>52</v>
      </c>
      <c r="F7" s="16">
        <f t="shared" si="0"/>
        <v>0.23322916666666665</v>
      </c>
    </row>
    <row r="8" spans="2:6" x14ac:dyDescent="0.3">
      <c r="B8" s="5" t="s">
        <v>11</v>
      </c>
      <c r="C8" t="s">
        <v>21</v>
      </c>
      <c r="D8" t="s">
        <v>43</v>
      </c>
      <c r="E8" t="s">
        <v>53</v>
      </c>
      <c r="F8" s="16">
        <f t="shared" si="0"/>
        <v>0.37925925925925924</v>
      </c>
    </row>
    <row r="9" spans="2:6" x14ac:dyDescent="0.3">
      <c r="B9" s="5" t="s">
        <v>12</v>
      </c>
      <c r="C9" t="s">
        <v>22</v>
      </c>
      <c r="D9" t="s">
        <v>44</v>
      </c>
      <c r="E9" t="s">
        <v>54</v>
      </c>
      <c r="F9" s="16">
        <f t="shared" si="0"/>
        <v>0.41751157407407408</v>
      </c>
    </row>
    <row r="10" spans="2:6" x14ac:dyDescent="0.3">
      <c r="B10" s="5" t="s">
        <v>13</v>
      </c>
      <c r="C10" t="s">
        <v>23</v>
      </c>
      <c r="D10" t="s">
        <v>45</v>
      </c>
      <c r="E10" t="s">
        <v>55</v>
      </c>
      <c r="F10" s="16">
        <f t="shared" si="0"/>
        <v>0.46468750000000003</v>
      </c>
    </row>
    <row r="11" spans="2:6" x14ac:dyDescent="0.3">
      <c r="B11" s="5" t="s">
        <v>14</v>
      </c>
      <c r="C11" t="s">
        <v>24</v>
      </c>
      <c r="D11" t="s">
        <v>46</v>
      </c>
      <c r="E11" t="s">
        <v>56</v>
      </c>
      <c r="F11" s="16">
        <f t="shared" si="0"/>
        <v>0.1084606481481481</v>
      </c>
    </row>
    <row r="12" spans="2:6" x14ac:dyDescent="0.3">
      <c r="B12" s="6" t="s">
        <v>15</v>
      </c>
      <c r="C12" s="7" t="s">
        <v>25</v>
      </c>
      <c r="D12" s="7" t="s">
        <v>47</v>
      </c>
      <c r="E12" s="7" t="s">
        <v>57</v>
      </c>
      <c r="F12" s="16">
        <f t="shared" si="0"/>
        <v>0.27062499999999995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12"/>
  <sheetViews>
    <sheetView workbookViewId="0">
      <selection activeCell="H19" sqref="H19"/>
    </sheetView>
  </sheetViews>
  <sheetFormatPr defaultRowHeight="14.4" x14ac:dyDescent="0.3"/>
  <cols>
    <col min="2" max="2" width="6.6640625" bestFit="1" customWidth="1"/>
    <col min="3" max="3" width="6.88671875" bestFit="1" customWidth="1"/>
    <col min="4" max="4" width="13.5546875" bestFit="1" customWidth="1"/>
    <col min="5" max="5" width="4.21875" bestFit="1" customWidth="1"/>
    <col min="6" max="6" width="6.77734375" bestFit="1" customWidth="1"/>
    <col min="7" max="7" width="5" bestFit="1" customWidth="1"/>
    <col min="8" max="8" width="20.88671875" bestFit="1" customWidth="1"/>
  </cols>
  <sheetData>
    <row r="2" spans="2:8" x14ac:dyDescent="0.3">
      <c r="B2" s="15" t="s">
        <v>0</v>
      </c>
      <c r="C2" s="15" t="s">
        <v>1</v>
      </c>
      <c r="D2" s="15" t="s">
        <v>58</v>
      </c>
      <c r="E2" s="15" t="s">
        <v>59</v>
      </c>
      <c r="F2" s="15" t="s">
        <v>60</v>
      </c>
      <c r="G2" s="15" t="s">
        <v>61</v>
      </c>
      <c r="H2" s="15" t="s">
        <v>62</v>
      </c>
    </row>
    <row r="3" spans="2:8" x14ac:dyDescent="0.3">
      <c r="B3" s="2" t="s">
        <v>6</v>
      </c>
      <c r="C3" s="3" t="s">
        <v>16</v>
      </c>
      <c r="D3" s="3" t="s">
        <v>63</v>
      </c>
      <c r="E3" s="13">
        <f>DAY(D3)</f>
        <v>18</v>
      </c>
      <c r="F3" s="13">
        <f>MONTH(D3)</f>
        <v>2</v>
      </c>
      <c r="G3" s="13">
        <f>YEAR(D3)</f>
        <v>2018</v>
      </c>
      <c r="H3" s="14">
        <f ca="1">YEAR(TODAY())-YEAR(D3)</f>
        <v>8</v>
      </c>
    </row>
    <row r="4" spans="2:8" x14ac:dyDescent="0.3">
      <c r="B4" s="5" t="s">
        <v>7</v>
      </c>
      <c r="C4" t="s">
        <v>17</v>
      </c>
      <c r="D4" t="s">
        <v>64</v>
      </c>
      <c r="E4" s="13">
        <f t="shared" ref="E4:E12" si="0">DAY(D4)</f>
        <v>21</v>
      </c>
      <c r="F4" s="13">
        <f t="shared" ref="F4:F12" si="1">MONTH(D4)</f>
        <v>1</v>
      </c>
      <c r="G4" s="13">
        <f t="shared" ref="G4:G12" si="2">YEAR(D4)</f>
        <v>2019</v>
      </c>
      <c r="H4" s="14">
        <f t="shared" ref="H4:H12" ca="1" si="3">YEAR(TODAY())-YEAR(D4)</f>
        <v>7</v>
      </c>
    </row>
    <row r="5" spans="2:8" x14ac:dyDescent="0.3">
      <c r="B5" s="5" t="s">
        <v>8</v>
      </c>
      <c r="C5" t="s">
        <v>18</v>
      </c>
      <c r="D5" t="s">
        <v>65</v>
      </c>
      <c r="E5" s="13">
        <f t="shared" si="0"/>
        <v>1</v>
      </c>
      <c r="F5" s="13">
        <f t="shared" si="1"/>
        <v>1</v>
      </c>
      <c r="G5" s="13">
        <f t="shared" si="2"/>
        <v>2019</v>
      </c>
      <c r="H5" s="14">
        <f t="shared" ca="1" si="3"/>
        <v>7</v>
      </c>
    </row>
    <row r="6" spans="2:8" x14ac:dyDescent="0.3">
      <c r="B6" s="5" t="s">
        <v>9</v>
      </c>
      <c r="C6" t="s">
        <v>19</v>
      </c>
      <c r="D6" t="s">
        <v>66</v>
      </c>
      <c r="E6" s="13">
        <f t="shared" si="0"/>
        <v>23</v>
      </c>
      <c r="F6" s="13">
        <f t="shared" si="1"/>
        <v>5</v>
      </c>
      <c r="G6" s="13">
        <f t="shared" si="2"/>
        <v>2023</v>
      </c>
      <c r="H6" s="14">
        <f t="shared" ca="1" si="3"/>
        <v>3</v>
      </c>
    </row>
    <row r="7" spans="2:8" x14ac:dyDescent="0.3">
      <c r="B7" s="5" t="s">
        <v>10</v>
      </c>
      <c r="C7" t="s">
        <v>20</v>
      </c>
      <c r="D7" t="s">
        <v>67</v>
      </c>
      <c r="E7" s="13">
        <f t="shared" si="0"/>
        <v>17</v>
      </c>
      <c r="F7" s="13">
        <f t="shared" si="1"/>
        <v>6</v>
      </c>
      <c r="G7" s="13">
        <f t="shared" si="2"/>
        <v>2023</v>
      </c>
      <c r="H7" s="14">
        <f t="shared" ca="1" si="3"/>
        <v>3</v>
      </c>
    </row>
    <row r="8" spans="2:8" x14ac:dyDescent="0.3">
      <c r="B8" s="5" t="s">
        <v>11</v>
      </c>
      <c r="C8" t="s">
        <v>21</v>
      </c>
      <c r="D8" t="s">
        <v>68</v>
      </c>
      <c r="E8" s="13">
        <f t="shared" si="0"/>
        <v>9</v>
      </c>
      <c r="F8" s="13">
        <f t="shared" si="1"/>
        <v>6</v>
      </c>
      <c r="G8" s="13">
        <f t="shared" si="2"/>
        <v>2022</v>
      </c>
      <c r="H8" s="14">
        <f t="shared" ca="1" si="3"/>
        <v>4</v>
      </c>
    </row>
    <row r="9" spans="2:8" x14ac:dyDescent="0.3">
      <c r="B9" s="5" t="s">
        <v>12</v>
      </c>
      <c r="C9" t="s">
        <v>22</v>
      </c>
      <c r="D9" t="s">
        <v>69</v>
      </c>
      <c r="E9" s="13">
        <f t="shared" si="0"/>
        <v>18</v>
      </c>
      <c r="F9" s="13">
        <f t="shared" si="1"/>
        <v>3</v>
      </c>
      <c r="G9" s="13">
        <f t="shared" si="2"/>
        <v>2022</v>
      </c>
      <c r="H9" s="14">
        <f t="shared" ca="1" si="3"/>
        <v>4</v>
      </c>
    </row>
    <row r="10" spans="2:8" x14ac:dyDescent="0.3">
      <c r="B10" s="5" t="s">
        <v>13</v>
      </c>
      <c r="C10" t="s">
        <v>23</v>
      </c>
      <c r="D10" t="s">
        <v>70</v>
      </c>
      <c r="E10" s="13">
        <f t="shared" si="0"/>
        <v>29</v>
      </c>
      <c r="F10" s="13">
        <f t="shared" si="1"/>
        <v>6</v>
      </c>
      <c r="G10" s="13">
        <f t="shared" si="2"/>
        <v>2021</v>
      </c>
      <c r="H10" s="14">
        <f t="shared" ca="1" si="3"/>
        <v>5</v>
      </c>
    </row>
    <row r="11" spans="2:8" x14ac:dyDescent="0.3">
      <c r="B11" s="5" t="s">
        <v>14</v>
      </c>
      <c r="C11" t="s">
        <v>24</v>
      </c>
      <c r="D11" t="s">
        <v>71</v>
      </c>
      <c r="E11" s="13">
        <f t="shared" si="0"/>
        <v>1</v>
      </c>
      <c r="F11" s="13">
        <f t="shared" si="1"/>
        <v>11</v>
      </c>
      <c r="G11" s="13">
        <f t="shared" si="2"/>
        <v>2021</v>
      </c>
      <c r="H11" s="14">
        <f t="shared" ca="1" si="3"/>
        <v>5</v>
      </c>
    </row>
    <row r="12" spans="2:8" x14ac:dyDescent="0.3">
      <c r="B12" s="6" t="s">
        <v>15</v>
      </c>
      <c r="C12" s="7" t="s">
        <v>25</v>
      </c>
      <c r="D12" s="7" t="s">
        <v>72</v>
      </c>
      <c r="E12" s="13">
        <f t="shared" si="0"/>
        <v>2</v>
      </c>
      <c r="F12" s="13">
        <f t="shared" si="1"/>
        <v>7</v>
      </c>
      <c r="G12" s="13">
        <f t="shared" si="2"/>
        <v>2022</v>
      </c>
      <c r="H12" s="14">
        <f t="shared" ca="1" si="3"/>
        <v>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12"/>
  <sheetViews>
    <sheetView workbookViewId="0">
      <selection activeCell="D21" sqref="D21"/>
    </sheetView>
  </sheetViews>
  <sheetFormatPr defaultRowHeight="14.4" x14ac:dyDescent="0.3"/>
  <cols>
    <col min="2" max="2" width="20.44140625" bestFit="1" customWidth="1"/>
    <col min="3" max="3" width="13.5546875" bestFit="1" customWidth="1"/>
    <col min="4" max="4" width="24.109375" bestFit="1" customWidth="1"/>
  </cols>
  <sheetData>
    <row r="2" spans="2:4" x14ac:dyDescent="0.3">
      <c r="B2" s="15" t="s">
        <v>73</v>
      </c>
      <c r="C2" s="15" t="s">
        <v>58</v>
      </c>
      <c r="D2" s="15" t="s">
        <v>74</v>
      </c>
    </row>
    <row r="3" spans="2:4" x14ac:dyDescent="0.3">
      <c r="B3" s="2" t="s">
        <v>75</v>
      </c>
      <c r="C3" s="3" t="s">
        <v>85</v>
      </c>
      <c r="D3" s="17">
        <f>EOMONTH(C3,3)</f>
        <v>44469</v>
      </c>
    </row>
    <row r="4" spans="2:4" x14ac:dyDescent="0.3">
      <c r="B4" s="5" t="s">
        <v>76</v>
      </c>
      <c r="C4" t="s">
        <v>86</v>
      </c>
      <c r="D4" s="17">
        <f t="shared" ref="D4:D12" si="0">EOMONTH(C4,3)</f>
        <v>45138</v>
      </c>
    </row>
    <row r="5" spans="2:4" x14ac:dyDescent="0.3">
      <c r="B5" s="5" t="s">
        <v>77</v>
      </c>
      <c r="C5" t="s">
        <v>87</v>
      </c>
      <c r="D5" s="17">
        <f t="shared" si="0"/>
        <v>43555</v>
      </c>
    </row>
    <row r="6" spans="2:4" x14ac:dyDescent="0.3">
      <c r="B6" s="5" t="s">
        <v>78</v>
      </c>
      <c r="C6" t="s">
        <v>88</v>
      </c>
      <c r="D6" s="17">
        <f t="shared" si="0"/>
        <v>43708</v>
      </c>
    </row>
    <row r="7" spans="2:4" x14ac:dyDescent="0.3">
      <c r="B7" s="5" t="s">
        <v>79</v>
      </c>
      <c r="C7" t="s">
        <v>89</v>
      </c>
      <c r="D7" s="17">
        <f t="shared" si="0"/>
        <v>45046</v>
      </c>
    </row>
    <row r="8" spans="2:4" x14ac:dyDescent="0.3">
      <c r="B8" s="5" t="s">
        <v>80</v>
      </c>
      <c r="C8" t="s">
        <v>90</v>
      </c>
      <c r="D8" s="17">
        <f t="shared" si="0"/>
        <v>43799</v>
      </c>
    </row>
    <row r="9" spans="2:4" x14ac:dyDescent="0.3">
      <c r="B9" s="5" t="s">
        <v>81</v>
      </c>
      <c r="C9" t="s">
        <v>91</v>
      </c>
      <c r="D9" s="17">
        <f t="shared" si="0"/>
        <v>43677</v>
      </c>
    </row>
    <row r="10" spans="2:4" x14ac:dyDescent="0.3">
      <c r="B10" s="5" t="s">
        <v>82</v>
      </c>
      <c r="C10" t="s">
        <v>92</v>
      </c>
      <c r="D10" s="17">
        <f t="shared" si="0"/>
        <v>43708</v>
      </c>
    </row>
    <row r="11" spans="2:4" x14ac:dyDescent="0.3">
      <c r="B11" s="5" t="s">
        <v>83</v>
      </c>
      <c r="C11" t="s">
        <v>93</v>
      </c>
      <c r="D11" s="17">
        <f t="shared" si="0"/>
        <v>44255</v>
      </c>
    </row>
    <row r="12" spans="2:4" x14ac:dyDescent="0.3">
      <c r="B12" s="6" t="s">
        <v>84</v>
      </c>
      <c r="C12" s="7" t="s">
        <v>94</v>
      </c>
      <c r="D12" s="17">
        <f t="shared" si="0"/>
        <v>43646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12"/>
  <sheetViews>
    <sheetView workbookViewId="0">
      <selection activeCell="F22" sqref="F22"/>
    </sheetView>
  </sheetViews>
  <sheetFormatPr defaultRowHeight="14.4" x14ac:dyDescent="0.3"/>
  <cols>
    <col min="2" max="2" width="20.44140625" bestFit="1" customWidth="1"/>
    <col min="3" max="3" width="13.5546875" bestFit="1" customWidth="1"/>
    <col min="4" max="4" width="24.109375" bestFit="1" customWidth="1"/>
    <col min="5" max="5" width="11.6640625" bestFit="1" customWidth="1"/>
    <col min="6" max="6" width="23.88671875" bestFit="1" customWidth="1"/>
  </cols>
  <sheetData>
    <row r="2" spans="2:6" x14ac:dyDescent="0.3">
      <c r="B2" s="15" t="s">
        <v>73</v>
      </c>
      <c r="C2" s="15" t="s">
        <v>58</v>
      </c>
      <c r="D2" s="15" t="s">
        <v>74</v>
      </c>
      <c r="E2" s="15" t="s">
        <v>95</v>
      </c>
      <c r="F2" s="15" t="s">
        <v>96</v>
      </c>
    </row>
    <row r="3" spans="2:6" x14ac:dyDescent="0.3">
      <c r="B3" s="2" t="s">
        <v>75</v>
      </c>
      <c r="C3" s="3" t="s">
        <v>85</v>
      </c>
      <c r="D3" s="18">
        <f>EOMONTH(C3,0)</f>
        <v>44377</v>
      </c>
      <c r="E3" s="3" t="s">
        <v>97</v>
      </c>
      <c r="F3" s="14">
        <f>E3-C3</f>
        <v>1494</v>
      </c>
    </row>
    <row r="4" spans="2:6" x14ac:dyDescent="0.3">
      <c r="B4" s="5" t="s">
        <v>76</v>
      </c>
      <c r="C4" t="s">
        <v>86</v>
      </c>
      <c r="D4" s="18">
        <f t="shared" ref="D4:D12" si="0">EOMONTH(C4,0)</f>
        <v>45046</v>
      </c>
      <c r="E4" t="s">
        <v>97</v>
      </c>
      <c r="F4" s="14">
        <f t="shared" ref="F4:F12" si="1">E4-C4</f>
        <v>828</v>
      </c>
    </row>
    <row r="5" spans="2:6" x14ac:dyDescent="0.3">
      <c r="B5" s="5" t="s">
        <v>77</v>
      </c>
      <c r="C5" t="s">
        <v>87</v>
      </c>
      <c r="D5" s="18">
        <f t="shared" si="0"/>
        <v>43465</v>
      </c>
      <c r="E5" t="s">
        <v>97</v>
      </c>
      <c r="F5" s="14">
        <f t="shared" si="1"/>
        <v>2419</v>
      </c>
    </row>
    <row r="6" spans="2:6" x14ac:dyDescent="0.3">
      <c r="B6" s="5" t="s">
        <v>78</v>
      </c>
      <c r="C6" t="s">
        <v>88</v>
      </c>
      <c r="D6" s="18">
        <f t="shared" si="0"/>
        <v>43616</v>
      </c>
      <c r="E6" t="s">
        <v>97</v>
      </c>
      <c r="F6" s="14">
        <f t="shared" si="1"/>
        <v>2260</v>
      </c>
    </row>
    <row r="7" spans="2:6" x14ac:dyDescent="0.3">
      <c r="B7" s="5" t="s">
        <v>79</v>
      </c>
      <c r="C7" t="s">
        <v>89</v>
      </c>
      <c r="D7" s="18">
        <f t="shared" si="0"/>
        <v>44957</v>
      </c>
      <c r="E7" t="s">
        <v>97</v>
      </c>
      <c r="F7" s="14">
        <f t="shared" si="1"/>
        <v>921</v>
      </c>
    </row>
    <row r="8" spans="2:6" x14ac:dyDescent="0.3">
      <c r="B8" s="5" t="s">
        <v>80</v>
      </c>
      <c r="C8" t="s">
        <v>90</v>
      </c>
      <c r="D8" s="18">
        <f t="shared" si="0"/>
        <v>43708</v>
      </c>
      <c r="E8" t="s">
        <v>97</v>
      </c>
      <c r="F8" s="14">
        <f t="shared" si="1"/>
        <v>2170</v>
      </c>
    </row>
    <row r="9" spans="2:6" x14ac:dyDescent="0.3">
      <c r="B9" s="5" t="s">
        <v>81</v>
      </c>
      <c r="C9" t="s">
        <v>91</v>
      </c>
      <c r="D9" s="18">
        <f t="shared" si="0"/>
        <v>43585</v>
      </c>
      <c r="E9" t="s">
        <v>97</v>
      </c>
      <c r="F9" s="14">
        <f t="shared" si="1"/>
        <v>2290</v>
      </c>
    </row>
    <row r="10" spans="2:6" x14ac:dyDescent="0.3">
      <c r="B10" s="5" t="s">
        <v>82</v>
      </c>
      <c r="C10" t="s">
        <v>92</v>
      </c>
      <c r="D10" s="18">
        <f t="shared" si="0"/>
        <v>43616</v>
      </c>
      <c r="E10" t="s">
        <v>97</v>
      </c>
      <c r="F10" s="14">
        <f t="shared" si="1"/>
        <v>2258</v>
      </c>
    </row>
    <row r="11" spans="2:6" x14ac:dyDescent="0.3">
      <c r="B11" s="5" t="s">
        <v>83</v>
      </c>
      <c r="C11" t="s">
        <v>93</v>
      </c>
      <c r="D11" s="18">
        <f t="shared" si="0"/>
        <v>44165</v>
      </c>
      <c r="E11" t="s">
        <v>97</v>
      </c>
      <c r="F11" s="14">
        <f t="shared" si="1"/>
        <v>1713</v>
      </c>
    </row>
    <row r="12" spans="2:6" x14ac:dyDescent="0.3">
      <c r="B12" s="6" t="s">
        <v>84</v>
      </c>
      <c r="C12" s="7" t="s">
        <v>94</v>
      </c>
      <c r="D12" s="18">
        <f t="shared" si="0"/>
        <v>43555</v>
      </c>
      <c r="E12" s="7" t="s">
        <v>97</v>
      </c>
      <c r="F12" s="14">
        <f t="shared" si="1"/>
        <v>2307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13"/>
  <sheetViews>
    <sheetView workbookViewId="0">
      <selection activeCell="D11" sqref="D11"/>
    </sheetView>
  </sheetViews>
  <sheetFormatPr defaultRowHeight="14.4" x14ac:dyDescent="0.3"/>
  <cols>
    <col min="2" max="2" width="13.6640625" bestFit="1" customWidth="1"/>
    <col min="3" max="3" width="17.33203125" customWidth="1"/>
    <col min="6" max="6" width="13.6640625" bestFit="1" customWidth="1"/>
    <col min="7" max="7" width="15.88671875" bestFit="1" customWidth="1"/>
    <col min="11" max="11" width="31.44140625" bestFit="1" customWidth="1"/>
  </cols>
  <sheetData>
    <row r="2" spans="2:3" x14ac:dyDescent="0.3">
      <c r="B2" s="1" t="s">
        <v>98</v>
      </c>
      <c r="C2" s="1" t="s">
        <v>115</v>
      </c>
    </row>
    <row r="3" spans="2:3" x14ac:dyDescent="0.3">
      <c r="B3" s="2" t="s">
        <v>99</v>
      </c>
      <c r="C3" s="4" t="str">
        <f>TEXT(B3,"MMMM-yyyy")</f>
        <v>January-2021</v>
      </c>
    </row>
    <row r="4" spans="2:3" x14ac:dyDescent="0.3">
      <c r="B4" s="5" t="s">
        <v>100</v>
      </c>
      <c r="C4" s="4" t="str">
        <f t="shared" ref="C4:C13" si="0">TEXT(B4,"MMMM-yyyy")</f>
        <v>March-2021</v>
      </c>
    </row>
    <row r="5" spans="2:3" x14ac:dyDescent="0.3">
      <c r="B5" s="5" t="s">
        <v>101</v>
      </c>
      <c r="C5" s="4" t="str">
        <f t="shared" si="0"/>
        <v>May-2021</v>
      </c>
    </row>
    <row r="6" spans="2:3" x14ac:dyDescent="0.3">
      <c r="B6" s="5" t="s">
        <v>102</v>
      </c>
      <c r="C6" s="4" t="str">
        <f t="shared" si="0"/>
        <v>July-2021</v>
      </c>
    </row>
    <row r="7" spans="2:3" x14ac:dyDescent="0.3">
      <c r="B7" s="5" t="s">
        <v>103</v>
      </c>
      <c r="C7" s="4" t="str">
        <f t="shared" si="0"/>
        <v>September-2021</v>
      </c>
    </row>
    <row r="8" spans="2:3" x14ac:dyDescent="0.3">
      <c r="B8" s="5" t="s">
        <v>104</v>
      </c>
      <c r="C8" s="4" t="str">
        <f t="shared" si="0"/>
        <v>November-2021</v>
      </c>
    </row>
    <row r="9" spans="2:3" x14ac:dyDescent="0.3">
      <c r="B9" s="5" t="s">
        <v>105</v>
      </c>
      <c r="C9" s="4" t="str">
        <f t="shared" si="0"/>
        <v>January-2022</v>
      </c>
    </row>
    <row r="10" spans="2:3" x14ac:dyDescent="0.3">
      <c r="B10" s="5" t="s">
        <v>106</v>
      </c>
      <c r="C10" s="4" t="str">
        <f t="shared" si="0"/>
        <v>March-2022</v>
      </c>
    </row>
    <row r="11" spans="2:3" x14ac:dyDescent="0.3">
      <c r="B11" s="5" t="s">
        <v>107</v>
      </c>
      <c r="C11" s="4" t="str">
        <f t="shared" si="0"/>
        <v>May-2022</v>
      </c>
    </row>
    <row r="12" spans="2:3" x14ac:dyDescent="0.3">
      <c r="B12" s="5" t="s">
        <v>108</v>
      </c>
      <c r="C12" s="4" t="str">
        <f t="shared" si="0"/>
        <v>July-2022</v>
      </c>
    </row>
    <row r="13" spans="2:3" x14ac:dyDescent="0.3">
      <c r="B13" s="6" t="s">
        <v>109</v>
      </c>
      <c r="C13" s="4" t="str">
        <f t="shared" si="0"/>
        <v>September-2022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D9B4-5D15-40DE-A1DC-07422F3FBDB2}">
  <dimension ref="B2:H17"/>
  <sheetViews>
    <sheetView workbookViewId="0">
      <selection activeCell="G16" sqref="G16"/>
    </sheetView>
  </sheetViews>
  <sheetFormatPr defaultRowHeight="14.4" x14ac:dyDescent="0.3"/>
  <cols>
    <col min="2" max="2" width="13.6640625" bestFit="1" customWidth="1"/>
    <col min="3" max="3" width="15.88671875" bestFit="1" customWidth="1"/>
    <col min="7" max="7" width="31.44140625" bestFit="1" customWidth="1"/>
    <col min="8" max="8" width="11.33203125" bestFit="1" customWidth="1"/>
  </cols>
  <sheetData>
    <row r="2" spans="2:8" x14ac:dyDescent="0.3">
      <c r="B2" s="1" t="s">
        <v>110</v>
      </c>
      <c r="C2" s="1" t="s">
        <v>111</v>
      </c>
    </row>
    <row r="3" spans="2:8" x14ac:dyDescent="0.3">
      <c r="B3" s="11" t="s">
        <v>113</v>
      </c>
      <c r="C3" s="12" t="s">
        <v>114</v>
      </c>
      <c r="G3" s="15" t="s">
        <v>112</v>
      </c>
    </row>
    <row r="4" spans="2:8" x14ac:dyDescent="0.3">
      <c r="G4" s="19">
        <f>NETWORKDAYS(B3,C3,B7:B17)</f>
        <v>513</v>
      </c>
      <c r="H4" t="s">
        <v>123</v>
      </c>
    </row>
    <row r="6" spans="2:8" x14ac:dyDescent="0.3">
      <c r="B6" s="1" t="s">
        <v>98</v>
      </c>
    </row>
    <row r="7" spans="2:8" x14ac:dyDescent="0.3">
      <c r="B7" s="8" t="s">
        <v>99</v>
      </c>
    </row>
    <row r="8" spans="2:8" x14ac:dyDescent="0.3">
      <c r="B8" s="9" t="s">
        <v>100</v>
      </c>
    </row>
    <row r="9" spans="2:8" x14ac:dyDescent="0.3">
      <c r="B9" s="9" t="s">
        <v>101</v>
      </c>
    </row>
    <row r="10" spans="2:8" x14ac:dyDescent="0.3">
      <c r="B10" s="9" t="s">
        <v>102</v>
      </c>
    </row>
    <row r="11" spans="2:8" x14ac:dyDescent="0.3">
      <c r="B11" s="9" t="s">
        <v>103</v>
      </c>
    </row>
    <row r="12" spans="2:8" x14ac:dyDescent="0.3">
      <c r="B12" s="9" t="s">
        <v>104</v>
      </c>
    </row>
    <row r="13" spans="2:8" x14ac:dyDescent="0.3">
      <c r="B13" s="9" t="s">
        <v>105</v>
      </c>
    </row>
    <row r="14" spans="2:8" x14ac:dyDescent="0.3">
      <c r="B14" s="9" t="s">
        <v>106</v>
      </c>
    </row>
    <row r="15" spans="2:8" x14ac:dyDescent="0.3">
      <c r="B15" s="9" t="s">
        <v>107</v>
      </c>
    </row>
    <row r="16" spans="2:8" x14ac:dyDescent="0.3">
      <c r="B16" s="9" t="s">
        <v>108</v>
      </c>
    </row>
    <row r="17" spans="2:2" x14ac:dyDescent="0.3">
      <c r="B17" s="10" t="s">
        <v>109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13"/>
  <sheetViews>
    <sheetView workbookViewId="0">
      <selection activeCell="G18" sqref="G18"/>
    </sheetView>
  </sheetViews>
  <sheetFormatPr defaultRowHeight="14.4" x14ac:dyDescent="0.3"/>
  <cols>
    <col min="2" max="2" width="11.88671875" bestFit="1" customWidth="1"/>
    <col min="3" max="3" width="12.88671875" bestFit="1" customWidth="1"/>
    <col min="4" max="4" width="14.44140625" bestFit="1" customWidth="1"/>
  </cols>
  <sheetData>
    <row r="2" spans="2:4" x14ac:dyDescent="0.3">
      <c r="B2" s="15" t="s">
        <v>116</v>
      </c>
      <c r="C2" s="15" t="s">
        <v>117</v>
      </c>
      <c r="D2" s="15" t="s">
        <v>118</v>
      </c>
    </row>
    <row r="3" spans="2:4" x14ac:dyDescent="0.3">
      <c r="B3" s="2" t="s">
        <v>99</v>
      </c>
      <c r="C3" s="20">
        <f>EOMONTH(B3,0)</f>
        <v>44227</v>
      </c>
      <c r="D3" s="14" t="str">
        <f>TEXT(C3,"MMMM-yyyy")</f>
        <v>January-2021</v>
      </c>
    </row>
    <row r="4" spans="2:4" x14ac:dyDescent="0.3">
      <c r="B4" s="5" t="s">
        <v>100</v>
      </c>
      <c r="C4" s="20">
        <f t="shared" ref="C4:C13" si="0">EOMONTH(B4,0)</f>
        <v>44286</v>
      </c>
      <c r="D4" s="14" t="str">
        <f t="shared" ref="D4:D13" si="1">TEXT(C4,"MMMM-yyyy")</f>
        <v>March-2021</v>
      </c>
    </row>
    <row r="5" spans="2:4" x14ac:dyDescent="0.3">
      <c r="B5" s="5" t="s">
        <v>101</v>
      </c>
      <c r="C5" s="20">
        <f t="shared" si="0"/>
        <v>44347</v>
      </c>
      <c r="D5" s="14" t="str">
        <f t="shared" si="1"/>
        <v>May-2021</v>
      </c>
    </row>
    <row r="6" spans="2:4" x14ac:dyDescent="0.3">
      <c r="B6" s="5" t="s">
        <v>102</v>
      </c>
      <c r="C6" s="20">
        <f t="shared" si="0"/>
        <v>44408</v>
      </c>
      <c r="D6" s="14" t="str">
        <f t="shared" si="1"/>
        <v>July-2021</v>
      </c>
    </row>
    <row r="7" spans="2:4" x14ac:dyDescent="0.3">
      <c r="B7" s="5" t="s">
        <v>103</v>
      </c>
      <c r="C7" s="20">
        <f t="shared" si="0"/>
        <v>44469</v>
      </c>
      <c r="D7" s="14" t="str">
        <f t="shared" si="1"/>
        <v>September-2021</v>
      </c>
    </row>
    <row r="8" spans="2:4" x14ac:dyDescent="0.3">
      <c r="B8" s="5" t="s">
        <v>104</v>
      </c>
      <c r="C8" s="20">
        <f t="shared" si="0"/>
        <v>44530</v>
      </c>
      <c r="D8" s="14" t="str">
        <f t="shared" si="1"/>
        <v>November-2021</v>
      </c>
    </row>
    <row r="9" spans="2:4" x14ac:dyDescent="0.3">
      <c r="B9" s="5" t="s">
        <v>105</v>
      </c>
      <c r="C9" s="20">
        <f t="shared" si="0"/>
        <v>44592</v>
      </c>
      <c r="D9" s="14" t="str">
        <f t="shared" si="1"/>
        <v>January-2022</v>
      </c>
    </row>
    <row r="10" spans="2:4" x14ac:dyDescent="0.3">
      <c r="B10" s="5" t="s">
        <v>106</v>
      </c>
      <c r="C10" s="20">
        <f t="shared" si="0"/>
        <v>44651</v>
      </c>
      <c r="D10" s="14" t="str">
        <f t="shared" si="1"/>
        <v>March-2022</v>
      </c>
    </row>
    <row r="11" spans="2:4" x14ac:dyDescent="0.3">
      <c r="B11" s="5" t="s">
        <v>107</v>
      </c>
      <c r="C11" s="20">
        <f t="shared" si="0"/>
        <v>44712</v>
      </c>
      <c r="D11" s="14" t="str">
        <f t="shared" si="1"/>
        <v>May-2022</v>
      </c>
    </row>
    <row r="12" spans="2:4" x14ac:dyDescent="0.3">
      <c r="B12" s="5" t="s">
        <v>108</v>
      </c>
      <c r="C12" s="20">
        <f t="shared" si="0"/>
        <v>44773</v>
      </c>
      <c r="D12" s="14" t="str">
        <f t="shared" si="1"/>
        <v>July-2022</v>
      </c>
    </row>
    <row r="13" spans="2:4" x14ac:dyDescent="0.3">
      <c r="B13" s="6" t="s">
        <v>109</v>
      </c>
      <c r="C13" s="20">
        <f t="shared" si="0"/>
        <v>44834</v>
      </c>
      <c r="D13" s="14" t="str">
        <f t="shared" si="1"/>
        <v>September-2022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
  <sheetViews>
    <sheetView workbookViewId="0">
      <selection activeCell="H16" sqref="H16"/>
    </sheetView>
  </sheetViews>
  <sheetFormatPr defaultRowHeight="14.4" x14ac:dyDescent="0.3"/>
  <cols>
    <col min="1" max="1" width="6.88671875" bestFit="1" customWidth="1"/>
    <col min="2" max="2" width="13.5546875" bestFit="1" customWidth="1"/>
    <col min="3" max="3" width="9.6640625" bestFit="1" customWidth="1"/>
  </cols>
  <sheetData>
    <row r="1" spans="1:3" x14ac:dyDescent="0.3">
      <c r="A1" s="15" t="s">
        <v>1</v>
      </c>
      <c r="B1" s="15" t="s">
        <v>58</v>
      </c>
      <c r="C1" s="15" t="s">
        <v>119</v>
      </c>
    </row>
    <row r="2" spans="1:3" x14ac:dyDescent="0.3">
      <c r="A2" t="s">
        <v>16</v>
      </c>
      <c r="B2" t="s">
        <v>63</v>
      </c>
      <c r="C2" s="21" t="str">
        <f>TEXT(B2,"dddd")</f>
        <v>Sunday</v>
      </c>
    </row>
    <row r="3" spans="1:3" x14ac:dyDescent="0.3">
      <c r="A3" t="s">
        <v>17</v>
      </c>
      <c r="B3" t="s">
        <v>64</v>
      </c>
      <c r="C3" s="21" t="str">
        <f t="shared" ref="C3:C11" si="0">TEXT(B3,"dddd")</f>
        <v>Monday</v>
      </c>
    </row>
    <row r="4" spans="1:3" x14ac:dyDescent="0.3">
      <c r="A4" t="s">
        <v>18</v>
      </c>
      <c r="B4" t="s">
        <v>65</v>
      </c>
      <c r="C4" s="21" t="str">
        <f t="shared" si="0"/>
        <v>Tuesday</v>
      </c>
    </row>
    <row r="5" spans="1:3" x14ac:dyDescent="0.3">
      <c r="A5" t="s">
        <v>19</v>
      </c>
      <c r="B5" t="s">
        <v>66</v>
      </c>
      <c r="C5" s="21" t="str">
        <f t="shared" si="0"/>
        <v>Tuesday</v>
      </c>
    </row>
    <row r="6" spans="1:3" x14ac:dyDescent="0.3">
      <c r="A6" t="s">
        <v>20</v>
      </c>
      <c r="B6" t="s">
        <v>67</v>
      </c>
      <c r="C6" s="21" t="str">
        <f t="shared" si="0"/>
        <v>Saturday</v>
      </c>
    </row>
    <row r="7" spans="1:3" x14ac:dyDescent="0.3">
      <c r="A7" t="s">
        <v>21</v>
      </c>
      <c r="B7" t="s">
        <v>68</v>
      </c>
      <c r="C7" s="21" t="str">
        <f t="shared" si="0"/>
        <v>Thursday</v>
      </c>
    </row>
    <row r="8" spans="1:3" x14ac:dyDescent="0.3">
      <c r="A8" t="s">
        <v>22</v>
      </c>
      <c r="B8" t="s">
        <v>69</v>
      </c>
      <c r="C8" s="21" t="str">
        <f t="shared" si="0"/>
        <v>Friday</v>
      </c>
    </row>
    <row r="9" spans="1:3" x14ac:dyDescent="0.3">
      <c r="A9" t="s">
        <v>23</v>
      </c>
      <c r="B9" t="s">
        <v>70</v>
      </c>
      <c r="C9" s="21" t="str">
        <f t="shared" si="0"/>
        <v>Tuesday</v>
      </c>
    </row>
    <row r="10" spans="1:3" x14ac:dyDescent="0.3">
      <c r="A10" t="s">
        <v>24</v>
      </c>
      <c r="B10" t="s">
        <v>71</v>
      </c>
      <c r="C10" s="21" t="str">
        <f t="shared" si="0"/>
        <v>Monday</v>
      </c>
    </row>
    <row r="11" spans="1:3" x14ac:dyDescent="0.3">
      <c r="A11" t="s">
        <v>25</v>
      </c>
      <c r="B11" t="s">
        <v>72</v>
      </c>
      <c r="C11" s="21" t="str">
        <f t="shared" si="0"/>
        <v>Saturday</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1"/>
  <sheetViews>
    <sheetView tabSelected="1" workbookViewId="0">
      <selection activeCell="D16" sqref="D16"/>
    </sheetView>
  </sheetViews>
  <sheetFormatPr defaultRowHeight="14.4" x14ac:dyDescent="0.3"/>
  <cols>
    <col min="1" max="1" width="20.44140625" bestFit="1" customWidth="1"/>
    <col min="2" max="2" width="13.44140625" bestFit="1" customWidth="1"/>
    <col min="3" max="3" width="24.109375" bestFit="1" customWidth="1"/>
    <col min="4" max="4" width="16.21875" bestFit="1" customWidth="1"/>
    <col min="5" max="5" width="7.44140625" bestFit="1" customWidth="1"/>
  </cols>
  <sheetData>
    <row r="1" spans="1:5" x14ac:dyDescent="0.3">
      <c r="A1" s="15" t="s">
        <v>73</v>
      </c>
      <c r="B1" s="15" t="s">
        <v>120</v>
      </c>
      <c r="C1" s="15" t="s">
        <v>74</v>
      </c>
      <c r="D1" s="15" t="s">
        <v>121</v>
      </c>
      <c r="E1" s="15" t="s">
        <v>122</v>
      </c>
    </row>
    <row r="2" spans="1:5" x14ac:dyDescent="0.3">
      <c r="A2" t="s">
        <v>75</v>
      </c>
      <c r="B2" t="s">
        <v>85</v>
      </c>
      <c r="C2" s="24">
        <f>EOMONTH(B2,0)</f>
        <v>44377</v>
      </c>
      <c r="D2" s="22">
        <f ca="1">TODAY()-DAY(B2)</f>
        <v>46061</v>
      </c>
      <c r="E2" s="23">
        <f>ROUNDUP(YEAR(B2)/3,0)</f>
        <v>674</v>
      </c>
    </row>
    <row r="3" spans="1:5" x14ac:dyDescent="0.3">
      <c r="A3" t="s">
        <v>76</v>
      </c>
      <c r="B3" t="s">
        <v>86</v>
      </c>
      <c r="C3" s="24">
        <f t="shared" ref="C3:C11" si="0">EOMONTH(B3,0)</f>
        <v>45046</v>
      </c>
      <c r="D3" s="22">
        <f t="shared" ref="D3:D11" ca="1" si="1">TODAY()-DAY(B3)</f>
        <v>46064</v>
      </c>
      <c r="E3" s="23">
        <f t="shared" ref="E3:E11" si="2">ROUNDUP(YEAR(B3)/3,0)</f>
        <v>675</v>
      </c>
    </row>
    <row r="4" spans="1:5" x14ac:dyDescent="0.3">
      <c r="A4" t="s">
        <v>77</v>
      </c>
      <c r="B4" t="s">
        <v>87</v>
      </c>
      <c r="C4" s="24">
        <f t="shared" si="0"/>
        <v>43465</v>
      </c>
      <c r="D4" s="22">
        <f t="shared" ca="1" si="1"/>
        <v>46073</v>
      </c>
      <c r="E4" s="23">
        <f t="shared" si="2"/>
        <v>673</v>
      </c>
    </row>
    <row r="5" spans="1:5" x14ac:dyDescent="0.3">
      <c r="A5" t="s">
        <v>78</v>
      </c>
      <c r="B5" t="s">
        <v>88</v>
      </c>
      <c r="C5" s="24">
        <f t="shared" si="0"/>
        <v>43616</v>
      </c>
      <c r="D5" s="22">
        <f t="shared" ca="1" si="1"/>
        <v>46065</v>
      </c>
      <c r="E5" s="23">
        <f t="shared" si="2"/>
        <v>673</v>
      </c>
    </row>
    <row r="6" spans="1:5" x14ac:dyDescent="0.3">
      <c r="A6" t="s">
        <v>79</v>
      </c>
      <c r="B6" t="s">
        <v>89</v>
      </c>
      <c r="C6" s="24">
        <f t="shared" si="0"/>
        <v>44957</v>
      </c>
      <c r="D6" s="22">
        <f t="shared" ca="1" si="1"/>
        <v>46067</v>
      </c>
      <c r="E6" s="23">
        <f t="shared" si="2"/>
        <v>675</v>
      </c>
    </row>
    <row r="7" spans="1:5" x14ac:dyDescent="0.3">
      <c r="A7" t="s">
        <v>80</v>
      </c>
      <c r="B7" t="s">
        <v>90</v>
      </c>
      <c r="C7" s="24">
        <f t="shared" si="0"/>
        <v>43708</v>
      </c>
      <c r="D7" s="22">
        <f t="shared" ca="1" si="1"/>
        <v>46067</v>
      </c>
      <c r="E7" s="23">
        <f t="shared" si="2"/>
        <v>673</v>
      </c>
    </row>
    <row r="8" spans="1:5" x14ac:dyDescent="0.3">
      <c r="A8" t="s">
        <v>81</v>
      </c>
      <c r="B8" t="s">
        <v>91</v>
      </c>
      <c r="C8" s="24">
        <f t="shared" si="0"/>
        <v>43585</v>
      </c>
      <c r="D8" s="22">
        <f t="shared" ca="1" si="1"/>
        <v>46065</v>
      </c>
      <c r="E8" s="23">
        <f t="shared" si="2"/>
        <v>673</v>
      </c>
    </row>
    <row r="9" spans="1:5" x14ac:dyDescent="0.3">
      <c r="A9" t="s">
        <v>82</v>
      </c>
      <c r="B9" t="s">
        <v>92</v>
      </c>
      <c r="C9" s="24">
        <f t="shared" si="0"/>
        <v>43616</v>
      </c>
      <c r="D9" s="22">
        <f t="shared" ca="1" si="1"/>
        <v>46063</v>
      </c>
      <c r="E9" s="23">
        <f t="shared" si="2"/>
        <v>673</v>
      </c>
    </row>
    <row r="10" spans="1:5" x14ac:dyDescent="0.3">
      <c r="A10" t="s">
        <v>83</v>
      </c>
      <c r="B10" t="s">
        <v>93</v>
      </c>
      <c r="C10" s="24">
        <f t="shared" si="0"/>
        <v>44165</v>
      </c>
      <c r="D10" s="22">
        <f t="shared" ca="1" si="1"/>
        <v>46068</v>
      </c>
      <c r="E10" s="23">
        <f t="shared" si="2"/>
        <v>674</v>
      </c>
    </row>
    <row r="11" spans="1:5" x14ac:dyDescent="0.3">
      <c r="A11" t="s">
        <v>84</v>
      </c>
      <c r="B11" t="s">
        <v>94</v>
      </c>
      <c r="C11" s="24">
        <f t="shared" si="0"/>
        <v>43555</v>
      </c>
      <c r="D11" s="22">
        <f t="shared" ca="1" si="1"/>
        <v>46051</v>
      </c>
      <c r="E11" s="23">
        <f t="shared" si="2"/>
        <v>673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Extract Time Parts</vt:lpstr>
      <vt:lpstr>Working Hours</vt:lpstr>
      <vt:lpstr>Date Parts</vt:lpstr>
      <vt:lpstr>Probation End Date</vt:lpstr>
      <vt:lpstr>Days in Company</vt:lpstr>
      <vt:lpstr>Month-Year Format</vt:lpstr>
      <vt:lpstr>Working Days Excl Holidays</vt:lpstr>
      <vt:lpstr>Weekday from Date</vt:lpstr>
      <vt:lpstr>Joining Day Name</vt:lpstr>
      <vt:lpstr>Days Worked + Quarter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Kaushiki Sharma</cp:lastModifiedBy>
  <dcterms:created xsi:type="dcterms:W3CDTF">2025-07-27T17:32:22Z</dcterms:created>
  <dcterms:modified xsi:type="dcterms:W3CDTF">2026-02-27T11:29:38Z</dcterms:modified>
</cp:coreProperties>
</file>