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134513-C916-4061-8F09-6CD1696A902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_Practi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C17" i="2" a="1"/>
  <c r="C17" i="2" s="1"/>
  <c r="C14" i="2"/>
  <c r="C12" i="2" a="1"/>
  <c r="C12" i="2" s="1"/>
  <c r="C7" i="2"/>
  <c r="C2" i="2"/>
  <c r="C5" i="2"/>
  <c r="C8" i="2" a="1"/>
  <c r="C8" i="2" s="1"/>
  <c r="D21" i="2"/>
  <c r="C21" i="2"/>
  <c r="C20" i="2"/>
  <c r="D19" i="2"/>
  <c r="C19" i="2"/>
  <c r="C18" i="2"/>
  <c r="C16" i="2"/>
  <c r="C15" i="2"/>
  <c r="C13" i="2"/>
  <c r="C11" i="2" a="1"/>
  <c r="C11" i="2" s="1"/>
  <c r="C10" i="2"/>
  <c r="C9" i="2"/>
  <c r="C6" i="2"/>
  <c r="C4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<sst xmlns="http://schemas.openxmlformats.org/spreadsheetml/2006/main" count="816" uniqueCount="239">
  <si>
    <t>OrderID</t>
  </si>
  <si>
    <t>OrderDate</t>
  </si>
  <si>
    <t>CustomerName</t>
  </si>
  <si>
    <t>Region</t>
  </si>
  <si>
    <t>Category</t>
  </si>
  <si>
    <t>Product</t>
  </si>
  <si>
    <t>Quantity</t>
  </si>
  <si>
    <t>UnitPrice</t>
  </si>
  <si>
    <t>TotalAmount</t>
  </si>
  <si>
    <t>PaymentMethod</t>
  </si>
  <si>
    <t>ORD2001</t>
  </si>
  <si>
    <t>Ananya Kapoor</t>
  </si>
  <si>
    <t>West</t>
  </si>
  <si>
    <t>Electronics</t>
  </si>
  <si>
    <t>Wireless Mouse</t>
  </si>
  <si>
    <t>UPI</t>
  </si>
  <si>
    <t>ORD2002</t>
  </si>
  <si>
    <t>Navya Reddy</t>
  </si>
  <si>
    <t>Central</t>
  </si>
  <si>
    <t>Apparel</t>
  </si>
  <si>
    <t>Cap</t>
  </si>
  <si>
    <t>Credit Card</t>
  </si>
  <si>
    <t>ORD2003</t>
  </si>
  <si>
    <t>Kiara Bhatt</t>
  </si>
  <si>
    <t>North</t>
  </si>
  <si>
    <t>USB-C Cable</t>
  </si>
  <si>
    <t>Net Banking</t>
  </si>
  <si>
    <t>ORD2004</t>
  </si>
  <si>
    <t>East</t>
  </si>
  <si>
    <t>Laptop Stand</t>
  </si>
  <si>
    <t>ORD2005</t>
  </si>
  <si>
    <t>Diya Verma</t>
  </si>
  <si>
    <t>South</t>
  </si>
  <si>
    <t>Home</t>
  </si>
  <si>
    <t>Cushion Cover</t>
  </si>
  <si>
    <t>ORD2006</t>
  </si>
  <si>
    <t>Ayaan Verma</t>
  </si>
  <si>
    <t>ORD2007</t>
  </si>
  <si>
    <t>Diya Chopra</t>
  </si>
  <si>
    <t>Denim Jacket</t>
  </si>
  <si>
    <t>Debit Card</t>
  </si>
  <si>
    <t>ORD2008</t>
  </si>
  <si>
    <t>Kabir Joshi</t>
  </si>
  <si>
    <t>ORD2009</t>
  </si>
  <si>
    <t>Photo Frame</t>
  </si>
  <si>
    <t>ORD2010</t>
  </si>
  <si>
    <t>Grocery</t>
  </si>
  <si>
    <t>Oats Pack</t>
  </si>
  <si>
    <t>ORD2011</t>
  </si>
  <si>
    <t>Pari Kapoor</t>
  </si>
  <si>
    <t>Stationery</t>
  </si>
  <si>
    <t>Notebook</t>
  </si>
  <si>
    <t>ORD2012</t>
  </si>
  <si>
    <t>Webcam</t>
  </si>
  <si>
    <t>ORD2013</t>
  </si>
  <si>
    <t>Kiara Reddy</t>
  </si>
  <si>
    <t>ORD2014</t>
  </si>
  <si>
    <t>ORD2015</t>
  </si>
  <si>
    <t>Vivaan Singh</t>
  </si>
  <si>
    <t>Wall Clock</t>
  </si>
  <si>
    <t>ORD2016</t>
  </si>
  <si>
    <t>Saanvi Verma</t>
  </si>
  <si>
    <t>Olive Oil 1L</t>
  </si>
  <si>
    <t>ORD2017</t>
  </si>
  <si>
    <t>Diya Singh</t>
  </si>
  <si>
    <t>ORD2018</t>
  </si>
  <si>
    <t>Sai Malhotra</t>
  </si>
  <si>
    <t>ORD2019</t>
  </si>
  <si>
    <t>Desk Organizer</t>
  </si>
  <si>
    <t>ORD2020</t>
  </si>
  <si>
    <t>Riya Patel</t>
  </si>
  <si>
    <t>ORD2021</t>
  </si>
  <si>
    <t>Anika Joshi</t>
  </si>
  <si>
    <t>ORD2022</t>
  </si>
  <si>
    <t>Green Tea Pack</t>
  </si>
  <si>
    <t>ORD2023</t>
  </si>
  <si>
    <t>Aditya Nair</t>
  </si>
  <si>
    <t>Highlighter Pack</t>
  </si>
  <si>
    <t>ORD2024</t>
  </si>
  <si>
    <t>Cotton T-Shirt</t>
  </si>
  <si>
    <t>ORD2025</t>
  </si>
  <si>
    <t>ORD2026</t>
  </si>
  <si>
    <t>Almonds 500g</t>
  </si>
  <si>
    <t>ORD2027</t>
  </si>
  <si>
    <t>Aditya Joshi</t>
  </si>
  <si>
    <t>Gel Pen Set</t>
  </si>
  <si>
    <t>ORD2028</t>
  </si>
  <si>
    <t>Arjun Singh</t>
  </si>
  <si>
    <t>ORD2029</t>
  </si>
  <si>
    <t>Honey Jar</t>
  </si>
  <si>
    <t>Cash on Delivery</t>
  </si>
  <si>
    <t>ORD2030</t>
  </si>
  <si>
    <t>ORD2031</t>
  </si>
  <si>
    <t>ORD2032</t>
  </si>
  <si>
    <t>Riya Gupta</t>
  </si>
  <si>
    <t>ORD2033</t>
  </si>
  <si>
    <t>Table Lamp</t>
  </si>
  <si>
    <t>ORD2034</t>
  </si>
  <si>
    <t>ORD2035</t>
  </si>
  <si>
    <t>Tanvi Nair</t>
  </si>
  <si>
    <t>ORD2036</t>
  </si>
  <si>
    <t>Vivaan Nair</t>
  </si>
  <si>
    <t>ORD2037</t>
  </si>
  <si>
    <t>Bluetooth Speaker</t>
  </si>
  <si>
    <t>ORD2038</t>
  </si>
  <si>
    <t>ORD2039</t>
  </si>
  <si>
    <t>ORD2040</t>
  </si>
  <si>
    <t>ORD2041</t>
  </si>
  <si>
    <t>Aditya Chopra</t>
  </si>
  <si>
    <t>ORD2042</t>
  </si>
  <si>
    <t>ORD2043</t>
  </si>
  <si>
    <t>Running Shoes</t>
  </si>
  <si>
    <t>ORD2044</t>
  </si>
  <si>
    <t>ORD2045</t>
  </si>
  <si>
    <t>ORD2046</t>
  </si>
  <si>
    <t>ORD2047</t>
  </si>
  <si>
    <t>Aditya Singh</t>
  </si>
  <si>
    <t>ORD2048</t>
  </si>
  <si>
    <t>ORD2049</t>
  </si>
  <si>
    <t>ORD2050</t>
  </si>
  <si>
    <t>Kabir Gupta</t>
  </si>
  <si>
    <t>ORD2051</t>
  </si>
  <si>
    <t>ORD2052</t>
  </si>
  <si>
    <t>ORD2053</t>
  </si>
  <si>
    <t>ORD2054</t>
  </si>
  <si>
    <t>Vihaan Reddy</t>
  </si>
  <si>
    <t>ORD2055</t>
  </si>
  <si>
    <t>ORD2056</t>
  </si>
  <si>
    <t>ORD2057</t>
  </si>
  <si>
    <t>ORD2058</t>
  </si>
  <si>
    <t>ORD2059</t>
  </si>
  <si>
    <t>Vihaan Joshi</t>
  </si>
  <si>
    <t>ORD2060</t>
  </si>
  <si>
    <t>ORD2061</t>
  </si>
  <si>
    <t>ORD2062</t>
  </si>
  <si>
    <t>Sticky Notes</t>
  </si>
  <si>
    <t>ORD2063</t>
  </si>
  <si>
    <t>ORD2064</t>
  </si>
  <si>
    <t>ORD2065</t>
  </si>
  <si>
    <t>ORD2066</t>
  </si>
  <si>
    <t>ORD2067</t>
  </si>
  <si>
    <t>ORD2068</t>
  </si>
  <si>
    <t>Aadhya Joshi</t>
  </si>
  <si>
    <t>ORD2069</t>
  </si>
  <si>
    <t>ORD2070</t>
  </si>
  <si>
    <t>ORD2071</t>
  </si>
  <si>
    <t>Vivaan Gupta</t>
  </si>
  <si>
    <t>ORD2072</t>
  </si>
  <si>
    <t>ORD2073</t>
  </si>
  <si>
    <t>ORD2074</t>
  </si>
  <si>
    <t>ORD2075</t>
  </si>
  <si>
    <t>Ananya Kumar</t>
  </si>
  <si>
    <t>ORD2076</t>
  </si>
  <si>
    <t>ORD2077</t>
  </si>
  <si>
    <t>ORD2078</t>
  </si>
  <si>
    <t>ORD2079</t>
  </si>
  <si>
    <t>ORD2080</t>
  </si>
  <si>
    <t>ORD2081</t>
  </si>
  <si>
    <t>ORD2082</t>
  </si>
  <si>
    <t>Vivaan Kumar</t>
  </si>
  <si>
    <t>ORD2083</t>
  </si>
  <si>
    <t>Ayaan Patel</t>
  </si>
  <si>
    <t>ORD2084</t>
  </si>
  <si>
    <t>ORD2085</t>
  </si>
  <si>
    <t>ORD2086</t>
  </si>
  <si>
    <t>ORD2087</t>
  </si>
  <si>
    <t>Wool Socks</t>
  </si>
  <si>
    <t>ORD2088</t>
  </si>
  <si>
    <t>ORD2089</t>
  </si>
  <si>
    <t>ORD2090</t>
  </si>
  <si>
    <t>ORD2091</t>
  </si>
  <si>
    <t>ORD2092</t>
  </si>
  <si>
    <t>ORD2093</t>
  </si>
  <si>
    <t>Storage Box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</si>
  <si>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</si>
  <si>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</si>
  <si>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</si>
  <si>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</si>
  <si>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</si>
  <si>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</si>
  <si>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</si>
  <si>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</si>
  <si>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Pari Mehta</t>
  </si>
  <si>
    <t>ORD2102</t>
  </si>
  <si>
    <t>ORD2103</t>
  </si>
  <si>
    <t>Pari Verma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</si>
  <si>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</si>
  <si>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</si>
  <si>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</si>
  <si>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</si>
  <si>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</si>
  <si>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</si>
  <si>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</si>
  <si>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</si>
  <si>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</si>
  <si>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</si>
  <si>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</si>
  <si>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</si>
  <si>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</si>
  <si>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</si>
  <si>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</si>
  <si>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</si>
  <si>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</si>
  <si>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</si>
  <si>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</si>
  <si>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</si>
  <si>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</si>
  <si>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</si>
  <si>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</si>
  <si>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</si>
  <si>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</si>
  <si>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</si>
  <si>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</si>
  <si>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#</t>
  </si>
  <si>
    <t>Question</t>
  </si>
  <si>
    <t>Your Formula / Answer</t>
  </si>
  <si>
    <t>Your manager wants total revenue for June 2025 only. Calculate total TotalAmount for orders placed in June 2025.</t>
  </si>
  <si>
    <t>Finance wants to know the single highest revenue order and who placed it. Find the CustomerName of the order with the highest TotalAmount.</t>
  </si>
  <si>
    <t>The team suspects Cash on Delivery orders skew the average order value. Calculate the average TotalAmount for Cash on Delivery orders only.</t>
  </si>
  <si>
    <t>Ops wants orders flagged as 'Bulk' if Quantity is 8 or more, else 'Regular'. Write this formula for the first order.</t>
  </si>
  <si>
    <t>Leadership wants the North region's share of total revenue as a percentage of overall revenue.</t>
  </si>
  <si>
    <t>HR/Ops wants to know how many unique customers placed orders (not total orders — distinct customers).</t>
  </si>
  <si>
    <t>Which customer placed the most orders overall? Return their name (the customer appearing most often).</t>
  </si>
  <si>
    <t>Calculate the average order value (TotalAmount) for the West region only.</t>
  </si>
  <si>
    <t>In case the top order is an outlier, find the second highest single order amount in the dataset.</t>
  </si>
  <si>
    <t>Find the combined revenue of the top 3 highest-value orders.</t>
  </si>
  <si>
    <t>The payments team wants combined order count for UPI and Net Banking payments together.</t>
  </si>
  <si>
    <t>Data quality check: count how many rows have Quantity equal to 0 or blank (should be 0 if data is clean).</t>
  </si>
  <si>
    <t>What percentage of all orders belong to the Electronics category?</t>
  </si>
  <si>
    <t>Return the CustomerName associated with the single highest TotalAmount in the dataset.</t>
  </si>
  <si>
    <t>Write a formula that returns 'Above Average' or 'Below Average' for the first order's TotalAmount, compared to the overall average order value.</t>
  </si>
  <si>
    <t>Calculate total revenue from orders that are EITHER 'Electronics' OR 'Apparel' category (OR condition).</t>
  </si>
  <si>
    <t>Count orders that are 'Grocery' category AND paid via 'UPI' AND have Quantity less than 3 (three conditions).</t>
  </si>
  <si>
    <t>Find the earliest OrderDate and the latest OrderDate in the dataset (two separate answers).</t>
  </si>
  <si>
    <t>Extract just the year from the first order's OrderDate.</t>
  </si>
  <si>
    <t>Without using a Pivot Table, find total revenue for the 'Electronics' category using formulas only, then find it for 'Home' category too — compare which is higher.</t>
  </si>
  <si>
    <t>Note: All questions refer to the 'Data' sheet (range A2:J131).</t>
  </si>
  <si>
    <t>month</t>
  </si>
  <si>
    <t>Home is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</si>
</sst>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i/>
      <sz val="11"/>
      <name val="Cambria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0" fontId="1" fillId="2" borderId="0" xfId="0" applyFont="1" applyFill="1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zoomScaleNormal="100" workbookViewId="0">
      <selection activeCell="M26" sqref="M26"/>
    </sheetView>
  </sheetViews>
  <sheetFormatPr defaultColWidth="8.6640625" defaultRowHeight="14.4" x14ac:dyDescent="0.3"/>
  <cols>
    <col min="1" max="1" width="8.6640625" bestFit="1" customWidth="1"/>
    <col min="2" max="2" width="11" bestFit="1" customWidth="1"/>
    <col min="3" max="3" width="15.33203125" bestFit="1" customWidth="1"/>
    <col min="4" max="4" width="7.44140625" bestFit="1" customWidth="1"/>
    <col min="5" max="5" width="9.88671875" bestFit="1" customWidth="1"/>
    <col min="6" max="6" width="16.109375" bestFit="1" customWidth="1"/>
    <col min="7" max="7" width="9.33203125" bestFit="1" customWidth="1"/>
    <col min="8" max="8" width="9.77734375" bestFit="1" customWidth="1"/>
    <col min="9" max="9" width="13.5546875" bestFit="1" customWidth="1"/>
    <col min="10" max="10" width="16.5546875" bestFit="1" customWidth="1"/>
    <col min="11" max="11" width="7.1093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237</v>
      </c>
    </row>
    <row r="2" spans="1:11" x14ac:dyDescent="0.3">
      <c r="A2" t="s">
        <v>10</v>
      </c>
      <c r="B2" s="1">
        <v>45813</v>
      </c>
      <c r="C2" t="s">
        <v>11</v>
      </c>
      <c r="D2" t="s">
        <v>12</v>
      </c>
      <c r="E2" t="s">
        <v>13</v>
      </c>
      <c r="F2" t="s">
        <v>14</v>
      </c>
      <c r="G2">
        <v>9</v>
      </c>
      <c r="H2" s="2">
        <v>2929.18</v>
      </c>
      <c r="I2" s="2">
        <f t="shared" ref="I2:I33" si="0">G2*H2</f>
        <v>26362.62</v>
      </c>
      <c r="J2" t="s">
        <v>15</v>
      </c>
      <c r="K2">
        <f>MONTH(B2)</f>
        <v>6</v>
      </c>
    </row>
    <row r="3" spans="1:11" x14ac:dyDescent="0.3">
      <c r="A3" t="s">
        <v>16</v>
      </c>
      <c r="B3" s="1">
        <v>46006</v>
      </c>
      <c r="C3" t="s">
        <v>17</v>
      </c>
      <c r="D3" t="s">
        <v>18</v>
      </c>
      <c r="E3" t="s">
        <v>19</v>
      </c>
      <c r="F3" t="s">
        <v>20</v>
      </c>
      <c r="G3">
        <v>8</v>
      </c>
      <c r="H3" s="2">
        <v>483.5</v>
      </c>
      <c r="I3" s="2">
        <f t="shared" si="0"/>
        <v>3868</v>
      </c>
      <c r="J3" t="s">
        <v>21</v>
      </c>
      <c r="K3">
        <f t="shared" ref="K3:K66" si="1">MONTH(B3)</f>
        <v>12</v>
      </c>
    </row>
    <row r="4" spans="1:11" x14ac:dyDescent="0.3">
      <c r="A4" t="s">
        <v>22</v>
      </c>
      <c r="B4" s="1">
        <v>45934</v>
      </c>
      <c r="C4" t="s">
        <v>23</v>
      </c>
      <c r="D4" t="s">
        <v>24</v>
      </c>
      <c r="E4" t="s">
        <v>13</v>
      </c>
      <c r="F4" t="s">
        <v>25</v>
      </c>
      <c r="G4">
        <v>10</v>
      </c>
      <c r="H4" s="2">
        <v>4966.5200000000004</v>
      </c>
      <c r="I4" s="2">
        <f t="shared" si="0"/>
        <v>49665.200000000004</v>
      </c>
      <c r="J4" t="s">
        <v>26</v>
      </c>
      <c r="K4">
        <f t="shared" si="1"/>
        <v>10</v>
      </c>
    </row>
    <row r="5" spans="1:11" x14ac:dyDescent="0.3">
      <c r="A5" t="s">
        <v>27</v>
      </c>
      <c r="B5" s="1">
        <v>45949</v>
      </c>
      <c r="C5" t="s">
        <v>11</v>
      </c>
      <c r="D5" t="s">
        <v>28</v>
      </c>
      <c r="E5" t="s">
        <v>13</v>
      </c>
      <c r="F5" t="s">
        <v>29</v>
      </c>
      <c r="G5">
        <v>6</v>
      </c>
      <c r="H5" s="2">
        <v>965.03</v>
      </c>
      <c r="I5" s="2">
        <f t="shared" si="0"/>
        <v>5790.18</v>
      </c>
      <c r="J5" t="s">
        <v>21</v>
      </c>
      <c r="K5">
        <f t="shared" si="1"/>
        <v>10</v>
      </c>
    </row>
    <row r="6" spans="1:11" x14ac:dyDescent="0.3">
      <c r="A6" t="s">
        <v>30</v>
      </c>
      <c r="B6" s="1">
        <v>46163</v>
      </c>
      <c r="C6" t="s">
        <v>31</v>
      </c>
      <c r="D6" t="s">
        <v>32</v>
      </c>
      <c r="E6" t="s">
        <v>33</v>
      </c>
      <c r="F6" t="s">
        <v>34</v>
      </c>
      <c r="G6">
        <v>4</v>
      </c>
      <c r="H6" s="2">
        <v>2079.8000000000002</v>
      </c>
      <c r="I6" s="2">
        <f t="shared" si="0"/>
        <v>8319.2000000000007</v>
      </c>
      <c r="J6" t="s">
        <v>26</v>
      </c>
      <c r="K6">
        <f t="shared" si="1"/>
        <v>5</v>
      </c>
    </row>
    <row r="7" spans="1:11" x14ac:dyDescent="0.3">
      <c r="A7" t="s">
        <v>35</v>
      </c>
      <c r="B7" s="1">
        <v>45740</v>
      </c>
      <c r="C7" t="s">
        <v>36</v>
      </c>
      <c r="D7" t="s">
        <v>12</v>
      </c>
      <c r="E7" t="s">
        <v>19</v>
      </c>
      <c r="F7" t="s">
        <v>20</v>
      </c>
      <c r="G7">
        <v>5</v>
      </c>
      <c r="H7" s="2">
        <v>4434.41</v>
      </c>
      <c r="I7" s="2">
        <f t="shared" si="0"/>
        <v>22172.05</v>
      </c>
      <c r="J7" t="s">
        <v>26</v>
      </c>
      <c r="K7">
        <f t="shared" si="1"/>
        <v>3</v>
      </c>
    </row>
    <row r="8" spans="1:11" x14ac:dyDescent="0.3">
      <c r="A8" t="s">
        <v>37</v>
      </c>
      <c r="B8" s="1">
        <v>45943</v>
      </c>
      <c r="C8" t="s">
        <v>38</v>
      </c>
      <c r="D8" t="s">
        <v>28</v>
      </c>
      <c r="E8" t="s">
        <v>19</v>
      </c>
      <c r="F8" t="s">
        <v>39</v>
      </c>
      <c r="G8">
        <v>3</v>
      </c>
      <c r="H8" s="2">
        <v>552.48</v>
      </c>
      <c r="I8" s="2">
        <f t="shared" si="0"/>
        <v>1657.44</v>
      </c>
      <c r="J8" t="s">
        <v>40</v>
      </c>
      <c r="K8">
        <f t="shared" si="1"/>
        <v>10</v>
      </c>
    </row>
    <row r="9" spans="1:11" x14ac:dyDescent="0.3">
      <c r="A9" t="s">
        <v>41</v>
      </c>
      <c r="B9" s="1">
        <v>45895</v>
      </c>
      <c r="C9" t="s">
        <v>42</v>
      </c>
      <c r="D9" t="s">
        <v>24</v>
      </c>
      <c r="E9" t="s">
        <v>19</v>
      </c>
      <c r="F9" t="s">
        <v>20</v>
      </c>
      <c r="G9">
        <v>3</v>
      </c>
      <c r="H9" s="2">
        <v>1424.32</v>
      </c>
      <c r="I9" s="2">
        <f t="shared" si="0"/>
        <v>4272.96</v>
      </c>
      <c r="J9" t="s">
        <v>21</v>
      </c>
      <c r="K9">
        <f t="shared" si="1"/>
        <v>8</v>
      </c>
    </row>
    <row r="10" spans="1:11" x14ac:dyDescent="0.3">
      <c r="A10" t="s">
        <v>43</v>
      </c>
      <c r="B10" s="1">
        <v>45807</v>
      </c>
      <c r="C10" t="s">
        <v>38</v>
      </c>
      <c r="D10" t="s">
        <v>18</v>
      </c>
      <c r="E10" t="s">
        <v>33</v>
      </c>
      <c r="F10" t="s">
        <v>44</v>
      </c>
      <c r="G10">
        <v>10</v>
      </c>
      <c r="H10" s="2">
        <v>1695.27</v>
      </c>
      <c r="I10" s="2">
        <f t="shared" si="0"/>
        <v>16952.7</v>
      </c>
      <c r="J10" t="s">
        <v>40</v>
      </c>
      <c r="K10">
        <f t="shared" si="1"/>
        <v>5</v>
      </c>
    </row>
    <row r="11" spans="1:11" x14ac:dyDescent="0.3">
      <c r="A11" t="s">
        <v>45</v>
      </c>
      <c r="B11" s="1">
        <v>46185</v>
      </c>
      <c r="C11" t="s">
        <v>31</v>
      </c>
      <c r="D11" t="s">
        <v>12</v>
      </c>
      <c r="E11" t="s">
        <v>46</v>
      </c>
      <c r="F11" t="s">
        <v>47</v>
      </c>
      <c r="G11">
        <v>7</v>
      </c>
      <c r="H11" s="2">
        <v>2085.0500000000002</v>
      </c>
      <c r="I11" s="2">
        <f t="shared" si="0"/>
        <v>14595.350000000002</v>
      </c>
      <c r="J11" t="s">
        <v>21</v>
      </c>
      <c r="K11">
        <f t="shared" si="1"/>
        <v>6</v>
      </c>
    </row>
    <row r="12" spans="1:11" x14ac:dyDescent="0.3">
      <c r="A12" t="s">
        <v>48</v>
      </c>
      <c r="B12" s="1">
        <v>46151</v>
      </c>
      <c r="C12" t="s">
        <v>49</v>
      </c>
      <c r="D12" t="s">
        <v>24</v>
      </c>
      <c r="E12" t="s">
        <v>50</v>
      </c>
      <c r="F12" t="s">
        <v>51</v>
      </c>
      <c r="G12">
        <v>4</v>
      </c>
      <c r="H12" s="2">
        <v>2287.04</v>
      </c>
      <c r="I12" s="2">
        <f t="shared" si="0"/>
        <v>9148.16</v>
      </c>
      <c r="J12" t="s">
        <v>21</v>
      </c>
      <c r="K12">
        <f t="shared" si="1"/>
        <v>5</v>
      </c>
    </row>
    <row r="13" spans="1:11" x14ac:dyDescent="0.3">
      <c r="A13" t="s">
        <v>52</v>
      </c>
      <c r="B13" s="1">
        <v>46006</v>
      </c>
      <c r="C13" t="s">
        <v>31</v>
      </c>
      <c r="D13" t="s">
        <v>24</v>
      </c>
      <c r="E13" t="s">
        <v>13</v>
      </c>
      <c r="F13" t="s">
        <v>53</v>
      </c>
      <c r="G13">
        <v>3</v>
      </c>
      <c r="H13" s="2">
        <v>2752.6</v>
      </c>
      <c r="I13" s="2">
        <f t="shared" si="0"/>
        <v>8257.7999999999993</v>
      </c>
      <c r="J13" t="s">
        <v>15</v>
      </c>
      <c r="K13">
        <f t="shared" si="1"/>
        <v>12</v>
      </c>
    </row>
    <row r="14" spans="1:11" x14ac:dyDescent="0.3">
      <c r="A14" t="s">
        <v>54</v>
      </c>
      <c r="B14" s="1">
        <v>45684</v>
      </c>
      <c r="C14" t="s">
        <v>55</v>
      </c>
      <c r="D14" t="s">
        <v>32</v>
      </c>
      <c r="E14" t="s">
        <v>46</v>
      </c>
      <c r="F14" t="s">
        <v>47</v>
      </c>
      <c r="G14">
        <v>3</v>
      </c>
      <c r="H14" s="2">
        <v>3226.89</v>
      </c>
      <c r="I14" s="2">
        <f t="shared" si="0"/>
        <v>9680.67</v>
      </c>
      <c r="J14" t="s">
        <v>15</v>
      </c>
      <c r="K14">
        <f t="shared" si="1"/>
        <v>1</v>
      </c>
    </row>
    <row r="15" spans="1:11" x14ac:dyDescent="0.3">
      <c r="A15" t="s">
        <v>56</v>
      </c>
      <c r="B15" s="1">
        <v>46030</v>
      </c>
      <c r="C15" t="s">
        <v>23</v>
      </c>
      <c r="D15" t="s">
        <v>24</v>
      </c>
      <c r="E15" t="s">
        <v>13</v>
      </c>
      <c r="F15" t="s">
        <v>29</v>
      </c>
      <c r="G15">
        <v>8</v>
      </c>
      <c r="H15" s="2">
        <v>2479.92</v>
      </c>
      <c r="I15" s="2">
        <f t="shared" si="0"/>
        <v>19839.36</v>
      </c>
      <c r="J15" t="s">
        <v>15</v>
      </c>
      <c r="K15">
        <f t="shared" si="1"/>
        <v>1</v>
      </c>
    </row>
    <row r="16" spans="1:11" x14ac:dyDescent="0.3">
      <c r="A16" t="s">
        <v>57</v>
      </c>
      <c r="B16" s="1">
        <v>45745</v>
      </c>
      <c r="C16" t="s">
        <v>58</v>
      </c>
      <c r="D16" t="s">
        <v>24</v>
      </c>
      <c r="E16" t="s">
        <v>33</v>
      </c>
      <c r="F16" t="s">
        <v>59</v>
      </c>
      <c r="G16">
        <v>8</v>
      </c>
      <c r="H16" s="2">
        <v>4169.95</v>
      </c>
      <c r="I16" s="2">
        <f t="shared" si="0"/>
        <v>33359.599999999999</v>
      </c>
      <c r="J16" t="s">
        <v>40</v>
      </c>
      <c r="K16">
        <f t="shared" si="1"/>
        <v>3</v>
      </c>
    </row>
    <row r="17" spans="1:11" x14ac:dyDescent="0.3">
      <c r="A17" t="s">
        <v>60</v>
      </c>
      <c r="B17" s="1">
        <v>46186</v>
      </c>
      <c r="C17" t="s">
        <v>61</v>
      </c>
      <c r="D17" t="s">
        <v>32</v>
      </c>
      <c r="E17" t="s">
        <v>46</v>
      </c>
      <c r="F17" t="s">
        <v>62</v>
      </c>
      <c r="G17">
        <v>3</v>
      </c>
      <c r="H17" s="2">
        <v>3496.83</v>
      </c>
      <c r="I17" s="2">
        <f t="shared" si="0"/>
        <v>10490.49</v>
      </c>
      <c r="J17" t="s">
        <v>21</v>
      </c>
      <c r="K17">
        <f t="shared" si="1"/>
        <v>6</v>
      </c>
    </row>
    <row r="18" spans="1:11" x14ac:dyDescent="0.3">
      <c r="A18" t="s">
        <v>63</v>
      </c>
      <c r="B18" s="1">
        <v>46198</v>
      </c>
      <c r="C18" t="s">
        <v>64</v>
      </c>
      <c r="D18" t="s">
        <v>24</v>
      </c>
      <c r="E18" t="s">
        <v>33</v>
      </c>
      <c r="F18" t="s">
        <v>44</v>
      </c>
      <c r="G18">
        <v>6</v>
      </c>
      <c r="H18" s="2">
        <v>4555.05</v>
      </c>
      <c r="I18" s="2">
        <f t="shared" si="0"/>
        <v>27330.300000000003</v>
      </c>
      <c r="J18" t="s">
        <v>15</v>
      </c>
      <c r="K18">
        <f t="shared" si="1"/>
        <v>6</v>
      </c>
    </row>
    <row r="19" spans="1:11" x14ac:dyDescent="0.3">
      <c r="A19" t="s">
        <v>65</v>
      </c>
      <c r="B19" s="1">
        <v>45886</v>
      </c>
      <c r="C19" t="s">
        <v>66</v>
      </c>
      <c r="D19" t="s">
        <v>18</v>
      </c>
      <c r="E19" t="s">
        <v>46</v>
      </c>
      <c r="F19" t="s">
        <v>62</v>
      </c>
      <c r="G19">
        <v>4</v>
      </c>
      <c r="H19" s="2">
        <v>3124.16</v>
      </c>
      <c r="I19" s="2">
        <f t="shared" si="0"/>
        <v>12496.64</v>
      </c>
      <c r="J19" t="s">
        <v>40</v>
      </c>
      <c r="K19">
        <f t="shared" si="1"/>
        <v>8</v>
      </c>
    </row>
    <row r="20" spans="1:11" x14ac:dyDescent="0.3">
      <c r="A20" t="s">
        <v>67</v>
      </c>
      <c r="B20" s="1">
        <v>45903</v>
      </c>
      <c r="C20" t="s">
        <v>49</v>
      </c>
      <c r="D20" t="s">
        <v>32</v>
      </c>
      <c r="E20" t="s">
        <v>50</v>
      </c>
      <c r="F20" t="s">
        <v>68</v>
      </c>
      <c r="G20">
        <v>8</v>
      </c>
      <c r="H20" s="2">
        <v>1874.48</v>
      </c>
      <c r="I20" s="2">
        <f t="shared" si="0"/>
        <v>14995.84</v>
      </c>
      <c r="J20" t="s">
        <v>21</v>
      </c>
      <c r="K20">
        <f t="shared" si="1"/>
        <v>9</v>
      </c>
    </row>
    <row r="21" spans="1:11" x14ac:dyDescent="0.3">
      <c r="A21" t="s">
        <v>69</v>
      </c>
      <c r="B21" s="1">
        <v>45686</v>
      </c>
      <c r="C21" t="s">
        <v>70</v>
      </c>
      <c r="D21" t="s">
        <v>12</v>
      </c>
      <c r="E21" t="s">
        <v>33</v>
      </c>
      <c r="F21" t="s">
        <v>34</v>
      </c>
      <c r="G21">
        <v>10</v>
      </c>
      <c r="H21" s="2">
        <v>4789.1000000000004</v>
      </c>
      <c r="I21" s="2">
        <f t="shared" si="0"/>
        <v>47891</v>
      </c>
      <c r="J21" t="s">
        <v>26</v>
      </c>
      <c r="K21">
        <f t="shared" si="1"/>
        <v>1</v>
      </c>
    </row>
    <row r="22" spans="1:11" x14ac:dyDescent="0.3">
      <c r="A22" t="s">
        <v>71</v>
      </c>
      <c r="B22" s="1">
        <v>46015</v>
      </c>
      <c r="C22" t="s">
        <v>72</v>
      </c>
      <c r="D22" t="s">
        <v>24</v>
      </c>
      <c r="E22" t="s">
        <v>50</v>
      </c>
      <c r="F22" t="s">
        <v>51</v>
      </c>
      <c r="G22">
        <v>4</v>
      </c>
      <c r="H22" s="2">
        <v>2429.89</v>
      </c>
      <c r="I22" s="2">
        <f t="shared" si="0"/>
        <v>9719.56</v>
      </c>
      <c r="J22" t="s">
        <v>15</v>
      </c>
      <c r="K22">
        <f t="shared" si="1"/>
        <v>12</v>
      </c>
    </row>
    <row r="23" spans="1:11" x14ac:dyDescent="0.3">
      <c r="A23" t="s">
        <v>73</v>
      </c>
      <c r="B23" s="1">
        <v>45867</v>
      </c>
      <c r="C23" t="s">
        <v>23</v>
      </c>
      <c r="D23" t="s">
        <v>18</v>
      </c>
      <c r="E23" t="s">
        <v>46</v>
      </c>
      <c r="F23" t="s">
        <v>74</v>
      </c>
      <c r="G23">
        <v>8</v>
      </c>
      <c r="H23" s="2">
        <v>4559.62</v>
      </c>
      <c r="I23" s="2">
        <f t="shared" si="0"/>
        <v>36476.959999999999</v>
      </c>
      <c r="J23" t="s">
        <v>15</v>
      </c>
      <c r="K23">
        <f t="shared" si="1"/>
        <v>7</v>
      </c>
    </row>
    <row r="24" spans="1:11" x14ac:dyDescent="0.3">
      <c r="A24" t="s">
        <v>75</v>
      </c>
      <c r="B24" s="1">
        <v>45744</v>
      </c>
      <c r="C24" t="s">
        <v>76</v>
      </c>
      <c r="D24" t="s">
        <v>12</v>
      </c>
      <c r="E24" t="s">
        <v>50</v>
      </c>
      <c r="F24" t="s">
        <v>77</v>
      </c>
      <c r="G24">
        <v>3</v>
      </c>
      <c r="H24" s="2">
        <v>2254.54</v>
      </c>
      <c r="I24" s="2">
        <f t="shared" si="0"/>
        <v>6763.62</v>
      </c>
      <c r="J24" t="s">
        <v>15</v>
      </c>
      <c r="K24">
        <f t="shared" si="1"/>
        <v>3</v>
      </c>
    </row>
    <row r="25" spans="1:11" x14ac:dyDescent="0.3">
      <c r="A25" t="s">
        <v>78</v>
      </c>
      <c r="B25" s="1">
        <v>45746</v>
      </c>
      <c r="C25" t="s">
        <v>49</v>
      </c>
      <c r="D25" t="s">
        <v>12</v>
      </c>
      <c r="E25" t="s">
        <v>19</v>
      </c>
      <c r="F25" t="s">
        <v>79</v>
      </c>
      <c r="G25">
        <v>3</v>
      </c>
      <c r="H25" s="2">
        <v>974.52</v>
      </c>
      <c r="I25" s="2">
        <f t="shared" si="0"/>
        <v>2923.56</v>
      </c>
      <c r="J25" t="s">
        <v>40</v>
      </c>
      <c r="K25">
        <f t="shared" si="1"/>
        <v>3</v>
      </c>
    </row>
    <row r="26" spans="1:11" x14ac:dyDescent="0.3">
      <c r="A26" t="s">
        <v>80</v>
      </c>
      <c r="B26" s="1">
        <v>45686</v>
      </c>
      <c r="C26" t="s">
        <v>58</v>
      </c>
      <c r="D26" t="s">
        <v>18</v>
      </c>
      <c r="E26" t="s">
        <v>19</v>
      </c>
      <c r="F26" t="s">
        <v>39</v>
      </c>
      <c r="G26">
        <v>10</v>
      </c>
      <c r="H26" s="2">
        <v>4158.58</v>
      </c>
      <c r="I26" s="2">
        <f t="shared" si="0"/>
        <v>41585.800000000003</v>
      </c>
      <c r="J26" t="s">
        <v>26</v>
      </c>
      <c r="K26">
        <f t="shared" si="1"/>
        <v>1</v>
      </c>
    </row>
    <row r="27" spans="1:11" x14ac:dyDescent="0.3">
      <c r="A27" t="s">
        <v>81</v>
      </c>
      <c r="B27" s="1">
        <v>46016</v>
      </c>
      <c r="C27" t="s">
        <v>58</v>
      </c>
      <c r="D27" t="s">
        <v>18</v>
      </c>
      <c r="E27" t="s">
        <v>46</v>
      </c>
      <c r="F27" t="s">
        <v>82</v>
      </c>
      <c r="G27">
        <v>1</v>
      </c>
      <c r="H27" s="2">
        <v>219.08</v>
      </c>
      <c r="I27" s="2">
        <f t="shared" si="0"/>
        <v>219.08</v>
      </c>
      <c r="J27" t="s">
        <v>21</v>
      </c>
      <c r="K27">
        <f t="shared" si="1"/>
        <v>12</v>
      </c>
    </row>
    <row r="28" spans="1:11" x14ac:dyDescent="0.3">
      <c r="A28" t="s">
        <v>83</v>
      </c>
      <c r="B28" s="1">
        <v>46197</v>
      </c>
      <c r="C28" t="s">
        <v>84</v>
      </c>
      <c r="D28" t="s">
        <v>12</v>
      </c>
      <c r="E28" t="s">
        <v>50</v>
      </c>
      <c r="F28" t="s">
        <v>85</v>
      </c>
      <c r="G28">
        <v>1</v>
      </c>
      <c r="H28" s="2">
        <v>1371.4</v>
      </c>
      <c r="I28" s="2">
        <f t="shared" si="0"/>
        <v>1371.4</v>
      </c>
      <c r="J28" t="s">
        <v>15</v>
      </c>
      <c r="K28">
        <f t="shared" si="1"/>
        <v>6</v>
      </c>
    </row>
    <row r="29" spans="1:11" x14ac:dyDescent="0.3">
      <c r="A29" t="s">
        <v>86</v>
      </c>
      <c r="B29" s="1">
        <v>46171</v>
      </c>
      <c r="C29" t="s">
        <v>87</v>
      </c>
      <c r="D29" t="s">
        <v>18</v>
      </c>
      <c r="E29" t="s">
        <v>33</v>
      </c>
      <c r="F29" t="s">
        <v>59</v>
      </c>
      <c r="G29">
        <v>9</v>
      </c>
      <c r="H29" s="2">
        <v>2182.21</v>
      </c>
      <c r="I29" s="2">
        <f t="shared" si="0"/>
        <v>19639.89</v>
      </c>
      <c r="J29" t="s">
        <v>40</v>
      </c>
      <c r="K29">
        <f t="shared" si="1"/>
        <v>5</v>
      </c>
    </row>
    <row r="30" spans="1:11" x14ac:dyDescent="0.3">
      <c r="A30" t="s">
        <v>88</v>
      </c>
      <c r="B30" s="1">
        <v>45720</v>
      </c>
      <c r="C30" t="s">
        <v>17</v>
      </c>
      <c r="D30" t="s">
        <v>12</v>
      </c>
      <c r="E30" t="s">
        <v>46</v>
      </c>
      <c r="F30" t="s">
        <v>89</v>
      </c>
      <c r="G30">
        <v>7</v>
      </c>
      <c r="H30" s="2">
        <v>4161.63</v>
      </c>
      <c r="I30" s="2">
        <f t="shared" si="0"/>
        <v>29131.41</v>
      </c>
      <c r="J30" t="s">
        <v>90</v>
      </c>
      <c r="K30">
        <f t="shared" si="1"/>
        <v>3</v>
      </c>
    </row>
    <row r="31" spans="1:11" x14ac:dyDescent="0.3">
      <c r="A31" t="s">
        <v>91</v>
      </c>
      <c r="B31" s="1">
        <v>45791</v>
      </c>
      <c r="C31" t="s">
        <v>66</v>
      </c>
      <c r="D31" t="s">
        <v>32</v>
      </c>
      <c r="E31" t="s">
        <v>46</v>
      </c>
      <c r="F31" t="s">
        <v>89</v>
      </c>
      <c r="G31">
        <v>1</v>
      </c>
      <c r="H31" s="2">
        <v>4383.1099999999997</v>
      </c>
      <c r="I31" s="2">
        <f t="shared" si="0"/>
        <v>4383.1099999999997</v>
      </c>
      <c r="J31" t="s">
        <v>40</v>
      </c>
      <c r="K31">
        <f t="shared" si="1"/>
        <v>5</v>
      </c>
    </row>
    <row r="32" spans="1:11" x14ac:dyDescent="0.3">
      <c r="A32" t="s">
        <v>92</v>
      </c>
      <c r="B32" s="1">
        <v>45662</v>
      </c>
      <c r="C32" t="s">
        <v>58</v>
      </c>
      <c r="D32" t="s">
        <v>32</v>
      </c>
      <c r="E32" t="s">
        <v>50</v>
      </c>
      <c r="F32" t="s">
        <v>77</v>
      </c>
      <c r="G32">
        <v>10</v>
      </c>
      <c r="H32" s="2">
        <v>3667.19</v>
      </c>
      <c r="I32" s="2">
        <f t="shared" si="0"/>
        <v>36671.9</v>
      </c>
      <c r="J32" t="s">
        <v>90</v>
      </c>
      <c r="K32">
        <f t="shared" si="1"/>
        <v>1</v>
      </c>
    </row>
    <row r="33" spans="1:11" x14ac:dyDescent="0.3">
      <c r="A33" t="s">
        <v>93</v>
      </c>
      <c r="B33" s="1">
        <v>45721</v>
      </c>
      <c r="C33" t="s">
        <v>94</v>
      </c>
      <c r="D33" t="s">
        <v>18</v>
      </c>
      <c r="E33" t="s">
        <v>46</v>
      </c>
      <c r="F33" t="s">
        <v>89</v>
      </c>
      <c r="G33">
        <v>8</v>
      </c>
      <c r="H33" s="2">
        <v>3953.72</v>
      </c>
      <c r="I33" s="2">
        <f t="shared" si="0"/>
        <v>31629.759999999998</v>
      </c>
      <c r="J33" t="s">
        <v>21</v>
      </c>
      <c r="K33">
        <f t="shared" si="1"/>
        <v>3</v>
      </c>
    </row>
    <row r="34" spans="1:11" x14ac:dyDescent="0.3">
      <c r="A34" t="s">
        <v>95</v>
      </c>
      <c r="B34" s="1">
        <v>45716</v>
      </c>
      <c r="C34" t="s">
        <v>87</v>
      </c>
      <c r="D34" t="s">
        <v>32</v>
      </c>
      <c r="E34" t="s">
        <v>33</v>
      </c>
      <c r="F34" t="s">
        <v>96</v>
      </c>
      <c r="G34">
        <v>2</v>
      </c>
      <c r="H34" s="2">
        <v>2612.41</v>
      </c>
      <c r="I34" s="2">
        <f t="shared" ref="I34:I65" si="2">G34*H34</f>
        <v>5224.82</v>
      </c>
      <c r="J34" t="s">
        <v>90</v>
      </c>
      <c r="K34">
        <f t="shared" si="1"/>
        <v>2</v>
      </c>
    </row>
    <row r="35" spans="1:11" x14ac:dyDescent="0.3">
      <c r="A35" t="s">
        <v>97</v>
      </c>
      <c r="B35" s="1">
        <v>45686</v>
      </c>
      <c r="C35" t="s">
        <v>55</v>
      </c>
      <c r="D35" t="s">
        <v>12</v>
      </c>
      <c r="E35" t="s">
        <v>33</v>
      </c>
      <c r="F35" t="s">
        <v>44</v>
      </c>
      <c r="G35">
        <v>9</v>
      </c>
      <c r="H35" s="2">
        <v>3089.77</v>
      </c>
      <c r="I35" s="2">
        <f t="shared" si="2"/>
        <v>27807.93</v>
      </c>
      <c r="J35" t="s">
        <v>40</v>
      </c>
      <c r="K35">
        <f t="shared" si="1"/>
        <v>1</v>
      </c>
    </row>
    <row r="36" spans="1:11" x14ac:dyDescent="0.3">
      <c r="A36" t="s">
        <v>98</v>
      </c>
      <c r="B36" s="1">
        <v>45941</v>
      </c>
      <c r="C36" t="s">
        <v>99</v>
      </c>
      <c r="D36" t="s">
        <v>18</v>
      </c>
      <c r="E36" t="s">
        <v>46</v>
      </c>
      <c r="F36" t="s">
        <v>47</v>
      </c>
      <c r="G36">
        <v>9</v>
      </c>
      <c r="H36" s="2">
        <v>4716.28</v>
      </c>
      <c r="I36" s="2">
        <f t="shared" si="2"/>
        <v>42446.52</v>
      </c>
      <c r="J36" t="s">
        <v>90</v>
      </c>
      <c r="K36">
        <f t="shared" si="1"/>
        <v>10</v>
      </c>
    </row>
    <row r="37" spans="1:11" x14ac:dyDescent="0.3">
      <c r="A37" t="s">
        <v>100</v>
      </c>
      <c r="B37" s="1">
        <v>45923</v>
      </c>
      <c r="C37" t="s">
        <v>101</v>
      </c>
      <c r="D37" t="s">
        <v>12</v>
      </c>
      <c r="E37" t="s">
        <v>50</v>
      </c>
      <c r="F37" t="s">
        <v>77</v>
      </c>
      <c r="G37">
        <v>2</v>
      </c>
      <c r="H37" s="2">
        <v>2052.9699999999998</v>
      </c>
      <c r="I37" s="2">
        <f t="shared" si="2"/>
        <v>4105.9399999999996</v>
      </c>
      <c r="J37" t="s">
        <v>15</v>
      </c>
      <c r="K37">
        <f t="shared" si="1"/>
        <v>9</v>
      </c>
    </row>
    <row r="38" spans="1:11" x14ac:dyDescent="0.3">
      <c r="A38" t="s">
        <v>102</v>
      </c>
      <c r="B38" s="1">
        <v>45732</v>
      </c>
      <c r="C38" t="s">
        <v>87</v>
      </c>
      <c r="D38" t="s">
        <v>12</v>
      </c>
      <c r="E38" t="s">
        <v>13</v>
      </c>
      <c r="F38" t="s">
        <v>103</v>
      </c>
      <c r="G38">
        <v>5</v>
      </c>
      <c r="H38" s="2">
        <v>3952.09</v>
      </c>
      <c r="I38" s="2">
        <f t="shared" si="2"/>
        <v>19760.45</v>
      </c>
      <c r="J38" t="s">
        <v>40</v>
      </c>
      <c r="K38">
        <f t="shared" si="1"/>
        <v>3</v>
      </c>
    </row>
    <row r="39" spans="1:11" x14ac:dyDescent="0.3">
      <c r="A39" t="s">
        <v>104</v>
      </c>
      <c r="B39" s="1">
        <v>46032</v>
      </c>
      <c r="C39" t="s">
        <v>58</v>
      </c>
      <c r="D39" t="s">
        <v>28</v>
      </c>
      <c r="E39" t="s">
        <v>50</v>
      </c>
      <c r="F39" t="s">
        <v>77</v>
      </c>
      <c r="G39">
        <v>4</v>
      </c>
      <c r="H39" s="2">
        <v>3771.41</v>
      </c>
      <c r="I39" s="2">
        <f t="shared" si="2"/>
        <v>15085.64</v>
      </c>
      <c r="J39" t="s">
        <v>21</v>
      </c>
      <c r="K39">
        <f t="shared" si="1"/>
        <v>1</v>
      </c>
    </row>
    <row r="40" spans="1:11" x14ac:dyDescent="0.3">
      <c r="A40" t="s">
        <v>105</v>
      </c>
      <c r="B40" s="1">
        <v>46065</v>
      </c>
      <c r="C40" t="s">
        <v>11</v>
      </c>
      <c r="D40" t="s">
        <v>32</v>
      </c>
      <c r="E40" t="s">
        <v>50</v>
      </c>
      <c r="F40" t="s">
        <v>85</v>
      </c>
      <c r="G40">
        <v>7</v>
      </c>
      <c r="H40" s="2">
        <v>4971.25</v>
      </c>
      <c r="I40" s="2">
        <f t="shared" si="2"/>
        <v>34798.75</v>
      </c>
      <c r="J40" t="s">
        <v>26</v>
      </c>
      <c r="K40">
        <f t="shared" si="1"/>
        <v>2</v>
      </c>
    </row>
    <row r="41" spans="1:11" x14ac:dyDescent="0.3">
      <c r="A41" t="s">
        <v>106</v>
      </c>
      <c r="B41" s="1">
        <v>46005</v>
      </c>
      <c r="C41" t="s">
        <v>38</v>
      </c>
      <c r="D41" t="s">
        <v>32</v>
      </c>
      <c r="E41" t="s">
        <v>33</v>
      </c>
      <c r="F41" t="s">
        <v>59</v>
      </c>
      <c r="G41">
        <v>2</v>
      </c>
      <c r="H41" s="2">
        <v>3652.43</v>
      </c>
      <c r="I41" s="2">
        <f t="shared" si="2"/>
        <v>7304.86</v>
      </c>
      <c r="J41" t="s">
        <v>21</v>
      </c>
      <c r="K41">
        <f t="shared" si="1"/>
        <v>12</v>
      </c>
    </row>
    <row r="42" spans="1:11" x14ac:dyDescent="0.3">
      <c r="A42" t="s">
        <v>107</v>
      </c>
      <c r="B42" s="1">
        <v>46004</v>
      </c>
      <c r="C42" t="s">
        <v>108</v>
      </c>
      <c r="D42" t="s">
        <v>12</v>
      </c>
      <c r="E42" t="s">
        <v>13</v>
      </c>
      <c r="F42" t="s">
        <v>29</v>
      </c>
      <c r="G42">
        <v>6</v>
      </c>
      <c r="H42" s="2">
        <v>2659.55</v>
      </c>
      <c r="I42" s="2">
        <f t="shared" si="2"/>
        <v>15957.300000000001</v>
      </c>
      <c r="J42" t="s">
        <v>15</v>
      </c>
      <c r="K42">
        <f t="shared" si="1"/>
        <v>12</v>
      </c>
    </row>
    <row r="43" spans="1:11" x14ac:dyDescent="0.3">
      <c r="A43" t="s">
        <v>109</v>
      </c>
      <c r="B43" s="1">
        <v>46182</v>
      </c>
      <c r="C43" t="s">
        <v>55</v>
      </c>
      <c r="D43" t="s">
        <v>24</v>
      </c>
      <c r="E43" t="s">
        <v>50</v>
      </c>
      <c r="F43" t="s">
        <v>51</v>
      </c>
      <c r="G43">
        <v>2</v>
      </c>
      <c r="H43" s="2">
        <v>1437.99</v>
      </c>
      <c r="I43" s="2">
        <f t="shared" si="2"/>
        <v>2875.98</v>
      </c>
      <c r="J43" t="s">
        <v>21</v>
      </c>
      <c r="K43">
        <f t="shared" si="1"/>
        <v>6</v>
      </c>
    </row>
    <row r="44" spans="1:11" x14ac:dyDescent="0.3">
      <c r="A44" t="s">
        <v>110</v>
      </c>
      <c r="B44" s="1">
        <v>45843</v>
      </c>
      <c r="C44" t="s">
        <v>70</v>
      </c>
      <c r="D44" t="s">
        <v>32</v>
      </c>
      <c r="E44" t="s">
        <v>19</v>
      </c>
      <c r="F44" t="s">
        <v>111</v>
      </c>
      <c r="G44">
        <v>7</v>
      </c>
      <c r="H44" s="2">
        <v>874.43</v>
      </c>
      <c r="I44" s="2">
        <f t="shared" si="2"/>
        <v>6121.0099999999993</v>
      </c>
      <c r="J44" t="s">
        <v>90</v>
      </c>
      <c r="K44">
        <f t="shared" si="1"/>
        <v>7</v>
      </c>
    </row>
    <row r="45" spans="1:11" x14ac:dyDescent="0.3">
      <c r="A45" t="s">
        <v>112</v>
      </c>
      <c r="B45" s="1">
        <v>46164</v>
      </c>
      <c r="C45" t="s">
        <v>94</v>
      </c>
      <c r="D45" t="s">
        <v>24</v>
      </c>
      <c r="E45" t="s">
        <v>33</v>
      </c>
      <c r="F45" t="s">
        <v>96</v>
      </c>
      <c r="G45">
        <v>3</v>
      </c>
      <c r="H45" s="2">
        <v>2212.79</v>
      </c>
      <c r="I45" s="2">
        <f t="shared" si="2"/>
        <v>6638.37</v>
      </c>
      <c r="J45" t="s">
        <v>21</v>
      </c>
      <c r="K45">
        <f t="shared" si="1"/>
        <v>5</v>
      </c>
    </row>
    <row r="46" spans="1:11" x14ac:dyDescent="0.3">
      <c r="A46" t="s">
        <v>113</v>
      </c>
      <c r="B46" s="1">
        <v>45933</v>
      </c>
      <c r="C46" t="s">
        <v>61</v>
      </c>
      <c r="D46" t="s">
        <v>24</v>
      </c>
      <c r="E46" t="s">
        <v>33</v>
      </c>
      <c r="F46" t="s">
        <v>96</v>
      </c>
      <c r="G46">
        <v>10</v>
      </c>
      <c r="H46" s="2">
        <v>4302.71</v>
      </c>
      <c r="I46" s="2">
        <f t="shared" si="2"/>
        <v>43027.1</v>
      </c>
      <c r="J46" t="s">
        <v>21</v>
      </c>
      <c r="K46">
        <f t="shared" si="1"/>
        <v>10</v>
      </c>
    </row>
    <row r="47" spans="1:11" x14ac:dyDescent="0.3">
      <c r="A47" t="s">
        <v>114</v>
      </c>
      <c r="B47" s="1">
        <v>45928</v>
      </c>
      <c r="C47" t="s">
        <v>76</v>
      </c>
      <c r="D47" t="s">
        <v>12</v>
      </c>
      <c r="E47" t="s">
        <v>13</v>
      </c>
      <c r="F47" t="s">
        <v>25</v>
      </c>
      <c r="G47">
        <v>9</v>
      </c>
      <c r="H47" s="2">
        <v>2176.14</v>
      </c>
      <c r="I47" s="2">
        <f t="shared" si="2"/>
        <v>19585.259999999998</v>
      </c>
      <c r="J47" t="s">
        <v>15</v>
      </c>
      <c r="K47">
        <f t="shared" si="1"/>
        <v>9</v>
      </c>
    </row>
    <row r="48" spans="1:11" x14ac:dyDescent="0.3">
      <c r="A48" t="s">
        <v>115</v>
      </c>
      <c r="B48" s="1">
        <v>45790</v>
      </c>
      <c r="C48" t="s">
        <v>116</v>
      </c>
      <c r="D48" t="s">
        <v>18</v>
      </c>
      <c r="E48" t="s">
        <v>50</v>
      </c>
      <c r="F48" t="s">
        <v>51</v>
      </c>
      <c r="G48">
        <v>3</v>
      </c>
      <c r="H48" s="2">
        <v>1420.19</v>
      </c>
      <c r="I48" s="2">
        <f t="shared" si="2"/>
        <v>4260.57</v>
      </c>
      <c r="J48" t="s">
        <v>40</v>
      </c>
      <c r="K48">
        <f t="shared" si="1"/>
        <v>5</v>
      </c>
    </row>
    <row r="49" spans="1:11" x14ac:dyDescent="0.3">
      <c r="A49" t="s">
        <v>117</v>
      </c>
      <c r="B49" s="1">
        <v>45864</v>
      </c>
      <c r="C49" t="s">
        <v>64</v>
      </c>
      <c r="D49" t="s">
        <v>28</v>
      </c>
      <c r="E49" t="s">
        <v>46</v>
      </c>
      <c r="F49" t="s">
        <v>82</v>
      </c>
      <c r="G49">
        <v>5</v>
      </c>
      <c r="H49" s="2">
        <v>2311.58</v>
      </c>
      <c r="I49" s="2">
        <f t="shared" si="2"/>
        <v>11557.9</v>
      </c>
      <c r="J49" t="s">
        <v>40</v>
      </c>
      <c r="K49">
        <f t="shared" si="1"/>
        <v>7</v>
      </c>
    </row>
    <row r="50" spans="1:11" x14ac:dyDescent="0.3">
      <c r="A50" t="s">
        <v>118</v>
      </c>
      <c r="B50" s="1">
        <v>45935</v>
      </c>
      <c r="C50" t="s">
        <v>17</v>
      </c>
      <c r="D50" t="s">
        <v>24</v>
      </c>
      <c r="E50" t="s">
        <v>33</v>
      </c>
      <c r="F50" t="s">
        <v>96</v>
      </c>
      <c r="G50">
        <v>1</v>
      </c>
      <c r="H50" s="2">
        <v>239.4</v>
      </c>
      <c r="I50" s="2">
        <f t="shared" si="2"/>
        <v>239.4</v>
      </c>
      <c r="J50" t="s">
        <v>90</v>
      </c>
      <c r="K50">
        <f t="shared" si="1"/>
        <v>10</v>
      </c>
    </row>
    <row r="51" spans="1:11" x14ac:dyDescent="0.3">
      <c r="A51" t="s">
        <v>119</v>
      </c>
      <c r="B51" s="1">
        <v>45852</v>
      </c>
      <c r="C51" t="s">
        <v>120</v>
      </c>
      <c r="D51" t="s">
        <v>12</v>
      </c>
      <c r="E51" t="s">
        <v>50</v>
      </c>
      <c r="F51" t="s">
        <v>77</v>
      </c>
      <c r="G51">
        <v>2</v>
      </c>
      <c r="H51" s="2">
        <v>3342.85</v>
      </c>
      <c r="I51" s="2">
        <f t="shared" si="2"/>
        <v>6685.7</v>
      </c>
      <c r="J51" t="s">
        <v>26</v>
      </c>
      <c r="K51">
        <f t="shared" si="1"/>
        <v>7</v>
      </c>
    </row>
    <row r="52" spans="1:11" x14ac:dyDescent="0.3">
      <c r="A52" t="s">
        <v>121</v>
      </c>
      <c r="B52" s="1">
        <v>46164</v>
      </c>
      <c r="C52" t="s">
        <v>66</v>
      </c>
      <c r="D52" t="s">
        <v>12</v>
      </c>
      <c r="E52" t="s">
        <v>46</v>
      </c>
      <c r="F52" t="s">
        <v>62</v>
      </c>
      <c r="G52">
        <v>4</v>
      </c>
      <c r="H52" s="2">
        <v>4914.84</v>
      </c>
      <c r="I52" s="2">
        <f t="shared" si="2"/>
        <v>19659.36</v>
      </c>
      <c r="J52" t="s">
        <v>15</v>
      </c>
      <c r="K52">
        <f t="shared" si="1"/>
        <v>5</v>
      </c>
    </row>
    <row r="53" spans="1:11" x14ac:dyDescent="0.3">
      <c r="A53" t="s">
        <v>122</v>
      </c>
      <c r="B53" s="1">
        <v>45861</v>
      </c>
      <c r="C53" t="s">
        <v>84</v>
      </c>
      <c r="D53" t="s">
        <v>12</v>
      </c>
      <c r="E53" t="s">
        <v>33</v>
      </c>
      <c r="F53" t="s">
        <v>96</v>
      </c>
      <c r="G53">
        <v>3</v>
      </c>
      <c r="H53" s="2">
        <v>219.14</v>
      </c>
      <c r="I53" s="2">
        <f t="shared" si="2"/>
        <v>657.42</v>
      </c>
      <c r="J53" t="s">
        <v>15</v>
      </c>
      <c r="K53">
        <f t="shared" si="1"/>
        <v>7</v>
      </c>
    </row>
    <row r="54" spans="1:11" x14ac:dyDescent="0.3">
      <c r="A54" t="s">
        <v>123</v>
      </c>
      <c r="B54" s="1">
        <v>46099</v>
      </c>
      <c r="C54" t="s">
        <v>36</v>
      </c>
      <c r="D54" t="s">
        <v>24</v>
      </c>
      <c r="E54" t="s">
        <v>13</v>
      </c>
      <c r="F54" t="s">
        <v>29</v>
      </c>
      <c r="G54">
        <v>9</v>
      </c>
      <c r="H54" s="2">
        <v>3402.13</v>
      </c>
      <c r="I54" s="2">
        <f t="shared" si="2"/>
        <v>30619.170000000002</v>
      </c>
      <c r="J54" t="s">
        <v>15</v>
      </c>
      <c r="K54">
        <f t="shared" si="1"/>
        <v>3</v>
      </c>
    </row>
    <row r="55" spans="1:11" x14ac:dyDescent="0.3">
      <c r="A55" t="s">
        <v>124</v>
      </c>
      <c r="B55" s="1">
        <v>45906</v>
      </c>
      <c r="C55" t="s">
        <v>125</v>
      </c>
      <c r="D55" t="s">
        <v>24</v>
      </c>
      <c r="E55" t="s">
        <v>19</v>
      </c>
      <c r="F55" t="s">
        <v>39</v>
      </c>
      <c r="G55">
        <v>3</v>
      </c>
      <c r="H55" s="2">
        <v>1454.83</v>
      </c>
      <c r="I55" s="2">
        <f t="shared" si="2"/>
        <v>4364.49</v>
      </c>
      <c r="J55" t="s">
        <v>21</v>
      </c>
      <c r="K55">
        <f t="shared" si="1"/>
        <v>9</v>
      </c>
    </row>
    <row r="56" spans="1:11" x14ac:dyDescent="0.3">
      <c r="A56" t="s">
        <v>126</v>
      </c>
      <c r="B56" s="1">
        <v>45927</v>
      </c>
      <c r="C56" t="s">
        <v>72</v>
      </c>
      <c r="D56" t="s">
        <v>28</v>
      </c>
      <c r="E56" t="s">
        <v>46</v>
      </c>
      <c r="F56" t="s">
        <v>62</v>
      </c>
      <c r="G56">
        <v>4</v>
      </c>
      <c r="H56" s="2">
        <v>317.07</v>
      </c>
      <c r="I56" s="2">
        <f t="shared" si="2"/>
        <v>1268.28</v>
      </c>
      <c r="J56" t="s">
        <v>15</v>
      </c>
      <c r="K56">
        <f t="shared" si="1"/>
        <v>9</v>
      </c>
    </row>
    <row r="57" spans="1:11" x14ac:dyDescent="0.3">
      <c r="A57" t="s">
        <v>127</v>
      </c>
      <c r="B57" s="1">
        <v>45881</v>
      </c>
      <c r="C57" t="s">
        <v>17</v>
      </c>
      <c r="D57" t="s">
        <v>32</v>
      </c>
      <c r="E57" t="s">
        <v>13</v>
      </c>
      <c r="F57" t="s">
        <v>25</v>
      </c>
      <c r="G57">
        <v>7</v>
      </c>
      <c r="H57" s="2">
        <v>556.87</v>
      </c>
      <c r="I57" s="2">
        <f t="shared" si="2"/>
        <v>3898.09</v>
      </c>
      <c r="J57" t="s">
        <v>15</v>
      </c>
      <c r="K57">
        <f t="shared" si="1"/>
        <v>8</v>
      </c>
    </row>
    <row r="58" spans="1:11" x14ac:dyDescent="0.3">
      <c r="A58" t="s">
        <v>128</v>
      </c>
      <c r="B58" s="1">
        <v>46172</v>
      </c>
      <c r="C58" t="s">
        <v>101</v>
      </c>
      <c r="D58" t="s">
        <v>32</v>
      </c>
      <c r="E58" t="s">
        <v>46</v>
      </c>
      <c r="F58" t="s">
        <v>74</v>
      </c>
      <c r="G58">
        <v>2</v>
      </c>
      <c r="H58" s="2">
        <v>1431.22</v>
      </c>
      <c r="I58" s="2">
        <f t="shared" si="2"/>
        <v>2862.44</v>
      </c>
      <c r="J58" t="s">
        <v>21</v>
      </c>
      <c r="K58">
        <f t="shared" si="1"/>
        <v>5</v>
      </c>
    </row>
    <row r="59" spans="1:11" x14ac:dyDescent="0.3">
      <c r="A59" t="s">
        <v>129</v>
      </c>
      <c r="B59" s="1">
        <v>45805</v>
      </c>
      <c r="C59" t="s">
        <v>49</v>
      </c>
      <c r="D59" t="s">
        <v>18</v>
      </c>
      <c r="E59" t="s">
        <v>13</v>
      </c>
      <c r="F59" t="s">
        <v>29</v>
      </c>
      <c r="G59">
        <v>1</v>
      </c>
      <c r="H59" s="2">
        <v>1603.28</v>
      </c>
      <c r="I59" s="2">
        <f t="shared" si="2"/>
        <v>1603.28</v>
      </c>
      <c r="J59" t="s">
        <v>40</v>
      </c>
      <c r="K59">
        <f t="shared" si="1"/>
        <v>5</v>
      </c>
    </row>
    <row r="60" spans="1:11" x14ac:dyDescent="0.3">
      <c r="A60" t="s">
        <v>130</v>
      </c>
      <c r="B60" s="1">
        <v>45744</v>
      </c>
      <c r="C60" t="s">
        <v>131</v>
      </c>
      <c r="D60" t="s">
        <v>32</v>
      </c>
      <c r="E60" t="s">
        <v>46</v>
      </c>
      <c r="F60" t="s">
        <v>47</v>
      </c>
      <c r="G60">
        <v>6</v>
      </c>
      <c r="H60" s="2">
        <v>3645.28</v>
      </c>
      <c r="I60" s="2">
        <f t="shared" si="2"/>
        <v>21871.68</v>
      </c>
      <c r="J60" t="s">
        <v>26</v>
      </c>
      <c r="K60">
        <f t="shared" si="1"/>
        <v>3</v>
      </c>
    </row>
    <row r="61" spans="1:11" x14ac:dyDescent="0.3">
      <c r="A61" t="s">
        <v>132</v>
      </c>
      <c r="B61" s="1">
        <v>45811</v>
      </c>
      <c r="C61" t="s">
        <v>125</v>
      </c>
      <c r="D61" t="s">
        <v>18</v>
      </c>
      <c r="E61" t="s">
        <v>50</v>
      </c>
      <c r="F61" t="s">
        <v>51</v>
      </c>
      <c r="G61">
        <v>9</v>
      </c>
      <c r="H61" s="2">
        <v>3192.56</v>
      </c>
      <c r="I61" s="2">
        <f t="shared" si="2"/>
        <v>28733.040000000001</v>
      </c>
      <c r="J61" t="s">
        <v>90</v>
      </c>
      <c r="K61">
        <f t="shared" si="1"/>
        <v>6</v>
      </c>
    </row>
    <row r="62" spans="1:11" x14ac:dyDescent="0.3">
      <c r="A62" t="s">
        <v>133</v>
      </c>
      <c r="B62" s="1">
        <v>45800</v>
      </c>
      <c r="C62" t="s">
        <v>131</v>
      </c>
      <c r="D62" t="s">
        <v>18</v>
      </c>
      <c r="E62" t="s">
        <v>46</v>
      </c>
      <c r="F62" t="s">
        <v>74</v>
      </c>
      <c r="G62">
        <v>10</v>
      </c>
      <c r="H62" s="2">
        <v>4020.14</v>
      </c>
      <c r="I62" s="2">
        <f t="shared" si="2"/>
        <v>40201.4</v>
      </c>
      <c r="J62" t="s">
        <v>40</v>
      </c>
      <c r="K62">
        <f t="shared" si="1"/>
        <v>5</v>
      </c>
    </row>
    <row r="63" spans="1:11" x14ac:dyDescent="0.3">
      <c r="A63" t="s">
        <v>134</v>
      </c>
      <c r="B63" s="1">
        <v>45745</v>
      </c>
      <c r="C63" t="s">
        <v>61</v>
      </c>
      <c r="D63" t="s">
        <v>24</v>
      </c>
      <c r="E63" t="s">
        <v>50</v>
      </c>
      <c r="F63" t="s">
        <v>135</v>
      </c>
      <c r="G63">
        <v>2</v>
      </c>
      <c r="H63" s="2">
        <v>1976.6</v>
      </c>
      <c r="I63" s="2">
        <f t="shared" si="2"/>
        <v>3953.2</v>
      </c>
      <c r="J63" t="s">
        <v>26</v>
      </c>
      <c r="K63">
        <f t="shared" si="1"/>
        <v>3</v>
      </c>
    </row>
    <row r="64" spans="1:11" x14ac:dyDescent="0.3">
      <c r="A64" t="s">
        <v>136</v>
      </c>
      <c r="B64" s="1">
        <v>45709</v>
      </c>
      <c r="C64" t="s">
        <v>61</v>
      </c>
      <c r="D64" t="s">
        <v>18</v>
      </c>
      <c r="E64" t="s">
        <v>50</v>
      </c>
      <c r="F64" t="s">
        <v>77</v>
      </c>
      <c r="G64">
        <v>5</v>
      </c>
      <c r="H64" s="2">
        <v>166.07</v>
      </c>
      <c r="I64" s="2">
        <f t="shared" si="2"/>
        <v>830.34999999999991</v>
      </c>
      <c r="J64" t="s">
        <v>21</v>
      </c>
      <c r="K64">
        <f t="shared" si="1"/>
        <v>2</v>
      </c>
    </row>
    <row r="65" spans="1:11" x14ac:dyDescent="0.3">
      <c r="A65" t="s">
        <v>137</v>
      </c>
      <c r="B65" s="1">
        <v>46173</v>
      </c>
      <c r="C65" t="s">
        <v>66</v>
      </c>
      <c r="D65" t="s">
        <v>24</v>
      </c>
      <c r="E65" t="s">
        <v>46</v>
      </c>
      <c r="F65" t="s">
        <v>74</v>
      </c>
      <c r="G65">
        <v>8</v>
      </c>
      <c r="H65" s="2">
        <v>1373.14</v>
      </c>
      <c r="I65" s="2">
        <f t="shared" si="2"/>
        <v>10985.12</v>
      </c>
      <c r="J65" t="s">
        <v>21</v>
      </c>
      <c r="K65">
        <f t="shared" si="1"/>
        <v>5</v>
      </c>
    </row>
    <row r="66" spans="1:11" x14ac:dyDescent="0.3">
      <c r="A66" t="s">
        <v>138</v>
      </c>
      <c r="B66" s="1">
        <v>45929</v>
      </c>
      <c r="C66" t="s">
        <v>87</v>
      </c>
      <c r="D66" t="s">
        <v>32</v>
      </c>
      <c r="E66" t="s">
        <v>50</v>
      </c>
      <c r="F66" t="s">
        <v>77</v>
      </c>
      <c r="G66">
        <v>8</v>
      </c>
      <c r="H66" s="2">
        <v>4250.83</v>
      </c>
      <c r="I66" s="2">
        <f t="shared" ref="I66:I97" si="3">G66*H66</f>
        <v>34006.639999999999</v>
      </c>
      <c r="J66" t="s">
        <v>21</v>
      </c>
      <c r="K66">
        <f t="shared" si="1"/>
        <v>9</v>
      </c>
    </row>
    <row r="67" spans="1:11" x14ac:dyDescent="0.3">
      <c r="A67" t="s">
        <v>139</v>
      </c>
      <c r="B67" s="1">
        <v>46148</v>
      </c>
      <c r="C67" t="s">
        <v>125</v>
      </c>
      <c r="D67" t="s">
        <v>24</v>
      </c>
      <c r="E67" t="s">
        <v>46</v>
      </c>
      <c r="F67" t="s">
        <v>82</v>
      </c>
      <c r="G67">
        <v>2</v>
      </c>
      <c r="H67" s="2">
        <v>3058.57</v>
      </c>
      <c r="I67" s="2">
        <f t="shared" si="3"/>
        <v>6117.14</v>
      </c>
      <c r="J67" t="s">
        <v>15</v>
      </c>
      <c r="K67">
        <f t="shared" ref="K67:K130" si="4">MONTH(B67)</f>
        <v>5</v>
      </c>
    </row>
    <row r="68" spans="1:11" x14ac:dyDescent="0.3">
      <c r="A68" t="s">
        <v>140</v>
      </c>
      <c r="B68" s="1">
        <v>45918</v>
      </c>
      <c r="C68" t="s">
        <v>64</v>
      </c>
      <c r="D68" t="s">
        <v>18</v>
      </c>
      <c r="E68" t="s">
        <v>46</v>
      </c>
      <c r="F68" t="s">
        <v>82</v>
      </c>
      <c r="G68">
        <v>1</v>
      </c>
      <c r="H68" s="2">
        <v>2489.7399999999998</v>
      </c>
      <c r="I68" s="2">
        <f t="shared" si="3"/>
        <v>2489.7399999999998</v>
      </c>
      <c r="J68" t="s">
        <v>26</v>
      </c>
      <c r="K68">
        <f t="shared" si="4"/>
        <v>9</v>
      </c>
    </row>
    <row r="69" spans="1:11" x14ac:dyDescent="0.3">
      <c r="A69" t="s">
        <v>141</v>
      </c>
      <c r="B69" s="1">
        <v>45933</v>
      </c>
      <c r="C69" t="s">
        <v>142</v>
      </c>
      <c r="D69" t="s">
        <v>32</v>
      </c>
      <c r="E69" t="s">
        <v>19</v>
      </c>
      <c r="F69" t="s">
        <v>111</v>
      </c>
      <c r="G69">
        <v>9</v>
      </c>
      <c r="H69" s="2">
        <v>1534.89</v>
      </c>
      <c r="I69" s="2">
        <f t="shared" si="3"/>
        <v>13814.01</v>
      </c>
      <c r="J69" t="s">
        <v>26</v>
      </c>
      <c r="K69">
        <f t="shared" si="4"/>
        <v>10</v>
      </c>
    </row>
    <row r="70" spans="1:11" x14ac:dyDescent="0.3">
      <c r="A70" t="s">
        <v>143</v>
      </c>
      <c r="B70" s="1">
        <v>46135</v>
      </c>
      <c r="C70" t="s">
        <v>76</v>
      </c>
      <c r="D70" t="s">
        <v>18</v>
      </c>
      <c r="E70" t="s">
        <v>50</v>
      </c>
      <c r="F70" t="s">
        <v>135</v>
      </c>
      <c r="G70">
        <v>2</v>
      </c>
      <c r="H70" s="2">
        <v>4690.83</v>
      </c>
      <c r="I70" s="2">
        <f t="shared" si="3"/>
        <v>9381.66</v>
      </c>
      <c r="J70" t="s">
        <v>21</v>
      </c>
      <c r="K70">
        <f t="shared" si="4"/>
        <v>4</v>
      </c>
    </row>
    <row r="71" spans="1:11" x14ac:dyDescent="0.3">
      <c r="A71" t="s">
        <v>144</v>
      </c>
      <c r="B71" s="1">
        <v>45954</v>
      </c>
      <c r="C71" t="s">
        <v>108</v>
      </c>
      <c r="D71" t="s">
        <v>24</v>
      </c>
      <c r="E71" t="s">
        <v>46</v>
      </c>
      <c r="F71" t="s">
        <v>47</v>
      </c>
      <c r="G71">
        <v>5</v>
      </c>
      <c r="H71" s="2">
        <v>2026.21</v>
      </c>
      <c r="I71" s="2">
        <f t="shared" si="3"/>
        <v>10131.049999999999</v>
      </c>
      <c r="J71" t="s">
        <v>40</v>
      </c>
      <c r="K71">
        <f t="shared" si="4"/>
        <v>10</v>
      </c>
    </row>
    <row r="72" spans="1:11" x14ac:dyDescent="0.3">
      <c r="A72" t="s">
        <v>145</v>
      </c>
      <c r="B72" s="1">
        <v>45734</v>
      </c>
      <c r="C72" t="s">
        <v>146</v>
      </c>
      <c r="D72" t="s">
        <v>32</v>
      </c>
      <c r="E72" t="s">
        <v>46</v>
      </c>
      <c r="F72" t="s">
        <v>62</v>
      </c>
      <c r="G72">
        <v>6</v>
      </c>
      <c r="H72" s="2">
        <v>793.13</v>
      </c>
      <c r="I72" s="2">
        <f t="shared" si="3"/>
        <v>4758.78</v>
      </c>
      <c r="J72" t="s">
        <v>90</v>
      </c>
      <c r="K72">
        <f t="shared" si="4"/>
        <v>3</v>
      </c>
    </row>
    <row r="73" spans="1:11" x14ac:dyDescent="0.3">
      <c r="A73" t="s">
        <v>147</v>
      </c>
      <c r="B73" s="1">
        <v>45944</v>
      </c>
      <c r="C73" t="s">
        <v>76</v>
      </c>
      <c r="D73" t="s">
        <v>28</v>
      </c>
      <c r="E73" t="s">
        <v>50</v>
      </c>
      <c r="F73" t="s">
        <v>77</v>
      </c>
      <c r="G73">
        <v>8</v>
      </c>
      <c r="H73" s="2">
        <v>2061.29</v>
      </c>
      <c r="I73" s="2">
        <f t="shared" si="3"/>
        <v>16490.32</v>
      </c>
      <c r="J73" t="s">
        <v>40</v>
      </c>
      <c r="K73">
        <f t="shared" si="4"/>
        <v>10</v>
      </c>
    </row>
    <row r="74" spans="1:11" x14ac:dyDescent="0.3">
      <c r="A74" t="s">
        <v>148</v>
      </c>
      <c r="B74" s="1">
        <v>45661</v>
      </c>
      <c r="C74" t="s">
        <v>11</v>
      </c>
      <c r="D74" t="s">
        <v>12</v>
      </c>
      <c r="E74" t="s">
        <v>19</v>
      </c>
      <c r="F74" t="s">
        <v>111</v>
      </c>
      <c r="G74">
        <v>3</v>
      </c>
      <c r="H74" s="2">
        <v>2168.48</v>
      </c>
      <c r="I74" s="2">
        <f t="shared" si="3"/>
        <v>6505.4400000000005</v>
      </c>
      <c r="J74" t="s">
        <v>26</v>
      </c>
      <c r="K74">
        <f t="shared" si="4"/>
        <v>1</v>
      </c>
    </row>
    <row r="75" spans="1:11" x14ac:dyDescent="0.3">
      <c r="A75" t="s">
        <v>149</v>
      </c>
      <c r="B75" s="1">
        <v>45981</v>
      </c>
      <c r="C75" t="s">
        <v>76</v>
      </c>
      <c r="D75" t="s">
        <v>28</v>
      </c>
      <c r="E75" t="s">
        <v>13</v>
      </c>
      <c r="F75" t="s">
        <v>25</v>
      </c>
      <c r="G75">
        <v>6</v>
      </c>
      <c r="H75" s="2">
        <v>4219.6899999999996</v>
      </c>
      <c r="I75" s="2">
        <f t="shared" si="3"/>
        <v>25318.14</v>
      </c>
      <c r="J75" t="s">
        <v>21</v>
      </c>
      <c r="K75">
        <f t="shared" si="4"/>
        <v>11</v>
      </c>
    </row>
    <row r="76" spans="1:11" x14ac:dyDescent="0.3">
      <c r="A76" t="s">
        <v>150</v>
      </c>
      <c r="B76" s="1">
        <v>45858</v>
      </c>
      <c r="C76" t="s">
        <v>151</v>
      </c>
      <c r="D76" t="s">
        <v>28</v>
      </c>
      <c r="E76" t="s">
        <v>33</v>
      </c>
      <c r="F76" t="s">
        <v>59</v>
      </c>
      <c r="G76">
        <v>2</v>
      </c>
      <c r="H76" s="2">
        <v>2055.56</v>
      </c>
      <c r="I76" s="2">
        <f t="shared" si="3"/>
        <v>4111.12</v>
      </c>
      <c r="J76" t="s">
        <v>90</v>
      </c>
      <c r="K76">
        <f t="shared" si="4"/>
        <v>7</v>
      </c>
    </row>
    <row r="77" spans="1:11" x14ac:dyDescent="0.3">
      <c r="A77" t="s">
        <v>152</v>
      </c>
      <c r="B77" s="1">
        <v>45736</v>
      </c>
      <c r="C77" t="s">
        <v>72</v>
      </c>
      <c r="D77" t="s">
        <v>12</v>
      </c>
      <c r="E77" t="s">
        <v>33</v>
      </c>
      <c r="F77" t="s">
        <v>96</v>
      </c>
      <c r="G77">
        <v>5</v>
      </c>
      <c r="H77" s="2">
        <v>643.29</v>
      </c>
      <c r="I77" s="2">
        <f t="shared" si="3"/>
        <v>3216.45</v>
      </c>
      <c r="J77" t="s">
        <v>15</v>
      </c>
      <c r="K77">
        <f t="shared" si="4"/>
        <v>3</v>
      </c>
    </row>
    <row r="78" spans="1:11" x14ac:dyDescent="0.3">
      <c r="A78" t="s">
        <v>153</v>
      </c>
      <c r="B78" s="1">
        <v>45810</v>
      </c>
      <c r="C78" t="s">
        <v>87</v>
      </c>
      <c r="D78" t="s">
        <v>28</v>
      </c>
      <c r="E78" t="s">
        <v>19</v>
      </c>
      <c r="F78" t="s">
        <v>20</v>
      </c>
      <c r="G78">
        <v>6</v>
      </c>
      <c r="H78" s="2">
        <v>1070.77</v>
      </c>
      <c r="I78" s="2">
        <f t="shared" si="3"/>
        <v>6424.62</v>
      </c>
      <c r="J78" t="s">
        <v>15</v>
      </c>
      <c r="K78">
        <f t="shared" si="4"/>
        <v>6</v>
      </c>
    </row>
    <row r="79" spans="1:11" x14ac:dyDescent="0.3">
      <c r="A79" t="s">
        <v>154</v>
      </c>
      <c r="B79" s="1">
        <v>46096</v>
      </c>
      <c r="C79" t="s">
        <v>61</v>
      </c>
      <c r="D79" t="s">
        <v>12</v>
      </c>
      <c r="E79" t="s">
        <v>46</v>
      </c>
      <c r="F79" t="s">
        <v>89</v>
      </c>
      <c r="G79">
        <v>4</v>
      </c>
      <c r="H79" s="2">
        <v>3639.93</v>
      </c>
      <c r="I79" s="2">
        <f t="shared" si="3"/>
        <v>14559.72</v>
      </c>
      <c r="J79" t="s">
        <v>21</v>
      </c>
      <c r="K79">
        <f t="shared" si="4"/>
        <v>3</v>
      </c>
    </row>
    <row r="80" spans="1:11" x14ac:dyDescent="0.3">
      <c r="A80" t="s">
        <v>155</v>
      </c>
      <c r="B80" s="1">
        <v>46078</v>
      </c>
      <c r="C80" t="s">
        <v>99</v>
      </c>
      <c r="D80" t="s">
        <v>18</v>
      </c>
      <c r="E80" t="s">
        <v>50</v>
      </c>
      <c r="F80" t="s">
        <v>135</v>
      </c>
      <c r="G80">
        <v>8</v>
      </c>
      <c r="H80" s="2">
        <v>387.54</v>
      </c>
      <c r="I80" s="2">
        <f t="shared" si="3"/>
        <v>3100.32</v>
      </c>
      <c r="J80" t="s">
        <v>90</v>
      </c>
      <c r="K80">
        <f t="shared" si="4"/>
        <v>2</v>
      </c>
    </row>
    <row r="81" spans="1:11" x14ac:dyDescent="0.3">
      <c r="A81" t="s">
        <v>156</v>
      </c>
      <c r="B81" s="1">
        <v>45788</v>
      </c>
      <c r="C81" t="s">
        <v>36</v>
      </c>
      <c r="D81" t="s">
        <v>12</v>
      </c>
      <c r="E81" t="s">
        <v>19</v>
      </c>
      <c r="F81" t="s">
        <v>111</v>
      </c>
      <c r="G81">
        <v>5</v>
      </c>
      <c r="H81" s="2">
        <v>1594.19</v>
      </c>
      <c r="I81" s="2">
        <f t="shared" si="3"/>
        <v>7970.9500000000007</v>
      </c>
      <c r="J81" t="s">
        <v>15</v>
      </c>
      <c r="K81">
        <f t="shared" si="4"/>
        <v>5</v>
      </c>
    </row>
    <row r="82" spans="1:11" x14ac:dyDescent="0.3">
      <c r="A82" t="s">
        <v>157</v>
      </c>
      <c r="B82" s="1">
        <v>46073</v>
      </c>
      <c r="C82" t="s">
        <v>87</v>
      </c>
      <c r="D82" t="s">
        <v>28</v>
      </c>
      <c r="E82" t="s">
        <v>19</v>
      </c>
      <c r="F82" t="s">
        <v>20</v>
      </c>
      <c r="G82">
        <v>7</v>
      </c>
      <c r="H82" s="2">
        <v>730.75</v>
      </c>
      <c r="I82" s="2">
        <f t="shared" si="3"/>
        <v>5115.25</v>
      </c>
      <c r="J82" t="s">
        <v>40</v>
      </c>
      <c r="K82">
        <f t="shared" si="4"/>
        <v>2</v>
      </c>
    </row>
    <row r="83" spans="1:11" x14ac:dyDescent="0.3">
      <c r="A83" t="s">
        <v>158</v>
      </c>
      <c r="B83" s="1">
        <v>45734</v>
      </c>
      <c r="C83" t="s">
        <v>159</v>
      </c>
      <c r="D83" t="s">
        <v>18</v>
      </c>
      <c r="E83" t="s">
        <v>19</v>
      </c>
      <c r="F83" t="s">
        <v>20</v>
      </c>
      <c r="G83">
        <v>4</v>
      </c>
      <c r="H83" s="2">
        <v>2346.98</v>
      </c>
      <c r="I83" s="2">
        <f t="shared" si="3"/>
        <v>9387.92</v>
      </c>
      <c r="J83" t="s">
        <v>15</v>
      </c>
      <c r="K83">
        <f t="shared" si="4"/>
        <v>3</v>
      </c>
    </row>
    <row r="84" spans="1:11" x14ac:dyDescent="0.3">
      <c r="A84" t="s">
        <v>160</v>
      </c>
      <c r="B84" s="1">
        <v>46118</v>
      </c>
      <c r="C84" t="s">
        <v>161</v>
      </c>
      <c r="D84" t="s">
        <v>32</v>
      </c>
      <c r="E84" t="s">
        <v>46</v>
      </c>
      <c r="F84" t="s">
        <v>82</v>
      </c>
      <c r="G84">
        <v>4</v>
      </c>
      <c r="H84" s="2">
        <v>589.97</v>
      </c>
      <c r="I84" s="2">
        <f t="shared" si="3"/>
        <v>2359.88</v>
      </c>
      <c r="J84" t="s">
        <v>15</v>
      </c>
      <c r="K84">
        <f t="shared" si="4"/>
        <v>4</v>
      </c>
    </row>
    <row r="85" spans="1:11" x14ac:dyDescent="0.3">
      <c r="A85" t="s">
        <v>162</v>
      </c>
      <c r="B85" s="1">
        <v>45751</v>
      </c>
      <c r="C85" t="s">
        <v>94</v>
      </c>
      <c r="D85" t="s">
        <v>32</v>
      </c>
      <c r="E85" t="s">
        <v>33</v>
      </c>
      <c r="F85" t="s">
        <v>59</v>
      </c>
      <c r="G85">
        <v>10</v>
      </c>
      <c r="H85" s="2">
        <v>1130.3900000000001</v>
      </c>
      <c r="I85" s="2">
        <f t="shared" si="3"/>
        <v>11303.900000000001</v>
      </c>
      <c r="J85" t="s">
        <v>21</v>
      </c>
      <c r="K85">
        <f t="shared" si="4"/>
        <v>4</v>
      </c>
    </row>
    <row r="86" spans="1:11" x14ac:dyDescent="0.3">
      <c r="A86" t="s">
        <v>163</v>
      </c>
      <c r="B86" s="1">
        <v>46080</v>
      </c>
      <c r="C86" t="s">
        <v>11</v>
      </c>
      <c r="D86" t="s">
        <v>12</v>
      </c>
      <c r="E86" t="s">
        <v>46</v>
      </c>
      <c r="F86" t="s">
        <v>82</v>
      </c>
      <c r="G86">
        <v>7</v>
      </c>
      <c r="H86" s="2">
        <v>1460.66</v>
      </c>
      <c r="I86" s="2">
        <f t="shared" si="3"/>
        <v>10224.620000000001</v>
      </c>
      <c r="J86" t="s">
        <v>21</v>
      </c>
      <c r="K86">
        <f t="shared" si="4"/>
        <v>2</v>
      </c>
    </row>
    <row r="87" spans="1:11" x14ac:dyDescent="0.3">
      <c r="A87" t="s">
        <v>164</v>
      </c>
      <c r="B87" s="1">
        <v>46168</v>
      </c>
      <c r="C87" t="s">
        <v>70</v>
      </c>
      <c r="D87" t="s">
        <v>18</v>
      </c>
      <c r="E87" t="s">
        <v>33</v>
      </c>
      <c r="F87" t="s">
        <v>34</v>
      </c>
      <c r="G87">
        <v>9</v>
      </c>
      <c r="H87" s="2">
        <v>2716.74</v>
      </c>
      <c r="I87" s="2">
        <f t="shared" si="3"/>
        <v>24450.659999999996</v>
      </c>
      <c r="J87" t="s">
        <v>40</v>
      </c>
      <c r="K87">
        <f t="shared" si="4"/>
        <v>5</v>
      </c>
    </row>
    <row r="88" spans="1:11" x14ac:dyDescent="0.3">
      <c r="A88" t="s">
        <v>165</v>
      </c>
      <c r="B88" s="1">
        <v>45752</v>
      </c>
      <c r="C88" t="s">
        <v>70</v>
      </c>
      <c r="D88" t="s">
        <v>32</v>
      </c>
      <c r="E88" t="s">
        <v>19</v>
      </c>
      <c r="F88" t="s">
        <v>166</v>
      </c>
      <c r="G88">
        <v>8</v>
      </c>
      <c r="H88" s="2">
        <v>2244.41</v>
      </c>
      <c r="I88" s="2">
        <f t="shared" si="3"/>
        <v>17955.28</v>
      </c>
      <c r="J88" t="s">
        <v>15</v>
      </c>
      <c r="K88">
        <f t="shared" si="4"/>
        <v>4</v>
      </c>
    </row>
    <row r="89" spans="1:11" x14ac:dyDescent="0.3">
      <c r="A89" t="s">
        <v>167</v>
      </c>
      <c r="B89" s="1">
        <v>45680</v>
      </c>
      <c r="C89" t="s">
        <v>84</v>
      </c>
      <c r="D89" t="s">
        <v>24</v>
      </c>
      <c r="E89" t="s">
        <v>19</v>
      </c>
      <c r="F89" t="s">
        <v>166</v>
      </c>
      <c r="G89">
        <v>10</v>
      </c>
      <c r="H89" s="2">
        <v>2525.65</v>
      </c>
      <c r="I89" s="2">
        <f t="shared" si="3"/>
        <v>25256.5</v>
      </c>
      <c r="J89" t="s">
        <v>21</v>
      </c>
      <c r="K89">
        <f t="shared" si="4"/>
        <v>1</v>
      </c>
    </row>
    <row r="90" spans="1:11" x14ac:dyDescent="0.3">
      <c r="A90" t="s">
        <v>168</v>
      </c>
      <c r="B90" s="1">
        <v>46058</v>
      </c>
      <c r="C90" t="s">
        <v>131</v>
      </c>
      <c r="D90" t="s">
        <v>12</v>
      </c>
      <c r="E90" t="s">
        <v>19</v>
      </c>
      <c r="F90" t="s">
        <v>39</v>
      </c>
      <c r="G90">
        <v>2</v>
      </c>
      <c r="H90" s="2">
        <v>1235.43</v>
      </c>
      <c r="I90" s="2">
        <f t="shared" si="3"/>
        <v>2470.86</v>
      </c>
      <c r="J90" t="s">
        <v>40</v>
      </c>
      <c r="K90">
        <f t="shared" si="4"/>
        <v>2</v>
      </c>
    </row>
    <row r="91" spans="1:11" x14ac:dyDescent="0.3">
      <c r="A91" t="s">
        <v>169</v>
      </c>
      <c r="B91" s="1">
        <v>46192</v>
      </c>
      <c r="C91" t="s">
        <v>142</v>
      </c>
      <c r="D91" t="s">
        <v>12</v>
      </c>
      <c r="E91" t="s">
        <v>13</v>
      </c>
      <c r="F91" t="s">
        <v>53</v>
      </c>
      <c r="G91">
        <v>1</v>
      </c>
      <c r="H91" s="2">
        <v>156.63</v>
      </c>
      <c r="I91" s="2">
        <f t="shared" si="3"/>
        <v>156.63</v>
      </c>
      <c r="J91" t="s">
        <v>40</v>
      </c>
      <c r="K91">
        <f t="shared" si="4"/>
        <v>6</v>
      </c>
    </row>
    <row r="92" spans="1:11" x14ac:dyDescent="0.3">
      <c r="A92" t="s">
        <v>170</v>
      </c>
      <c r="B92" s="1">
        <v>45896</v>
      </c>
      <c r="C92" t="s">
        <v>116</v>
      </c>
      <c r="D92" t="s">
        <v>28</v>
      </c>
      <c r="E92" t="s">
        <v>50</v>
      </c>
      <c r="F92" t="s">
        <v>135</v>
      </c>
      <c r="G92">
        <v>9</v>
      </c>
      <c r="H92" s="2">
        <v>3236.01</v>
      </c>
      <c r="I92" s="2">
        <f t="shared" si="3"/>
        <v>29124.090000000004</v>
      </c>
      <c r="J92" t="s">
        <v>21</v>
      </c>
      <c r="K92">
        <f t="shared" si="4"/>
        <v>8</v>
      </c>
    </row>
    <row r="93" spans="1:11" x14ac:dyDescent="0.3">
      <c r="A93" t="s">
        <v>171</v>
      </c>
      <c r="B93" s="1">
        <v>45759</v>
      </c>
      <c r="C93" t="s">
        <v>55</v>
      </c>
      <c r="D93" t="s">
        <v>28</v>
      </c>
      <c r="E93" t="s">
        <v>46</v>
      </c>
      <c r="F93" t="s">
        <v>89</v>
      </c>
      <c r="G93">
        <v>4</v>
      </c>
      <c r="H93" s="2">
        <v>2032.2</v>
      </c>
      <c r="I93" s="2">
        <f t="shared" si="3"/>
        <v>8128.8</v>
      </c>
      <c r="J93" t="s">
        <v>40</v>
      </c>
      <c r="K93">
        <f t="shared" si="4"/>
        <v>4</v>
      </c>
    </row>
    <row r="94" spans="1:11" x14ac:dyDescent="0.3">
      <c r="A94" t="s">
        <v>172</v>
      </c>
      <c r="B94" s="1">
        <v>45659</v>
      </c>
      <c r="C94" t="s">
        <v>151</v>
      </c>
      <c r="D94" t="s">
        <v>18</v>
      </c>
      <c r="E94" t="s">
        <v>33</v>
      </c>
      <c r="F94" t="s">
        <v>173</v>
      </c>
      <c r="G94">
        <v>5</v>
      </c>
      <c r="H94" s="2">
        <v>4800.8599999999997</v>
      </c>
      <c r="I94" s="2">
        <f t="shared" si="3"/>
        <v>24004.3</v>
      </c>
      <c r="J94" t="s">
        <v>40</v>
      </c>
      <c r="K94">
        <f t="shared" si="4"/>
        <v>1</v>
      </c>
    </row>
    <row r="95" spans="1:11" x14ac:dyDescent="0.3">
      <c r="A95" t="s">
        <v>174</v>
      </c>
      <c r="B95" s="1">
        <v>46144</v>
      </c>
      <c r="C95" t="s">
        <v>131</v>
      </c>
      <c r="D95" t="s">
        <v>32</v>
      </c>
      <c r="E95" t="s">
        <v>46</v>
      </c>
      <c r="F95" t="s">
        <v>82</v>
      </c>
      <c r="G95">
        <v>1</v>
      </c>
      <c r="H95" s="2">
        <v>4808.9799999999996</v>
      </c>
      <c r="I95" s="2">
        <f t="shared" si="3"/>
        <v>4808.9799999999996</v>
      </c>
      <c r="J95" t="s">
        <v>15</v>
      </c>
      <c r="K95">
        <f t="shared" si="4"/>
        <v>5</v>
      </c>
    </row>
    <row r="96" spans="1:11" x14ac:dyDescent="0.3">
      <c r="A96" t="s">
        <v>175</v>
      </c>
      <c r="B96" s="1">
        <v>45714</v>
      </c>
      <c r="C96" t="s">
        <v>61</v>
      </c>
      <c r="D96" t="s">
        <v>32</v>
      </c>
      <c r="E96" t="s">
        <v>19</v>
      </c>
      <c r="F96" t="s">
        <v>166</v>
      </c>
      <c r="G96">
        <v>2</v>
      </c>
      <c r="H96" s="2">
        <v>1397.69</v>
      </c>
      <c r="I96" s="2">
        <f t="shared" si="3"/>
        <v>2795.38</v>
      </c>
      <c r="J96" t="s">
        <v>26</v>
      </c>
      <c r="K96">
        <f t="shared" si="4"/>
        <v>2</v>
      </c>
    </row>
    <row r="97" spans="1:11" x14ac:dyDescent="0.3">
      <c r="A97" t="s">
        <v>176</v>
      </c>
      <c r="B97" s="1">
        <v>46037</v>
      </c>
      <c r="C97" t="s">
        <v>42</v>
      </c>
      <c r="D97" t="s">
        <v>12</v>
      </c>
      <c r="E97" t="s">
        <v>13</v>
      </c>
      <c r="F97" t="s">
        <v>25</v>
      </c>
      <c r="G97">
        <v>7</v>
      </c>
      <c r="H97" s="2">
        <v>1907.25</v>
      </c>
      <c r="I97" s="2">
        <f t="shared" si="3"/>
        <v>13350.75</v>
      </c>
      <c r="J97" t="s">
        <v>26</v>
      </c>
      <c r="K97">
        <f t="shared" si="4"/>
        <v>1</v>
      </c>
    </row>
    <row r="98" spans="1:11" x14ac:dyDescent="0.3">
      <c r="A98" t="s">
        <v>177</v>
      </c>
      <c r="B98" s="1">
        <v>45860</v>
      </c>
      <c r="C98" t="s">
        <v>151</v>
      </c>
      <c r="D98" t="s">
        <v>28</v>
      </c>
      <c r="E98" t="s">
        <v>46</v>
      </c>
      <c r="F98" t="s">
        <v>74</v>
      </c>
      <c r="G98">
        <v>4</v>
      </c>
      <c r="H98" s="2">
        <v>2554.12</v>
      </c>
      <c r="I98" s="2">
        <f t="shared" ref="I98:I129" si="5">G98*H98</f>
        <v>10216.48</v>
      </c>
      <c r="J98" t="s">
        <v>40</v>
      </c>
      <c r="K98">
        <f t="shared" si="4"/>
        <v>7</v>
      </c>
    </row>
    <row r="99" spans="1:11" x14ac:dyDescent="0.3">
      <c r="A99" t="s">
        <v>178</v>
      </c>
      <c r="B99" s="1">
        <v>45977</v>
      </c>
      <c r="C99" t="s">
        <v>101</v>
      </c>
      <c r="D99" t="s">
        <v>32</v>
      </c>
      <c r="E99" t="s">
        <v>19</v>
      </c>
      <c r="F99" t="s">
        <v>39</v>
      </c>
      <c r="G99">
        <v>5</v>
      </c>
      <c r="H99" s="2">
        <v>3838.28</v>
      </c>
      <c r="I99" s="2">
        <f t="shared" si="5"/>
        <v>19191.400000000001</v>
      </c>
      <c r="J99" t="s">
        <v>15</v>
      </c>
      <c r="K99">
        <f t="shared" si="4"/>
        <v>11</v>
      </c>
    </row>
    <row r="100" spans="1:11" x14ac:dyDescent="0.3">
      <c r="A100" t="s">
        <v>179</v>
      </c>
      <c r="B100" s="1">
        <v>45769</v>
      </c>
      <c r="C100" t="s">
        <v>11</v>
      </c>
      <c r="D100" t="s">
        <v>18</v>
      </c>
      <c r="E100" t="s">
        <v>50</v>
      </c>
      <c r="F100" t="s">
        <v>85</v>
      </c>
      <c r="G100">
        <v>8</v>
      </c>
      <c r="H100" s="2">
        <v>2172.59</v>
      </c>
      <c r="I100" s="2">
        <f t="shared" si="5"/>
        <v>17380.72</v>
      </c>
      <c r="J100" t="s">
        <v>21</v>
      </c>
      <c r="K100">
        <f t="shared" si="4"/>
        <v>4</v>
      </c>
    </row>
    <row r="101" spans="1:11" x14ac:dyDescent="0.3">
      <c r="A101" t="s">
        <v>180</v>
      </c>
      <c r="B101" s="1">
        <v>45807</v>
      </c>
      <c r="C101" t="s">
        <v>49</v>
      </c>
      <c r="D101" t="s">
        <v>24</v>
      </c>
      <c r="E101" t="s">
        <v>50</v>
      </c>
      <c r="F101" t="s">
        <v>51</v>
      </c>
      <c r="G101">
        <v>10</v>
      </c>
      <c r="H101" s="2">
        <v>838.27</v>
      </c>
      <c r="I101" s="2">
        <f t="shared" si="5"/>
        <v>8382.7000000000007</v>
      </c>
      <c r="J101" t="s">
        <v>21</v>
      </c>
      <c r="K101">
        <f t="shared" si="4"/>
        <v>5</v>
      </c>
    </row>
    <row r="102" spans="1:11" x14ac:dyDescent="0.3">
      <c r="A102" t="s">
        <v>181</v>
      </c>
      <c r="B102" s="1">
        <v>45719</v>
      </c>
      <c r="C102" t="s">
        <v>182</v>
      </c>
      <c r="D102" t="s">
        <v>12</v>
      </c>
      <c r="E102" t="s">
        <v>19</v>
      </c>
      <c r="F102" t="s">
        <v>111</v>
      </c>
      <c r="G102">
        <v>2</v>
      </c>
      <c r="H102" s="2">
        <v>4988.0200000000004</v>
      </c>
      <c r="I102" s="2">
        <f t="shared" si="5"/>
        <v>9976.0400000000009</v>
      </c>
      <c r="J102" t="s">
        <v>40</v>
      </c>
      <c r="K102">
        <f t="shared" si="4"/>
        <v>3</v>
      </c>
    </row>
    <row r="103" spans="1:11" x14ac:dyDescent="0.3">
      <c r="A103" t="s">
        <v>183</v>
      </c>
      <c r="B103" s="1">
        <v>45995</v>
      </c>
      <c r="C103" t="s">
        <v>101</v>
      </c>
      <c r="D103" t="s">
        <v>32</v>
      </c>
      <c r="E103" t="s">
        <v>46</v>
      </c>
      <c r="F103" t="s">
        <v>47</v>
      </c>
      <c r="G103">
        <v>1</v>
      </c>
      <c r="H103" s="2">
        <v>1662.36</v>
      </c>
      <c r="I103" s="2">
        <f t="shared" si="5"/>
        <v>1662.36</v>
      </c>
      <c r="J103" t="s">
        <v>26</v>
      </c>
      <c r="K103">
        <f t="shared" si="4"/>
        <v>12</v>
      </c>
    </row>
    <row r="104" spans="1:11" x14ac:dyDescent="0.3">
      <c r="A104" t="s">
        <v>184</v>
      </c>
      <c r="B104" s="1">
        <v>46040</v>
      </c>
      <c r="C104" t="s">
        <v>185</v>
      </c>
      <c r="D104" t="s">
        <v>12</v>
      </c>
      <c r="E104" t="s">
        <v>50</v>
      </c>
      <c r="F104" t="s">
        <v>51</v>
      </c>
      <c r="G104">
        <v>1</v>
      </c>
      <c r="H104" s="2">
        <v>529.47</v>
      </c>
      <c r="I104" s="2">
        <f t="shared" si="5"/>
        <v>529.47</v>
      </c>
      <c r="J104" t="s">
        <v>21</v>
      </c>
      <c r="K104">
        <f t="shared" si="4"/>
        <v>1</v>
      </c>
    </row>
    <row r="105" spans="1:11" x14ac:dyDescent="0.3">
      <c r="A105" t="s">
        <v>186</v>
      </c>
      <c r="B105" s="1">
        <v>46017</v>
      </c>
      <c r="C105" t="s">
        <v>38</v>
      </c>
      <c r="D105" t="s">
        <v>24</v>
      </c>
      <c r="E105" t="s">
        <v>46</v>
      </c>
      <c r="F105" t="s">
        <v>82</v>
      </c>
      <c r="G105">
        <v>7</v>
      </c>
      <c r="H105" s="2">
        <v>1879.65</v>
      </c>
      <c r="I105" s="2">
        <f t="shared" si="5"/>
        <v>13157.550000000001</v>
      </c>
      <c r="J105" t="s">
        <v>15</v>
      </c>
      <c r="K105">
        <f t="shared" si="4"/>
        <v>12</v>
      </c>
    </row>
    <row r="106" spans="1:11" x14ac:dyDescent="0.3">
      <c r="A106" t="s">
        <v>187</v>
      </c>
      <c r="B106" s="1">
        <v>46100</v>
      </c>
      <c r="C106" t="s">
        <v>146</v>
      </c>
      <c r="D106" t="s">
        <v>24</v>
      </c>
      <c r="E106" t="s">
        <v>19</v>
      </c>
      <c r="F106" t="s">
        <v>39</v>
      </c>
      <c r="G106">
        <v>6</v>
      </c>
      <c r="H106" s="2">
        <v>2776.42</v>
      </c>
      <c r="I106" s="2">
        <f t="shared" si="5"/>
        <v>16658.52</v>
      </c>
      <c r="J106" t="s">
        <v>26</v>
      </c>
      <c r="K106">
        <f t="shared" si="4"/>
        <v>3</v>
      </c>
    </row>
    <row r="107" spans="1:11" x14ac:dyDescent="0.3">
      <c r="A107" t="s">
        <v>188</v>
      </c>
      <c r="B107" s="1">
        <v>45855</v>
      </c>
      <c r="C107" t="s">
        <v>94</v>
      </c>
      <c r="D107" t="s">
        <v>28</v>
      </c>
      <c r="E107" t="s">
        <v>19</v>
      </c>
      <c r="F107" t="s">
        <v>79</v>
      </c>
      <c r="G107">
        <v>7</v>
      </c>
      <c r="H107" s="2">
        <v>1352.86</v>
      </c>
      <c r="I107" s="2">
        <f t="shared" si="5"/>
        <v>9470.0199999999986</v>
      </c>
      <c r="J107" t="s">
        <v>26</v>
      </c>
      <c r="K107">
        <f t="shared" si="4"/>
        <v>7</v>
      </c>
    </row>
    <row r="108" spans="1:11" x14ac:dyDescent="0.3">
      <c r="A108" t="s">
        <v>189</v>
      </c>
      <c r="B108" s="1">
        <v>45699</v>
      </c>
      <c r="C108" t="s">
        <v>11</v>
      </c>
      <c r="D108" t="s">
        <v>24</v>
      </c>
      <c r="E108" t="s">
        <v>19</v>
      </c>
      <c r="F108" t="s">
        <v>79</v>
      </c>
      <c r="G108">
        <v>1</v>
      </c>
      <c r="H108" s="2">
        <v>1396.53</v>
      </c>
      <c r="I108" s="2">
        <f t="shared" si="5"/>
        <v>1396.53</v>
      </c>
      <c r="J108" t="s">
        <v>21</v>
      </c>
      <c r="K108">
        <f t="shared" si="4"/>
        <v>2</v>
      </c>
    </row>
    <row r="109" spans="1:11" x14ac:dyDescent="0.3">
      <c r="A109" t="s">
        <v>190</v>
      </c>
      <c r="B109" s="1">
        <v>46005</v>
      </c>
      <c r="C109" t="s">
        <v>72</v>
      </c>
      <c r="D109" t="s">
        <v>28</v>
      </c>
      <c r="E109" t="s">
        <v>33</v>
      </c>
      <c r="F109" t="s">
        <v>44</v>
      </c>
      <c r="G109">
        <v>1</v>
      </c>
      <c r="H109" s="2">
        <v>1421.54</v>
      </c>
      <c r="I109" s="2">
        <f t="shared" si="5"/>
        <v>1421.54</v>
      </c>
      <c r="J109" t="s">
        <v>15</v>
      </c>
      <c r="K109">
        <f t="shared" si="4"/>
        <v>12</v>
      </c>
    </row>
    <row r="110" spans="1:11" x14ac:dyDescent="0.3">
      <c r="A110" t="s">
        <v>191</v>
      </c>
      <c r="B110" s="1">
        <v>45940</v>
      </c>
      <c r="C110" t="s">
        <v>64</v>
      </c>
      <c r="D110" t="s">
        <v>24</v>
      </c>
      <c r="E110" t="s">
        <v>46</v>
      </c>
      <c r="F110" t="s">
        <v>74</v>
      </c>
      <c r="G110">
        <v>1</v>
      </c>
      <c r="H110" s="2">
        <v>4156.1899999999996</v>
      </c>
      <c r="I110" s="2">
        <f t="shared" si="5"/>
        <v>4156.1899999999996</v>
      </c>
      <c r="J110" t="s">
        <v>21</v>
      </c>
      <c r="K110">
        <f t="shared" si="4"/>
        <v>10</v>
      </c>
    </row>
    <row r="111" spans="1:11" x14ac:dyDescent="0.3">
      <c r="A111" t="s">
        <v>192</v>
      </c>
      <c r="B111" s="1">
        <v>46144</v>
      </c>
      <c r="C111" t="s">
        <v>108</v>
      </c>
      <c r="D111" t="s">
        <v>12</v>
      </c>
      <c r="E111" t="s">
        <v>33</v>
      </c>
      <c r="F111" t="s">
        <v>173</v>
      </c>
      <c r="G111">
        <v>8</v>
      </c>
      <c r="H111" s="2">
        <v>793.63</v>
      </c>
      <c r="I111" s="2">
        <f t="shared" si="5"/>
        <v>6349.04</v>
      </c>
      <c r="J111" t="s">
        <v>26</v>
      </c>
      <c r="K111">
        <f t="shared" si="4"/>
        <v>5</v>
      </c>
    </row>
    <row r="112" spans="1:11" x14ac:dyDescent="0.3">
      <c r="A112" t="s">
        <v>193</v>
      </c>
      <c r="B112" s="1">
        <v>45845</v>
      </c>
      <c r="C112" t="s">
        <v>151</v>
      </c>
      <c r="D112" t="s">
        <v>28</v>
      </c>
      <c r="E112" t="s">
        <v>50</v>
      </c>
      <c r="F112" t="s">
        <v>68</v>
      </c>
      <c r="G112">
        <v>4</v>
      </c>
      <c r="H112" s="2">
        <v>1739.83</v>
      </c>
      <c r="I112" s="2">
        <f t="shared" si="5"/>
        <v>6959.32</v>
      </c>
      <c r="J112" t="s">
        <v>15</v>
      </c>
      <c r="K112">
        <f t="shared" si="4"/>
        <v>7</v>
      </c>
    </row>
    <row r="113" spans="1:11" x14ac:dyDescent="0.3">
      <c r="A113" t="s">
        <v>194</v>
      </c>
      <c r="B113" s="1">
        <v>46129</v>
      </c>
      <c r="C113" t="s">
        <v>72</v>
      </c>
      <c r="D113" t="s">
        <v>18</v>
      </c>
      <c r="E113" t="s">
        <v>13</v>
      </c>
      <c r="F113" t="s">
        <v>53</v>
      </c>
      <c r="G113">
        <v>4</v>
      </c>
      <c r="H113" s="2">
        <v>2049.67</v>
      </c>
      <c r="I113" s="2">
        <f t="shared" si="5"/>
        <v>8198.68</v>
      </c>
      <c r="J113" t="s">
        <v>40</v>
      </c>
      <c r="K113">
        <f t="shared" si="4"/>
        <v>4</v>
      </c>
    </row>
    <row r="114" spans="1:11" x14ac:dyDescent="0.3">
      <c r="A114" t="s">
        <v>195</v>
      </c>
      <c r="B114" s="1">
        <v>45911</v>
      </c>
      <c r="C114" t="s">
        <v>38</v>
      </c>
      <c r="D114" t="s">
        <v>24</v>
      </c>
      <c r="E114" t="s">
        <v>13</v>
      </c>
      <c r="F114" t="s">
        <v>29</v>
      </c>
      <c r="G114">
        <v>9</v>
      </c>
      <c r="H114" s="2">
        <v>2791.39</v>
      </c>
      <c r="I114" s="2">
        <f t="shared" si="5"/>
        <v>25122.51</v>
      </c>
      <c r="J114" t="s">
        <v>40</v>
      </c>
      <c r="K114">
        <f t="shared" si="4"/>
        <v>9</v>
      </c>
    </row>
    <row r="115" spans="1:11" x14ac:dyDescent="0.3">
      <c r="A115" t="s">
        <v>196</v>
      </c>
      <c r="B115" s="1">
        <v>46094</v>
      </c>
      <c r="C115" t="s">
        <v>142</v>
      </c>
      <c r="D115" t="s">
        <v>24</v>
      </c>
      <c r="E115" t="s">
        <v>33</v>
      </c>
      <c r="F115" t="s">
        <v>44</v>
      </c>
      <c r="G115">
        <v>2</v>
      </c>
      <c r="H115" s="2">
        <v>1160.45</v>
      </c>
      <c r="I115" s="2">
        <f t="shared" si="5"/>
        <v>2320.9</v>
      </c>
      <c r="J115" t="s">
        <v>26</v>
      </c>
      <c r="K115">
        <f t="shared" si="4"/>
        <v>3</v>
      </c>
    </row>
    <row r="116" spans="1:11" x14ac:dyDescent="0.3">
      <c r="A116" t="s">
        <v>197</v>
      </c>
      <c r="B116" s="1">
        <v>46168</v>
      </c>
      <c r="C116" t="s">
        <v>99</v>
      </c>
      <c r="D116" t="s">
        <v>32</v>
      </c>
      <c r="E116" t="s">
        <v>50</v>
      </c>
      <c r="F116" t="s">
        <v>85</v>
      </c>
      <c r="G116">
        <v>7</v>
      </c>
      <c r="H116" s="2">
        <v>2385.48</v>
      </c>
      <c r="I116" s="2">
        <f t="shared" si="5"/>
        <v>16698.36</v>
      </c>
      <c r="J116" t="s">
        <v>40</v>
      </c>
      <c r="K116">
        <f t="shared" si="4"/>
        <v>5</v>
      </c>
    </row>
    <row r="117" spans="1:11" x14ac:dyDescent="0.3">
      <c r="A117" t="s">
        <v>198</v>
      </c>
      <c r="B117" s="1">
        <v>45782</v>
      </c>
      <c r="C117" t="s">
        <v>125</v>
      </c>
      <c r="D117" t="s">
        <v>28</v>
      </c>
      <c r="E117" t="s">
        <v>33</v>
      </c>
      <c r="F117" t="s">
        <v>44</v>
      </c>
      <c r="G117">
        <v>5</v>
      </c>
      <c r="H117" s="2">
        <v>1958.91</v>
      </c>
      <c r="I117" s="2">
        <f t="shared" si="5"/>
        <v>9794.5500000000011</v>
      </c>
      <c r="J117" t="s">
        <v>15</v>
      </c>
      <c r="K117">
        <f t="shared" si="4"/>
        <v>5</v>
      </c>
    </row>
    <row r="118" spans="1:11" x14ac:dyDescent="0.3">
      <c r="A118" t="s">
        <v>199</v>
      </c>
      <c r="B118" s="1">
        <v>45861</v>
      </c>
      <c r="C118" t="s">
        <v>99</v>
      </c>
      <c r="D118" t="s">
        <v>32</v>
      </c>
      <c r="E118" t="s">
        <v>50</v>
      </c>
      <c r="F118" t="s">
        <v>85</v>
      </c>
      <c r="G118">
        <v>4</v>
      </c>
      <c r="H118" s="2">
        <v>893.61</v>
      </c>
      <c r="I118" s="2">
        <f t="shared" si="5"/>
        <v>3574.44</v>
      </c>
      <c r="J118" t="s">
        <v>90</v>
      </c>
      <c r="K118">
        <f t="shared" si="4"/>
        <v>7</v>
      </c>
    </row>
    <row r="119" spans="1:11" x14ac:dyDescent="0.3">
      <c r="A119" t="s">
        <v>200</v>
      </c>
      <c r="B119" s="1">
        <v>45850</v>
      </c>
      <c r="C119" t="s">
        <v>94</v>
      </c>
      <c r="D119" t="s">
        <v>24</v>
      </c>
      <c r="E119" t="s">
        <v>19</v>
      </c>
      <c r="F119" t="s">
        <v>111</v>
      </c>
      <c r="G119">
        <v>4</v>
      </c>
      <c r="H119" s="2">
        <v>2610.52</v>
      </c>
      <c r="I119" s="2">
        <f t="shared" si="5"/>
        <v>10442.08</v>
      </c>
      <c r="J119" t="s">
        <v>40</v>
      </c>
      <c r="K119">
        <f t="shared" si="4"/>
        <v>7</v>
      </c>
    </row>
    <row r="120" spans="1:11" x14ac:dyDescent="0.3">
      <c r="A120" t="s">
        <v>201</v>
      </c>
      <c r="B120" s="1">
        <v>45760</v>
      </c>
      <c r="C120" t="s">
        <v>108</v>
      </c>
      <c r="D120" t="s">
        <v>24</v>
      </c>
      <c r="E120" t="s">
        <v>13</v>
      </c>
      <c r="F120" t="s">
        <v>14</v>
      </c>
      <c r="G120">
        <v>8</v>
      </c>
      <c r="H120" s="2">
        <v>4431.7</v>
      </c>
      <c r="I120" s="2">
        <f t="shared" si="5"/>
        <v>35453.599999999999</v>
      </c>
      <c r="J120" t="s">
        <v>40</v>
      </c>
      <c r="K120">
        <f t="shared" si="4"/>
        <v>4</v>
      </c>
    </row>
    <row r="121" spans="1:11" x14ac:dyDescent="0.3">
      <c r="A121" t="s">
        <v>202</v>
      </c>
      <c r="B121" s="1">
        <v>46117</v>
      </c>
      <c r="C121" t="s">
        <v>72</v>
      </c>
      <c r="D121" t="s">
        <v>24</v>
      </c>
      <c r="E121" t="s">
        <v>33</v>
      </c>
      <c r="F121" t="s">
        <v>34</v>
      </c>
      <c r="G121">
        <v>2</v>
      </c>
      <c r="H121" s="2">
        <v>394.4</v>
      </c>
      <c r="I121" s="2">
        <f t="shared" si="5"/>
        <v>788.8</v>
      </c>
      <c r="J121" t="s">
        <v>90</v>
      </c>
      <c r="K121">
        <f t="shared" si="4"/>
        <v>4</v>
      </c>
    </row>
    <row r="122" spans="1:11" x14ac:dyDescent="0.3">
      <c r="A122" t="s">
        <v>203</v>
      </c>
      <c r="B122" s="1">
        <v>45856</v>
      </c>
      <c r="C122" t="s">
        <v>55</v>
      </c>
      <c r="D122" t="s">
        <v>28</v>
      </c>
      <c r="E122" t="s">
        <v>46</v>
      </c>
      <c r="F122" t="s">
        <v>82</v>
      </c>
      <c r="G122">
        <v>8</v>
      </c>
      <c r="H122" s="2">
        <v>3074.75</v>
      </c>
      <c r="I122" s="2">
        <f t="shared" si="5"/>
        <v>24598</v>
      </c>
      <c r="J122" t="s">
        <v>21</v>
      </c>
      <c r="K122">
        <f t="shared" si="4"/>
        <v>7</v>
      </c>
    </row>
    <row r="123" spans="1:11" x14ac:dyDescent="0.3">
      <c r="A123" t="s">
        <v>204</v>
      </c>
      <c r="B123" s="1">
        <v>45766</v>
      </c>
      <c r="C123" t="s">
        <v>17</v>
      </c>
      <c r="D123" t="s">
        <v>32</v>
      </c>
      <c r="E123" t="s">
        <v>13</v>
      </c>
      <c r="F123" t="s">
        <v>25</v>
      </c>
      <c r="G123">
        <v>6</v>
      </c>
      <c r="H123" s="2">
        <v>835.64</v>
      </c>
      <c r="I123" s="2">
        <f t="shared" si="5"/>
        <v>5013.84</v>
      </c>
      <c r="J123" t="s">
        <v>40</v>
      </c>
      <c r="K123">
        <f t="shared" si="4"/>
        <v>4</v>
      </c>
    </row>
    <row r="124" spans="1:11" x14ac:dyDescent="0.3">
      <c r="A124" t="s">
        <v>205</v>
      </c>
      <c r="B124" s="1">
        <v>45919</v>
      </c>
      <c r="C124" t="s">
        <v>116</v>
      </c>
      <c r="D124" t="s">
        <v>18</v>
      </c>
      <c r="E124" t="s">
        <v>50</v>
      </c>
      <c r="F124" t="s">
        <v>51</v>
      </c>
      <c r="G124">
        <v>6</v>
      </c>
      <c r="H124" s="2">
        <v>2133.63</v>
      </c>
      <c r="I124" s="2">
        <f t="shared" si="5"/>
        <v>12801.78</v>
      </c>
      <c r="J124" t="s">
        <v>15</v>
      </c>
      <c r="K124">
        <f t="shared" si="4"/>
        <v>9</v>
      </c>
    </row>
    <row r="125" spans="1:11" x14ac:dyDescent="0.3">
      <c r="A125" t="s">
        <v>206</v>
      </c>
      <c r="B125" s="1">
        <v>45847</v>
      </c>
      <c r="C125" t="s">
        <v>64</v>
      </c>
      <c r="D125" t="s">
        <v>24</v>
      </c>
      <c r="E125" t="s">
        <v>50</v>
      </c>
      <c r="F125" t="s">
        <v>51</v>
      </c>
      <c r="G125">
        <v>8</v>
      </c>
      <c r="H125" s="2">
        <v>2808.02</v>
      </c>
      <c r="I125" s="2">
        <f t="shared" si="5"/>
        <v>22464.16</v>
      </c>
      <c r="J125" t="s">
        <v>21</v>
      </c>
      <c r="K125">
        <f t="shared" si="4"/>
        <v>7</v>
      </c>
    </row>
    <row r="126" spans="1:11" x14ac:dyDescent="0.3">
      <c r="A126" t="s">
        <v>207</v>
      </c>
      <c r="B126" s="1">
        <v>46075</v>
      </c>
      <c r="C126" t="s">
        <v>142</v>
      </c>
      <c r="D126" t="s">
        <v>12</v>
      </c>
      <c r="E126" t="s">
        <v>46</v>
      </c>
      <c r="F126" t="s">
        <v>82</v>
      </c>
      <c r="G126">
        <v>9</v>
      </c>
      <c r="H126" s="2">
        <v>592.09</v>
      </c>
      <c r="I126" s="2">
        <f t="shared" si="5"/>
        <v>5328.81</v>
      </c>
      <c r="J126" t="s">
        <v>40</v>
      </c>
      <c r="K126">
        <f t="shared" si="4"/>
        <v>2</v>
      </c>
    </row>
    <row r="127" spans="1:11" x14ac:dyDescent="0.3">
      <c r="A127" t="s">
        <v>208</v>
      </c>
      <c r="B127" s="1">
        <v>46065</v>
      </c>
      <c r="C127" t="s">
        <v>70</v>
      </c>
      <c r="D127" t="s">
        <v>12</v>
      </c>
      <c r="E127" t="s">
        <v>33</v>
      </c>
      <c r="F127" t="s">
        <v>59</v>
      </c>
      <c r="G127">
        <v>7</v>
      </c>
      <c r="H127" s="2">
        <v>4772.97</v>
      </c>
      <c r="I127" s="2">
        <f t="shared" si="5"/>
        <v>33410.79</v>
      </c>
      <c r="J127" t="s">
        <v>15</v>
      </c>
      <c r="K127">
        <f t="shared" si="4"/>
        <v>2</v>
      </c>
    </row>
    <row r="128" spans="1:11" x14ac:dyDescent="0.3">
      <c r="A128" t="s">
        <v>209</v>
      </c>
      <c r="B128" s="1">
        <v>46023</v>
      </c>
      <c r="C128" t="s">
        <v>38</v>
      </c>
      <c r="D128" t="s">
        <v>12</v>
      </c>
      <c r="E128" t="s">
        <v>13</v>
      </c>
      <c r="F128" t="s">
        <v>25</v>
      </c>
      <c r="G128">
        <v>4</v>
      </c>
      <c r="H128" s="2">
        <v>2045.05</v>
      </c>
      <c r="I128" s="2">
        <f t="shared" si="5"/>
        <v>8180.2</v>
      </c>
      <c r="J128" t="s">
        <v>26</v>
      </c>
      <c r="K128">
        <f t="shared" si="4"/>
        <v>1</v>
      </c>
    </row>
    <row r="129" spans="1:11" x14ac:dyDescent="0.3">
      <c r="A129" t="s">
        <v>210</v>
      </c>
      <c r="B129" s="1">
        <v>45866</v>
      </c>
      <c r="C129" t="s">
        <v>151</v>
      </c>
      <c r="D129" t="s">
        <v>12</v>
      </c>
      <c r="E129" t="s">
        <v>50</v>
      </c>
      <c r="F129" t="s">
        <v>77</v>
      </c>
      <c r="G129">
        <v>2</v>
      </c>
      <c r="H129" s="2">
        <v>4128.79</v>
      </c>
      <c r="I129" s="2">
        <f t="shared" si="5"/>
        <v>8257.58</v>
      </c>
      <c r="J129" t="s">
        <v>26</v>
      </c>
      <c r="K129">
        <f t="shared" si="4"/>
        <v>7</v>
      </c>
    </row>
    <row r="130" spans="1:11" x14ac:dyDescent="0.3">
      <c r="A130" t="s">
        <v>211</v>
      </c>
      <c r="B130" s="1">
        <v>46031</v>
      </c>
      <c r="C130" t="s">
        <v>108</v>
      </c>
      <c r="D130" t="s">
        <v>32</v>
      </c>
      <c r="E130" t="s">
        <v>50</v>
      </c>
      <c r="F130" t="s">
        <v>51</v>
      </c>
      <c r="G130">
        <v>1</v>
      </c>
      <c r="H130" s="2">
        <v>2825.01</v>
      </c>
      <c r="I130" s="2">
        <f t="shared" ref="I130:I131" si="6">G130*H130</f>
        <v>2825.01</v>
      </c>
      <c r="J130" t="s">
        <v>26</v>
      </c>
      <c r="K130">
        <f t="shared" si="4"/>
        <v>1</v>
      </c>
    </row>
    <row r="131" spans="1:11" x14ac:dyDescent="0.3">
      <c r="A131" t="s">
        <v>212</v>
      </c>
      <c r="B131" s="1">
        <v>45749</v>
      </c>
      <c r="C131" t="s">
        <v>72</v>
      </c>
      <c r="D131" t="s">
        <v>18</v>
      </c>
      <c r="E131" t="s">
        <v>50</v>
      </c>
      <c r="F131" t="s">
        <v>85</v>
      </c>
      <c r="G131">
        <v>6</v>
      </c>
      <c r="H131" s="2">
        <v>1523.98</v>
      </c>
      <c r="I131" s="2">
        <f t="shared" si="6"/>
        <v>9143.880000000001</v>
      </c>
      <c r="J131" t="s">
        <v>90</v>
      </c>
      <c r="K131">
        <f t="shared" ref="K131" si="7">MONTH(B131)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activeCell="C7" sqref="C7"/>
    </sheetView>
  </sheetViews>
  <sheetFormatPr defaultColWidth="8.6640625" defaultRowHeight="14.4" x14ac:dyDescent="0.3"/>
  <cols>
    <col min="1" max="1" width="5" customWidth="1"/>
    <col min="2" max="2" width="134.109375" bestFit="1" customWidth="1"/>
    <col min="3" max="3" width="30" customWidth="1"/>
    <col min="4" max="4" width="9.5546875" bestFit="1" customWidth="1"/>
  </cols>
  <sheetData>
    <row r="1" spans="1:3" x14ac:dyDescent="0.3">
      <c r="A1" s="4" t="s">
        <v>213</v>
      </c>
      <c r="B1" s="4" t="s">
        <v>214</v>
      </c>
      <c r="C1" s="4" t="s">
        <v>215</v>
      </c>
    </row>
    <row r="2" spans="1:3" x14ac:dyDescent="0.3">
      <c r="A2">
        <v>1</v>
      </c>
      <c r="B2" t="s">
        <v>216</v>
      </c>
      <c r="C2">
        <f>SUMIFS(Data!I:I,Data!B:B,"&gt;="&amp;DATE(2025,6,1),Data!B:B,"&lt;="&amp;DATE(2025,7,1))</f>
        <v>61520.280000000006</v>
      </c>
    </row>
    <row r="3" spans="1:3" x14ac:dyDescent="0.3">
      <c r="A3">
        <v>2</v>
      </c>
      <c r="B3" t="s">
        <v>217</v>
      </c>
      <c r="C3" t="str">
        <f>INDEX(Data!C:C,MATCH(MAX(Data!I:I),Data!I:I,0))</f>
        <v>Kiara Bhatt</v>
      </c>
    </row>
    <row r="4" spans="1:3" x14ac:dyDescent="0.3">
      <c r="A4">
        <v>3</v>
      </c>
      <c r="B4" t="s">
        <v>218</v>
      </c>
      <c r="C4">
        <f>AVERAGEIF(Data!J:J,"Cash on Delivery",Data!I:I)</f>
        <v>13388.110769230767</v>
      </c>
    </row>
    <row r="5" spans="1:3" x14ac:dyDescent="0.3">
      <c r="A5">
        <v>4</v>
      </c>
      <c r="B5" t="s">
        <v>219</v>
      </c>
      <c r="C5" t="str">
        <f>IF(Data!G2&gt;=8,"Bulk","Regular")</f>
        <v>Bulk</v>
      </c>
    </row>
    <row r="6" spans="1:3" x14ac:dyDescent="0.3">
      <c r="A6">
        <v>5</v>
      </c>
      <c r="B6" t="s">
        <v>220</v>
      </c>
      <c r="C6" s="5">
        <f>SUMIF(Data!D:D,"North",Data!I:I)/SUM(Data!I:I)</f>
        <v>0.2559239049496102</v>
      </c>
    </row>
    <row r="7" spans="1:3" x14ac:dyDescent="0.3">
      <c r="A7">
        <v>6</v>
      </c>
      <c r="B7" t="s">
        <v>221</v>
      </c>
      <c r="C7">
        <f>COUNTA(_xlfn.UNIQUE(Data!C2:C131))</f>
        <v>33</v>
      </c>
    </row>
    <row r="8" spans="1:3" x14ac:dyDescent="0.3">
      <c r="A8">
        <v>7</v>
      </c>
      <c r="B8" t="s">
        <v>222</v>
      </c>
      <c r="C8" t="str" cm="1">
        <f t="array" ref="C8">INDEX(Data!C2:C131,MODE(MATCH(Data!C2:C131,Data!C2:C131,0)))</f>
        <v>Ananya Kapoor</v>
      </c>
    </row>
    <row r="9" spans="1:3" x14ac:dyDescent="0.3">
      <c r="A9">
        <v>8</v>
      </c>
      <c r="B9" t="s">
        <v>223</v>
      </c>
      <c r="C9">
        <f>AVERAGEIF(Data!D:D,"West",Data!I:I)</f>
        <v>12771.539354838707</v>
      </c>
    </row>
    <row r="10" spans="1:3" x14ac:dyDescent="0.3">
      <c r="A10">
        <v>9</v>
      </c>
      <c r="B10" t="s">
        <v>224</v>
      </c>
      <c r="C10">
        <f>LARGE(Data!I:I,2)</f>
        <v>47891</v>
      </c>
    </row>
    <row r="11" spans="1:3" x14ac:dyDescent="0.3">
      <c r="A11">
        <v>10</v>
      </c>
      <c r="B11" t="s">
        <v>225</v>
      </c>
      <c r="C11" cm="1">
        <f t="array" ref="C11">SUM(LARGE(Data!I:I,{1,2,3}))</f>
        <v>140583.30000000002</v>
      </c>
    </row>
    <row r="12" spans="1:3" x14ac:dyDescent="0.3">
      <c r="A12">
        <v>11</v>
      </c>
      <c r="B12" t="s">
        <v>226</v>
      </c>
      <c r="C12" cm="1">
        <f t="array" ref="C12">SUM(COUNTIF(Data!J:J,{"UPI","Net Banking"}))</f>
        <v>54</v>
      </c>
    </row>
    <row r="13" spans="1:3" x14ac:dyDescent="0.3">
      <c r="A13">
        <v>12</v>
      </c>
      <c r="B13" t="s">
        <v>227</v>
      </c>
      <c r="C13">
        <f>COUNTIF(Data!G:G,"=0")</f>
        <v>0</v>
      </c>
    </row>
    <row r="14" spans="1:3" x14ac:dyDescent="0.3">
      <c r="A14">
        <v>13</v>
      </c>
      <c r="B14" t="s">
        <v>228</v>
      </c>
      <c r="C14" s="5">
        <f>COUNTIF(Data!E2:E131,"Electronics")/COUNTA(Data!E2:E131)</f>
        <v>0.14615384615384616</v>
      </c>
    </row>
    <row r="15" spans="1:3" x14ac:dyDescent="0.3">
      <c r="A15">
        <v>14</v>
      </c>
      <c r="B15" t="s">
        <v>229</v>
      </c>
      <c r="C15" t="str">
        <f>INDEX(Data!A1:K131,MATCH(MAX(Data!I:I),Data!I:I,0),3)</f>
        <v>Kiara Bhatt</v>
      </c>
    </row>
    <row r="16" spans="1:3" x14ac:dyDescent="0.3">
      <c r="A16">
        <v>15</v>
      </c>
      <c r="B16" t="s">
        <v>230</v>
      </c>
      <c r="C16" t="str">
        <f>IF(Data!I2&gt;AVERAGE(Data!I:I),"Above Average","Below Average")</f>
        <v>Above Average</v>
      </c>
    </row>
    <row r="17" spans="1:5" x14ac:dyDescent="0.3">
      <c r="A17">
        <v>16</v>
      </c>
      <c r="B17" t="s">
        <v>231</v>
      </c>
      <c r="C17" cm="1">
        <f t="array" ref="C17">SUM(SUMIF(Data!E:E,{"Electronics","Apparel"},Data!I:I))</f>
        <v>573929.17000000004</v>
      </c>
    </row>
    <row r="18" spans="1:5" x14ac:dyDescent="0.3">
      <c r="A18">
        <v>17</v>
      </c>
      <c r="B18" t="s">
        <v>232</v>
      </c>
      <c r="C18">
        <f>COUNTIFS(Data!E:E,"Grocery",Data!J:J,"UPI",Data!G:G,"&lt;3")</f>
        <v>2</v>
      </c>
    </row>
    <row r="19" spans="1:5" x14ac:dyDescent="0.3">
      <c r="A19">
        <v>18</v>
      </c>
      <c r="B19" t="s">
        <v>233</v>
      </c>
      <c r="C19" s="6">
        <f>MIN(Data!B:B)</f>
        <v>45659</v>
      </c>
      <c r="D19" s="6">
        <f>MAX(Data!B:B)</f>
        <v>46198</v>
      </c>
    </row>
    <row r="20" spans="1:5" x14ac:dyDescent="0.3">
      <c r="A20">
        <v>19</v>
      </c>
      <c r="B20" t="s">
        <v>234</v>
      </c>
      <c r="C20">
        <f>YEAR(Data!B2)</f>
        <v>2025</v>
      </c>
    </row>
    <row r="21" spans="1:5" x14ac:dyDescent="0.3">
      <c r="A21">
        <v>20</v>
      </c>
      <c r="B21" t="s">
        <v>235</v>
      </c>
      <c r="C21">
        <f>SUMIF(Data!E:E,"Electronics",Data!I:I)</f>
        <v>322133.06000000006</v>
      </c>
      <c r="D21">
        <f>SUMIF(Data!E:E,"Home",Data!I:I)</f>
        <v>365564.6399999999</v>
      </c>
      <c r="E21" t="s">
        <v>238</v>
      </c>
    </row>
    <row r="23" spans="1:5" x14ac:dyDescent="0.3">
      <c r="B23" s="3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2026-07-02T14:24:25Z</dcterms:created>
  <dcterms:modified xsi:type="dcterms:W3CDTF">2026-07-03T06:14:17Z</dcterms:modified>
  <dc:language>en-US</dc:language>
</cp:coreProperties>
</file>