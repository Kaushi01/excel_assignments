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BB34FB-16ED-4E44-AF2D-242A9F0694D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C24" i="2"/>
  <c r="D24" i="2" a="1"/>
  <c r="D24" i="2" s="1"/>
  <c r="C25" i="2"/>
  <c r="C23" i="2"/>
  <c r="F14" i="2"/>
  <c r="F15" i="2"/>
  <c r="F16" i="2"/>
  <c r="F17" i="2"/>
  <c r="F13" i="2"/>
  <c r="E12" i="2" a="1"/>
  <c r="E12" i="2" s="1"/>
  <c r="C21" i="2" a="1"/>
  <c r="C21" i="2" s="1"/>
  <c r="C18" i="2" a="1"/>
  <c r="C18" i="2" s="1"/>
  <c r="C14" i="2"/>
  <c r="C13" i="2"/>
  <c r="C10" i="2"/>
  <c r="C22" i="2" a="1"/>
  <c r="C22" i="2" s="1"/>
  <c r="C15" i="2" a="1"/>
  <c r="C15" i="2" s="1"/>
  <c r="C9" i="2" a="1"/>
  <c r="C9" i="2" s="1"/>
  <c r="F28" i="2"/>
  <c r="F29" i="2"/>
  <c r="F30" i="2"/>
  <c r="F31" i="2"/>
  <c r="F32" i="2"/>
  <c r="F27" i="2"/>
  <c r="E26" i="2" a="1"/>
  <c r="E26" i="2" s="1"/>
  <c r="C20" i="2"/>
  <c r="D19" i="2"/>
  <c r="C19" i="2"/>
  <c r="C17" i="2"/>
  <c r="C16" i="2"/>
  <c r="C8" i="2"/>
  <c r="C7" i="2" a="1"/>
  <c r="C7" i="2" s="1"/>
  <c r="C6" i="2" a="1"/>
  <c r="C6" i="2" s="1"/>
  <c r="C5" i="2"/>
  <c r="C4" i="2"/>
  <c r="C3" i="2"/>
  <c r="C2" i="2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<sst xmlns="http://schemas.openxmlformats.org/spreadsheetml/2006/main" count="941" uniqueCount="267">
  <si>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</si>
  <si>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</si>
  <si>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</si>
  <si>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</si>
  <si>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</si>
  <si>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</si>
  <si>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</si>
  <si>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</si>
  <si>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</si>
  <si>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</si>
  <si>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ORD5001</t>
  </si>
  <si>
    <t>Vihaan Verma</t>
  </si>
  <si>
    <t>West</t>
  </si>
  <si>
    <t>Grocery</t>
  </si>
  <si>
    <t>Honey Jar</t>
  </si>
  <si>
    <t>Net Banking</t>
  </si>
  <si>
    <t>ORD5002</t>
  </si>
  <si>
    <t>Central</t>
  </si>
  <si>
    <t>Apparel</t>
  </si>
  <si>
    <t>Denim Jacket</t>
  </si>
  <si>
    <t>ORD5003</t>
  </si>
  <si>
    <t>Aarav Mehta</t>
  </si>
  <si>
    <t>Electronics</t>
  </si>
  <si>
    <t>Wireless Mouse</t>
  </si>
  <si>
    <t>Credit Card</t>
  </si>
  <si>
    <t>ORD5004</t>
  </si>
  <si>
    <t>Arjun Sharma</t>
  </si>
  <si>
    <t>East</t>
  </si>
  <si>
    <t>Home</t>
  </si>
  <si>
    <t>Storage Box</t>
  </si>
  <si>
    <t>Cash on Delivery</t>
  </si>
  <si>
    <t>ORD5005</t>
  </si>
  <si>
    <t>Saanvi Malhotra</t>
  </si>
  <si>
    <t>Table Lamp</t>
  </si>
  <si>
    <t>ORD5006</t>
  </si>
  <si>
    <t>Aditya Kapoor</t>
  </si>
  <si>
    <t>Webcam</t>
  </si>
  <si>
    <t>UPI</t>
  </si>
  <si>
    <t>ORD5007</t>
  </si>
  <si>
    <t>Aryan Gupta</t>
  </si>
  <si>
    <t>North</t>
  </si>
  <si>
    <t>Olive Oil 1L</t>
  </si>
  <si>
    <t>Debit Card</t>
  </si>
  <si>
    <t>ORD5008</t>
  </si>
  <si>
    <t>South</t>
  </si>
  <si>
    <t>Cushion Cover</t>
  </si>
  <si>
    <t>ORD5009</t>
  </si>
  <si>
    <t>ORD5010</t>
  </si>
  <si>
    <t>Tanvi Nair</t>
  </si>
  <si>
    <t>Photo Frame</t>
  </si>
  <si>
    <t>ORD5011</t>
  </si>
  <si>
    <t>Kiara Joshi</t>
  </si>
  <si>
    <t>Stationery</t>
  </si>
  <si>
    <t>Highlighter Pack</t>
  </si>
  <si>
    <t>ORD5012</t>
  </si>
  <si>
    <t>Desk Organizer</t>
  </si>
  <si>
    <t>ORD5013</t>
  </si>
  <si>
    <t>Green Tea Pack</t>
  </si>
  <si>
    <t>ORD5014</t>
  </si>
  <si>
    <t>Advait Chopra</t>
  </si>
  <si>
    <t>ORD5015</t>
  </si>
  <si>
    <t>Advait Joshi</t>
  </si>
  <si>
    <t>ORD5016</t>
  </si>
  <si>
    <t>Kabir Joshi</t>
  </si>
  <si>
    <t>Notebook</t>
  </si>
  <si>
    <t>ORD5017</t>
  </si>
  <si>
    <t>Almonds 500g</t>
  </si>
  <si>
    <t>ORD5018</t>
  </si>
  <si>
    <t>Running Shoes</t>
  </si>
  <si>
    <t>ORD5019</t>
  </si>
  <si>
    <t>Aarav Rao</t>
  </si>
  <si>
    <t>ORD5020</t>
  </si>
  <si>
    <t>Ira Verma</t>
  </si>
  <si>
    <t>ORD5021</t>
  </si>
  <si>
    <t>ORD5022</t>
  </si>
  <si>
    <t>Oats Pack</t>
  </si>
  <si>
    <t>ORD5023</t>
  </si>
  <si>
    <t>ORD5024</t>
  </si>
  <si>
    <t>Laptop Stand</t>
  </si>
  <si>
    <t>ORD5025</t>
  </si>
  <si>
    <t>Diya Verma</t>
  </si>
  <si>
    <t>Cap</t>
  </si>
  <si>
    <t>ORD5026</t>
  </si>
  <si>
    <t>Aarav Reddy</t>
  </si>
  <si>
    <t>ORD5027</t>
  </si>
  <si>
    <t>Anika Iyer</t>
  </si>
  <si>
    <t>ORD5028</t>
  </si>
  <si>
    <t>ORD5029</t>
  </si>
  <si>
    <t>Pari Gupta</t>
  </si>
  <si>
    <t>ORD5030</t>
  </si>
  <si>
    <t>Pari Bhatt</t>
  </si>
  <si>
    <t>ORD5031</t>
  </si>
  <si>
    <t>Aadhya Gupta</t>
  </si>
  <si>
    <t>USB-C Cable</t>
  </si>
  <si>
    <t>ORD5032</t>
  </si>
  <si>
    <t>Ishaan Bhatt</t>
  </si>
  <si>
    <t>ORD5033</t>
  </si>
  <si>
    <t>ORD5034</t>
  </si>
  <si>
    <t>Cotton T-Shirt</t>
  </si>
  <si>
    <t>ORD5035</t>
  </si>
  <si>
    <t>Ananya Bhatt</t>
  </si>
  <si>
    <t>ORD5036</t>
  </si>
  <si>
    <t>Aditya Kumar</t>
  </si>
  <si>
    <t>ORD5037</t>
  </si>
  <si>
    <t>Aditya Joshi</t>
  </si>
  <si>
    <t>ORD5038</t>
  </si>
  <si>
    <t>ORD5039</t>
  </si>
  <si>
    <t>ORD5040</t>
  </si>
  <si>
    <t>ORD5041</t>
  </si>
  <si>
    <t>Ananya Malhotra</t>
  </si>
  <si>
    <t>ORD5042</t>
  </si>
  <si>
    <t>ORD5043</t>
  </si>
  <si>
    <t>ORD5044</t>
  </si>
  <si>
    <t>Vivaan Iyer</t>
  </si>
  <si>
    <t>ORD5045</t>
  </si>
  <si>
    <t>ORD5046</t>
  </si>
  <si>
    <t>Ananya Verma</t>
  </si>
  <si>
    <t>ORD5047</t>
  </si>
  <si>
    <t>ORD5048</t>
  </si>
  <si>
    <t>ORD5049</t>
  </si>
  <si>
    <t>ORD5050</t>
  </si>
  <si>
    <t>ORD5051</t>
  </si>
  <si>
    <t>Ishaan Singh</t>
  </si>
  <si>
    <t>Wall Clock</t>
  </si>
  <si>
    <t>ORD5052</t>
  </si>
  <si>
    <t>Sai Malhotra</t>
  </si>
  <si>
    <t>ORD5053</t>
  </si>
  <si>
    <t>ORD5054</t>
  </si>
  <si>
    <t>Ananya Kapoor</t>
  </si>
  <si>
    <t>Wool Socks</t>
  </si>
  <si>
    <t>ORD5055</t>
  </si>
  <si>
    <t>ORD5056</t>
  </si>
  <si>
    <t>Reyansh Malhotra</t>
  </si>
  <si>
    <t>Bluetooth Speaker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</si>
  <si>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</si>
  <si>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</si>
  <si>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</si>
  <si>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</si>
  <si>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</si>
  <si>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</si>
  <si>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</si>
  <si>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</si>
  <si>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</si>
  <si>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</si>
  <si>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</si>
  <si>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</si>
  <si>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</si>
  <si>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Ananya Mehta</t>
  </si>
  <si>
    <t>ORD5070</t>
  </si>
  <si>
    <t>Navya Mehta</t>
  </si>
  <si>
    <t>ORD5071</t>
  </si>
  <si>
    <t>ORD5072</t>
  </si>
  <si>
    <t>Meera Bhatt</t>
  </si>
  <si>
    <t>ORD5073</t>
  </si>
  <si>
    <t>Ira Rao</t>
  </si>
  <si>
    <t>ORD5074</t>
  </si>
  <si>
    <t>ORD5075</t>
  </si>
  <si>
    <t>ORD5076</t>
  </si>
  <si>
    <t>ORD5077</t>
  </si>
  <si>
    <t>ORD5078</t>
  </si>
  <si>
    <t>Sai Kumar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</si>
  <si>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</si>
  <si>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</si>
  <si>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</si>
  <si>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</si>
  <si>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</si>
  <si>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</si>
  <si>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</si>
  <si>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</si>
  <si>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</si>
  <si>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</si>
  <si>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</si>
  <si>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</si>
  <si>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Aditya Sharma</t>
  </si>
  <si>
    <t>ORD5091</t>
  </si>
  <si>
    <t>ORD5092</t>
  </si>
  <si>
    <t>Gel Pen Set</t>
  </si>
  <si>
    <t>ORD5093</t>
  </si>
  <si>
    <t>ORD5094</t>
  </si>
  <si>
    <t>ORD5095</t>
  </si>
  <si>
    <t>ORD5096</t>
  </si>
  <si>
    <t>Sticky Notes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</si>
  <si>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</si>
  <si>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</si>
  <si>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</si>
  <si>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</si>
  <si>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</si>
  <si>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</si>
  <si>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</si>
  <si>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</si>
  <si>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</si>
  <si>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</si>
  <si>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</si>
  <si>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</si>
  <si>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</si>
  <si>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</si>
  <si>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</si>
  <si>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</si>
  <si>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Sai Sharma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</si>
  <si>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</si>
  <si>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</si>
  <si>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</si>
  <si>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</si>
  <si>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</si>
  <si>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</si>
  <si>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</si>
  <si>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</si>
  <si>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</si>
  <si>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</si>
  <si>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</si>
  <si>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</si>
  <si>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</si>
  <si>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</si>
  <si>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Krish Patel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</si>
  <si>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</si>
  <si>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</si>
  <si>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</si>
  <si>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</si>
  <si>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</si>
  <si>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</si>
  <si>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</si>
  <si>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</si>
  <si>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</si>
  <si>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</si>
  <si>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</si>
  <si>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</si>
  <si>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</si>
  <si>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</si>
  <si>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</si>
  <si>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</si>
  <si>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</si>
  <si>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</si>
  <si>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</si>
  <si>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</si>
  <si>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</si>
  <si>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</si>
  <si>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</si>
  <si>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</si>
  <si>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#</t>
  </si>
  <si>
    <t>Question</t>
  </si>
  <si>
    <t>Your Formula / Answer</t>
  </si>
  <si>
    <t>Find total revenue for all orders EXCEPT those paid via 'Cash on Delivery' (use a &lt;&gt; not-equal-to condition).</t>
  </si>
  <si>
    <t>Using VLOOKUP, find the CustomerName for OrderID 'ORD5050'.</t>
  </si>
  <si>
    <t>Convert the first order's CustomerName to all UPPERCASE letters.</t>
  </si>
  <si>
    <t>Convert the first order's CustomerName to Proper Case (first letter of each word capitalized).</t>
  </si>
  <si>
    <t>Using the IFS function (not nested IF), classify the first order's TotalAmount as 'Low' (&lt;2000), 'Medium' (2000-8000), or 'High' (&gt;8000).</t>
  </si>
  <si>
    <t>Find the average value of the top 5 highest-value orders (not the sum — the average).</t>
  </si>
  <si>
    <t>Find the number of calendar days between the earliest and latest OrderDate in the dataset.</t>
  </si>
  <si>
    <t>Find total revenue for orders that are ('Electronics' OR 'Home') category AND paid via 'UPI' (combined AND + OR condition).</t>
  </si>
  <si>
    <t>Count how many customer names contain a space character (i.e., have a visible first and last name).</t>
  </si>
  <si>
    <t>Find total revenue for orders placed within the first 7 days of the dataset's date range (relative to the earliest OrderDate).</t>
  </si>
  <si>
    <t>Identify which Region has the SECOND-highest total revenue (not the highest — the second).</t>
  </si>
  <si>
    <t>Count how many orders have a Quantity greater than the average Quantity across all orders.</t>
  </si>
  <si>
    <t>Find total revenue for orders where UnitPrice is above the overall average UnitPrice.</t>
  </si>
  <si>
    <t>Using COUNTIFS (or SUMPRODUCT), count how many orders are in EITHER the 'Grocery' OR 'Stationery' category.</t>
  </si>
  <si>
    <t>Find the total number of characters in the first order's CustomerName (use LEN).</t>
  </si>
  <si>
    <t>Build a summary label for the first order formatted as 'OrderID | Region | Category', e.g. 'ORD5001 | North | Electronics'.</t>
  </si>
  <si>
    <t>Find how many unique Products were sold specifically within the 'Home' category.</t>
  </si>
  <si>
    <t>Find the single busiest OrderDate (the date with the most orders), and how many orders fell on it.</t>
  </si>
  <si>
    <t>Check whether total revenue across the whole dataset exceeds 2,000,000 — return 'Yes' or 'No'.</t>
  </si>
  <si>
    <t>Calculate what percentage of orders were paid using a method OTHER than 'Credit Card' or 'Debit Card'.</t>
  </si>
  <si>
    <t>Using SUMPRODUCT, find total revenue for orders where Region is 'West' AND Quantity is at least 5.</t>
  </si>
  <si>
    <t>Find the average number of orders placed per unique customer (total orders divided by unique customer count).</t>
  </si>
  <si>
    <t>Find the total lifetime revenue (sum of TotalAmount) generated by the single customer who placed the most orders.</t>
  </si>
  <si>
    <t>Count how many CustomerNames end with the letter 'a' (e.g. 'Meera', 'Diya') using a wildcard.</t>
  </si>
  <si>
    <t>Identify which Category has the LOWEST average UnitPrice (not total revenue — average unit price).</t>
  </si>
  <si>
    <t>Note: All questions refer to the 'Data' sheet (range A2:J151). All order dates fall within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</si>
</sst>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Cambria"/>
      <charset val="1"/>
    </font>
    <font>
      <i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0" fontId="2" fillId="2" borderId="0" xfId="0" applyFont="1" applyFill="1"/>
    <xf numFmtId="14" fontId="0" fillId="0" borderId="0" xfId="0" applyNumberFormat="1"/>
    <xf numFmtId="2" fontId="1" fillId="0" borderId="0" xfId="1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opLeftCell="A125" zoomScaleNormal="100" workbookViewId="0">
      <selection activeCell="D9" sqref="D9"/>
    </sheetView>
  </sheetViews>
  <sheetFormatPr defaultColWidth="8.6640625" defaultRowHeight="14.4" x14ac:dyDescent="0.3"/>
  <cols>
    <col min="1" max="1" width="8.6640625" bestFit="1" customWidth="1"/>
    <col min="2" max="2" width="11" bestFit="1" customWidth="1"/>
    <col min="3" max="3" width="15.88671875" bestFit="1" customWidth="1"/>
    <col min="4" max="4" width="7.44140625" bestFit="1" customWidth="1"/>
    <col min="5" max="5" width="9.88671875" bestFit="1" customWidth="1"/>
    <col min="6" max="6" width="16.109375" bestFit="1" customWidth="1"/>
    <col min="7" max="7" width="9.33203125" bestFit="1" customWidth="1"/>
    <col min="8" max="8" width="9.77734375" bestFit="1" customWidth="1"/>
    <col min="9" max="9" width="13.5546875" bestFit="1" customWidth="1"/>
    <col min="10" max="10" width="16.5546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t="s">
        <v>10</v>
      </c>
      <c r="B2" s="1">
        <v>45858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s="2">
        <v>3248.18</v>
      </c>
      <c r="I2" s="2">
        <f t="shared" ref="I2:I33" si="0">G2*H2</f>
        <v>3248.18</v>
      </c>
      <c r="J2" t="s">
        <v>15</v>
      </c>
    </row>
    <row r="3" spans="1:10" x14ac:dyDescent="0.3">
      <c r="A3" t="s">
        <v>16</v>
      </c>
      <c r="B3" s="1">
        <v>45858</v>
      </c>
      <c r="C3" t="s">
        <v>11</v>
      </c>
      <c r="D3" t="s">
        <v>17</v>
      </c>
      <c r="E3" t="s">
        <v>18</v>
      </c>
      <c r="F3" t="s">
        <v>19</v>
      </c>
      <c r="G3">
        <v>3</v>
      </c>
      <c r="H3" s="2">
        <v>4961</v>
      </c>
      <c r="I3" s="2">
        <f t="shared" si="0"/>
        <v>14883</v>
      </c>
      <c r="J3" t="s">
        <v>15</v>
      </c>
    </row>
    <row r="4" spans="1:10" x14ac:dyDescent="0.3">
      <c r="A4" t="s">
        <v>20</v>
      </c>
      <c r="B4" s="1">
        <v>45858</v>
      </c>
      <c r="C4" t="s">
        <v>21</v>
      </c>
      <c r="D4" t="s">
        <v>12</v>
      </c>
      <c r="E4" t="s">
        <v>22</v>
      </c>
      <c r="F4" t="s">
        <v>23</v>
      </c>
      <c r="G4">
        <v>3</v>
      </c>
      <c r="H4" s="2">
        <v>2363.25</v>
      </c>
      <c r="I4" s="2">
        <f t="shared" si="0"/>
        <v>7089.75</v>
      </c>
      <c r="J4" t="s">
        <v>24</v>
      </c>
    </row>
    <row r="5" spans="1:10" x14ac:dyDescent="0.3">
      <c r="A5" t="s">
        <v>25</v>
      </c>
      <c r="B5" s="1">
        <v>45858</v>
      </c>
      <c r="C5" t="s">
        <v>26</v>
      </c>
      <c r="D5" t="s">
        <v>27</v>
      </c>
      <c r="E5" t="s">
        <v>28</v>
      </c>
      <c r="F5" t="s">
        <v>29</v>
      </c>
      <c r="G5">
        <v>7</v>
      </c>
      <c r="H5" s="2">
        <v>151.72</v>
      </c>
      <c r="I5" s="2">
        <f t="shared" si="0"/>
        <v>1062.04</v>
      </c>
      <c r="J5" t="s">
        <v>30</v>
      </c>
    </row>
    <row r="6" spans="1:10" x14ac:dyDescent="0.3">
      <c r="A6" t="s">
        <v>31</v>
      </c>
      <c r="B6" s="1">
        <v>45858</v>
      </c>
      <c r="C6" t="s">
        <v>32</v>
      </c>
      <c r="D6" t="s">
        <v>17</v>
      </c>
      <c r="E6" t="s">
        <v>28</v>
      </c>
      <c r="F6" t="s">
        <v>33</v>
      </c>
      <c r="G6">
        <v>2</v>
      </c>
      <c r="H6" s="2">
        <v>2251.02</v>
      </c>
      <c r="I6" s="2">
        <f t="shared" si="0"/>
        <v>4502.04</v>
      </c>
      <c r="J6" t="s">
        <v>24</v>
      </c>
    </row>
    <row r="7" spans="1:10" x14ac:dyDescent="0.3">
      <c r="A7" t="s">
        <v>34</v>
      </c>
      <c r="B7" s="1">
        <v>45858</v>
      </c>
      <c r="C7" t="s">
        <v>35</v>
      </c>
      <c r="D7" t="s">
        <v>12</v>
      </c>
      <c r="E7" t="s">
        <v>22</v>
      </c>
      <c r="F7" t="s">
        <v>36</v>
      </c>
      <c r="G7">
        <v>7</v>
      </c>
      <c r="H7" s="2">
        <v>291.31</v>
      </c>
      <c r="I7" s="2">
        <f t="shared" si="0"/>
        <v>2039.17</v>
      </c>
      <c r="J7" t="s">
        <v>37</v>
      </c>
    </row>
    <row r="8" spans="1:10" x14ac:dyDescent="0.3">
      <c r="A8" t="s">
        <v>38</v>
      </c>
      <c r="B8" s="1">
        <v>45792</v>
      </c>
      <c r="C8" t="s">
        <v>39</v>
      </c>
      <c r="D8" t="s">
        <v>40</v>
      </c>
      <c r="E8" t="s">
        <v>13</v>
      </c>
      <c r="F8" t="s">
        <v>41</v>
      </c>
      <c r="G8">
        <v>7</v>
      </c>
      <c r="H8" s="2">
        <v>1839.58</v>
      </c>
      <c r="I8" s="2">
        <f t="shared" si="0"/>
        <v>12877.06</v>
      </c>
      <c r="J8" t="s">
        <v>42</v>
      </c>
    </row>
    <row r="9" spans="1:10" x14ac:dyDescent="0.3">
      <c r="A9" t="s">
        <v>43</v>
      </c>
      <c r="B9" s="1">
        <v>45872</v>
      </c>
      <c r="C9" t="s">
        <v>32</v>
      </c>
      <c r="D9" t="s">
        <v>44</v>
      </c>
      <c r="E9" t="s">
        <v>28</v>
      </c>
      <c r="F9" t="s">
        <v>45</v>
      </c>
      <c r="G9">
        <v>2</v>
      </c>
      <c r="H9" s="2">
        <v>4150.07</v>
      </c>
      <c r="I9" s="2">
        <f t="shared" si="0"/>
        <v>8300.14</v>
      </c>
      <c r="J9" t="s">
        <v>24</v>
      </c>
    </row>
    <row r="10" spans="1:10" x14ac:dyDescent="0.3">
      <c r="A10" t="s">
        <v>46</v>
      </c>
      <c r="B10" s="1">
        <v>45923</v>
      </c>
      <c r="C10" t="s">
        <v>21</v>
      </c>
      <c r="D10" t="s">
        <v>17</v>
      </c>
      <c r="E10" t="s">
        <v>28</v>
      </c>
      <c r="F10" t="s">
        <v>45</v>
      </c>
      <c r="G10">
        <v>5</v>
      </c>
      <c r="H10" s="2">
        <v>3914.24</v>
      </c>
      <c r="I10" s="2">
        <f t="shared" si="0"/>
        <v>19571.199999999997</v>
      </c>
      <c r="J10" t="s">
        <v>15</v>
      </c>
    </row>
    <row r="11" spans="1:10" x14ac:dyDescent="0.3">
      <c r="A11" t="s">
        <v>47</v>
      </c>
      <c r="B11" s="1">
        <v>45846</v>
      </c>
      <c r="C11" t="s">
        <v>48</v>
      </c>
      <c r="D11" t="s">
        <v>17</v>
      </c>
      <c r="E11" t="s">
        <v>28</v>
      </c>
      <c r="F11" t="s">
        <v>49</v>
      </c>
      <c r="G11">
        <v>2</v>
      </c>
      <c r="H11" s="2">
        <v>3203.65</v>
      </c>
      <c r="I11" s="2">
        <f t="shared" si="0"/>
        <v>6407.3</v>
      </c>
      <c r="J11" t="s">
        <v>30</v>
      </c>
    </row>
    <row r="12" spans="1:10" x14ac:dyDescent="0.3">
      <c r="A12" t="s">
        <v>50</v>
      </c>
      <c r="B12" s="1">
        <v>45855</v>
      </c>
      <c r="C12" t="s">
        <v>51</v>
      </c>
      <c r="D12" t="s">
        <v>40</v>
      </c>
      <c r="E12" t="s">
        <v>52</v>
      </c>
      <c r="F12" t="s">
        <v>53</v>
      </c>
      <c r="G12">
        <v>1</v>
      </c>
      <c r="H12" s="2">
        <v>1845.27</v>
      </c>
      <c r="I12" s="2">
        <f t="shared" si="0"/>
        <v>1845.27</v>
      </c>
      <c r="J12" t="s">
        <v>15</v>
      </c>
    </row>
    <row r="13" spans="1:10" x14ac:dyDescent="0.3">
      <c r="A13" t="s">
        <v>54</v>
      </c>
      <c r="B13" s="1">
        <v>45813</v>
      </c>
      <c r="C13" t="s">
        <v>51</v>
      </c>
      <c r="D13" t="s">
        <v>40</v>
      </c>
      <c r="E13" t="s">
        <v>52</v>
      </c>
      <c r="F13" t="s">
        <v>55</v>
      </c>
      <c r="G13">
        <v>6</v>
      </c>
      <c r="H13" s="2">
        <v>4376.26</v>
      </c>
      <c r="I13" s="2">
        <f t="shared" si="0"/>
        <v>26257.56</v>
      </c>
      <c r="J13" t="s">
        <v>30</v>
      </c>
    </row>
    <row r="14" spans="1:10" x14ac:dyDescent="0.3">
      <c r="A14" t="s">
        <v>56</v>
      </c>
      <c r="B14" s="1">
        <v>45942</v>
      </c>
      <c r="C14" t="s">
        <v>48</v>
      </c>
      <c r="D14" t="s">
        <v>27</v>
      </c>
      <c r="E14" t="s">
        <v>13</v>
      </c>
      <c r="F14" t="s">
        <v>57</v>
      </c>
      <c r="G14">
        <v>9</v>
      </c>
      <c r="H14" s="2">
        <v>3672.68</v>
      </c>
      <c r="I14" s="2">
        <f t="shared" si="0"/>
        <v>33054.119999999995</v>
      </c>
      <c r="J14" t="s">
        <v>42</v>
      </c>
    </row>
    <row r="15" spans="1:10" x14ac:dyDescent="0.3">
      <c r="A15" t="s">
        <v>58</v>
      </c>
      <c r="B15" s="1">
        <v>45949</v>
      </c>
      <c r="C15" t="s">
        <v>59</v>
      </c>
      <c r="D15" t="s">
        <v>40</v>
      </c>
      <c r="E15" t="s">
        <v>28</v>
      </c>
      <c r="F15" t="s">
        <v>49</v>
      </c>
      <c r="G15">
        <v>4</v>
      </c>
      <c r="H15" s="2">
        <v>1135.8699999999999</v>
      </c>
      <c r="I15" s="2">
        <f t="shared" si="0"/>
        <v>4543.4799999999996</v>
      </c>
      <c r="J15" t="s">
        <v>37</v>
      </c>
    </row>
    <row r="16" spans="1:10" x14ac:dyDescent="0.3">
      <c r="A16" t="s">
        <v>60</v>
      </c>
      <c r="B16" s="1">
        <v>45793</v>
      </c>
      <c r="C16" t="s">
        <v>61</v>
      </c>
      <c r="D16" t="s">
        <v>40</v>
      </c>
      <c r="E16" t="s">
        <v>13</v>
      </c>
      <c r="F16" t="s">
        <v>57</v>
      </c>
      <c r="G16">
        <v>4</v>
      </c>
      <c r="H16" s="2">
        <v>2599.89</v>
      </c>
      <c r="I16" s="2">
        <f t="shared" si="0"/>
        <v>10399.56</v>
      </c>
      <c r="J16" t="s">
        <v>24</v>
      </c>
    </row>
    <row r="17" spans="1:10" x14ac:dyDescent="0.3">
      <c r="A17" t="s">
        <v>62</v>
      </c>
      <c r="B17" s="1">
        <v>45757</v>
      </c>
      <c r="C17" t="s">
        <v>63</v>
      </c>
      <c r="D17" t="s">
        <v>17</v>
      </c>
      <c r="E17" t="s">
        <v>52</v>
      </c>
      <c r="F17" t="s">
        <v>64</v>
      </c>
      <c r="G17">
        <v>10</v>
      </c>
      <c r="H17" s="2">
        <v>1687.59</v>
      </c>
      <c r="I17" s="2">
        <f t="shared" si="0"/>
        <v>16875.899999999998</v>
      </c>
      <c r="J17" t="s">
        <v>37</v>
      </c>
    </row>
    <row r="18" spans="1:10" x14ac:dyDescent="0.3">
      <c r="A18" t="s">
        <v>65</v>
      </c>
      <c r="B18" s="1">
        <v>45941</v>
      </c>
      <c r="C18" t="s">
        <v>35</v>
      </c>
      <c r="D18" t="s">
        <v>44</v>
      </c>
      <c r="E18" t="s">
        <v>13</v>
      </c>
      <c r="F18" t="s">
        <v>66</v>
      </c>
      <c r="G18">
        <v>8</v>
      </c>
      <c r="H18" s="2">
        <v>2537.59</v>
      </c>
      <c r="I18" s="2">
        <f t="shared" si="0"/>
        <v>20300.72</v>
      </c>
      <c r="J18" t="s">
        <v>15</v>
      </c>
    </row>
    <row r="19" spans="1:10" x14ac:dyDescent="0.3">
      <c r="A19" t="s">
        <v>67</v>
      </c>
      <c r="B19" s="1">
        <v>45672</v>
      </c>
      <c r="C19" t="s">
        <v>26</v>
      </c>
      <c r="D19" t="s">
        <v>17</v>
      </c>
      <c r="E19" t="s">
        <v>18</v>
      </c>
      <c r="F19" t="s">
        <v>68</v>
      </c>
      <c r="G19">
        <v>7</v>
      </c>
      <c r="H19" s="2">
        <v>4585.32</v>
      </c>
      <c r="I19" s="2">
        <f t="shared" si="0"/>
        <v>32097.239999999998</v>
      </c>
      <c r="J19" t="s">
        <v>30</v>
      </c>
    </row>
    <row r="20" spans="1:10" x14ac:dyDescent="0.3">
      <c r="A20" t="s">
        <v>69</v>
      </c>
      <c r="B20" s="1">
        <v>45722</v>
      </c>
      <c r="C20" t="s">
        <v>70</v>
      </c>
      <c r="D20" t="s">
        <v>40</v>
      </c>
      <c r="E20" t="s">
        <v>13</v>
      </c>
      <c r="F20" t="s">
        <v>14</v>
      </c>
      <c r="G20">
        <v>8</v>
      </c>
      <c r="H20" s="2">
        <v>1815.46</v>
      </c>
      <c r="I20" s="2">
        <f t="shared" si="0"/>
        <v>14523.68</v>
      </c>
      <c r="J20" t="s">
        <v>30</v>
      </c>
    </row>
    <row r="21" spans="1:10" x14ac:dyDescent="0.3">
      <c r="A21" t="s">
        <v>71</v>
      </c>
      <c r="B21" s="1">
        <v>45720</v>
      </c>
      <c r="C21" t="s">
        <v>72</v>
      </c>
      <c r="D21" t="s">
        <v>27</v>
      </c>
      <c r="E21" t="s">
        <v>18</v>
      </c>
      <c r="F21" t="s">
        <v>68</v>
      </c>
      <c r="G21">
        <v>7</v>
      </c>
      <c r="H21" s="2">
        <v>1680.21</v>
      </c>
      <c r="I21" s="2">
        <f t="shared" si="0"/>
        <v>11761.470000000001</v>
      </c>
      <c r="J21" t="s">
        <v>42</v>
      </c>
    </row>
    <row r="22" spans="1:10" x14ac:dyDescent="0.3">
      <c r="A22" t="s">
        <v>73</v>
      </c>
      <c r="B22" s="1">
        <v>45887</v>
      </c>
      <c r="C22" t="s">
        <v>59</v>
      </c>
      <c r="D22" t="s">
        <v>44</v>
      </c>
      <c r="E22" t="s">
        <v>52</v>
      </c>
      <c r="F22" t="s">
        <v>53</v>
      </c>
      <c r="G22">
        <v>1</v>
      </c>
      <c r="H22" s="2">
        <v>4231.88</v>
      </c>
      <c r="I22" s="2">
        <f t="shared" si="0"/>
        <v>4231.88</v>
      </c>
      <c r="J22" t="s">
        <v>15</v>
      </c>
    </row>
    <row r="23" spans="1:10" x14ac:dyDescent="0.3">
      <c r="A23" t="s">
        <v>74</v>
      </c>
      <c r="B23" s="1">
        <v>45914</v>
      </c>
      <c r="C23" t="s">
        <v>26</v>
      </c>
      <c r="D23" t="s">
        <v>44</v>
      </c>
      <c r="E23" t="s">
        <v>13</v>
      </c>
      <c r="F23" t="s">
        <v>75</v>
      </c>
      <c r="G23">
        <v>6</v>
      </c>
      <c r="H23" s="2">
        <v>485.42</v>
      </c>
      <c r="I23" s="2">
        <f t="shared" si="0"/>
        <v>2912.52</v>
      </c>
      <c r="J23" t="s">
        <v>37</v>
      </c>
    </row>
    <row r="24" spans="1:10" x14ac:dyDescent="0.3">
      <c r="A24" t="s">
        <v>76</v>
      </c>
      <c r="B24" s="1">
        <v>45720</v>
      </c>
      <c r="C24" t="s">
        <v>26</v>
      </c>
      <c r="D24" t="s">
        <v>17</v>
      </c>
      <c r="E24" t="s">
        <v>13</v>
      </c>
      <c r="F24" t="s">
        <v>41</v>
      </c>
      <c r="G24">
        <v>1</v>
      </c>
      <c r="H24" s="2">
        <v>4729.47</v>
      </c>
      <c r="I24" s="2">
        <f t="shared" si="0"/>
        <v>4729.47</v>
      </c>
      <c r="J24" t="s">
        <v>24</v>
      </c>
    </row>
    <row r="25" spans="1:10" x14ac:dyDescent="0.3">
      <c r="A25" t="s">
        <v>77</v>
      </c>
      <c r="B25" s="1">
        <v>45958</v>
      </c>
      <c r="C25" t="s">
        <v>21</v>
      </c>
      <c r="D25" t="s">
        <v>27</v>
      </c>
      <c r="E25" t="s">
        <v>22</v>
      </c>
      <c r="F25" t="s">
        <v>78</v>
      </c>
      <c r="G25">
        <v>10</v>
      </c>
      <c r="H25" s="2">
        <v>3863.14</v>
      </c>
      <c r="I25" s="2">
        <f t="shared" si="0"/>
        <v>38631.4</v>
      </c>
      <c r="J25" t="s">
        <v>37</v>
      </c>
    </row>
    <row r="26" spans="1:10" x14ac:dyDescent="0.3">
      <c r="A26" t="s">
        <v>79</v>
      </c>
      <c r="B26" s="1">
        <v>45782</v>
      </c>
      <c r="C26" t="s">
        <v>80</v>
      </c>
      <c r="D26" t="s">
        <v>27</v>
      </c>
      <c r="E26" t="s">
        <v>18</v>
      </c>
      <c r="F26" t="s">
        <v>81</v>
      </c>
      <c r="G26">
        <v>10</v>
      </c>
      <c r="H26" s="2">
        <v>1818.66</v>
      </c>
      <c r="I26" s="2">
        <f t="shared" si="0"/>
        <v>18186.600000000002</v>
      </c>
      <c r="J26" t="s">
        <v>15</v>
      </c>
    </row>
    <row r="27" spans="1:10" x14ac:dyDescent="0.3">
      <c r="A27" t="s">
        <v>82</v>
      </c>
      <c r="B27" s="1">
        <v>45914</v>
      </c>
      <c r="C27" t="s">
        <v>83</v>
      </c>
      <c r="D27" t="s">
        <v>27</v>
      </c>
      <c r="E27" t="s">
        <v>28</v>
      </c>
      <c r="F27" t="s">
        <v>33</v>
      </c>
      <c r="G27">
        <v>3</v>
      </c>
      <c r="H27" s="2">
        <v>748.2</v>
      </c>
      <c r="I27" s="2">
        <f t="shared" si="0"/>
        <v>2244.6000000000004</v>
      </c>
      <c r="J27" t="s">
        <v>15</v>
      </c>
    </row>
    <row r="28" spans="1:10" x14ac:dyDescent="0.3">
      <c r="A28" t="s">
        <v>84</v>
      </c>
      <c r="B28" s="1">
        <v>45996</v>
      </c>
      <c r="C28" t="s">
        <v>85</v>
      </c>
      <c r="D28" t="s">
        <v>44</v>
      </c>
      <c r="E28" t="s">
        <v>18</v>
      </c>
      <c r="F28" t="s">
        <v>81</v>
      </c>
      <c r="G28">
        <v>1</v>
      </c>
      <c r="H28" s="2">
        <v>2430.9899999999998</v>
      </c>
      <c r="I28" s="2">
        <f t="shared" si="0"/>
        <v>2430.9899999999998</v>
      </c>
      <c r="J28" t="s">
        <v>30</v>
      </c>
    </row>
    <row r="29" spans="1:10" x14ac:dyDescent="0.3">
      <c r="A29" t="s">
        <v>86</v>
      </c>
      <c r="B29" s="1">
        <v>45730</v>
      </c>
      <c r="C29" t="s">
        <v>72</v>
      </c>
      <c r="D29" t="s">
        <v>27</v>
      </c>
      <c r="E29" t="s">
        <v>52</v>
      </c>
      <c r="F29" t="s">
        <v>55</v>
      </c>
      <c r="G29">
        <v>1</v>
      </c>
      <c r="H29" s="2">
        <v>2397.52</v>
      </c>
      <c r="I29" s="2">
        <f t="shared" si="0"/>
        <v>2397.52</v>
      </c>
      <c r="J29" t="s">
        <v>30</v>
      </c>
    </row>
    <row r="30" spans="1:10" x14ac:dyDescent="0.3">
      <c r="A30" t="s">
        <v>87</v>
      </c>
      <c r="B30" s="1">
        <v>45805</v>
      </c>
      <c r="C30" t="s">
        <v>88</v>
      </c>
      <c r="D30" t="s">
        <v>40</v>
      </c>
      <c r="E30" t="s">
        <v>28</v>
      </c>
      <c r="F30" t="s">
        <v>29</v>
      </c>
      <c r="G30">
        <v>4</v>
      </c>
      <c r="H30" s="2">
        <v>3486.75</v>
      </c>
      <c r="I30" s="2">
        <f t="shared" si="0"/>
        <v>13947</v>
      </c>
      <c r="J30" t="s">
        <v>24</v>
      </c>
    </row>
    <row r="31" spans="1:10" x14ac:dyDescent="0.3">
      <c r="A31" t="s">
        <v>89</v>
      </c>
      <c r="B31" s="1">
        <v>45787</v>
      </c>
      <c r="C31" t="s">
        <v>90</v>
      </c>
      <c r="D31" t="s">
        <v>44</v>
      </c>
      <c r="E31" t="s">
        <v>18</v>
      </c>
      <c r="F31" t="s">
        <v>68</v>
      </c>
      <c r="G31">
        <v>7</v>
      </c>
      <c r="H31" s="2">
        <v>360.52</v>
      </c>
      <c r="I31" s="2">
        <f t="shared" si="0"/>
        <v>2523.64</v>
      </c>
      <c r="J31" t="s">
        <v>24</v>
      </c>
    </row>
    <row r="32" spans="1:10" x14ac:dyDescent="0.3">
      <c r="A32" t="s">
        <v>91</v>
      </c>
      <c r="B32" s="1">
        <v>45912</v>
      </c>
      <c r="C32" t="s">
        <v>92</v>
      </c>
      <c r="D32" t="s">
        <v>44</v>
      </c>
      <c r="E32" t="s">
        <v>22</v>
      </c>
      <c r="F32" t="s">
        <v>93</v>
      </c>
      <c r="G32">
        <v>9</v>
      </c>
      <c r="H32" s="2">
        <v>954.75</v>
      </c>
      <c r="I32" s="2">
        <f t="shared" si="0"/>
        <v>8592.75</v>
      </c>
      <c r="J32" t="s">
        <v>30</v>
      </c>
    </row>
    <row r="33" spans="1:10" x14ac:dyDescent="0.3">
      <c r="A33" t="s">
        <v>94</v>
      </c>
      <c r="B33" s="1">
        <v>45757</v>
      </c>
      <c r="C33" t="s">
        <v>95</v>
      </c>
      <c r="D33" t="s">
        <v>12</v>
      </c>
      <c r="E33" t="s">
        <v>18</v>
      </c>
      <c r="F33" t="s">
        <v>19</v>
      </c>
      <c r="G33">
        <v>5</v>
      </c>
      <c r="H33" s="2">
        <v>2709.88</v>
      </c>
      <c r="I33" s="2">
        <f t="shared" si="0"/>
        <v>13549.400000000001</v>
      </c>
      <c r="J33" t="s">
        <v>24</v>
      </c>
    </row>
    <row r="34" spans="1:10" x14ac:dyDescent="0.3">
      <c r="A34" t="s">
        <v>96</v>
      </c>
      <c r="B34" s="1">
        <v>45884</v>
      </c>
      <c r="C34" t="s">
        <v>70</v>
      </c>
      <c r="D34" t="s">
        <v>17</v>
      </c>
      <c r="E34" t="s">
        <v>13</v>
      </c>
      <c r="F34" t="s">
        <v>41</v>
      </c>
      <c r="G34">
        <v>4</v>
      </c>
      <c r="H34" s="2">
        <v>2675.43</v>
      </c>
      <c r="I34" s="2">
        <f t="shared" ref="I34:I65" si="1">G34*H34</f>
        <v>10701.72</v>
      </c>
      <c r="J34" t="s">
        <v>24</v>
      </c>
    </row>
    <row r="35" spans="1:10" x14ac:dyDescent="0.3">
      <c r="A35" t="s">
        <v>97</v>
      </c>
      <c r="B35" s="1">
        <v>45983</v>
      </c>
      <c r="C35" t="s">
        <v>61</v>
      </c>
      <c r="D35" t="s">
        <v>12</v>
      </c>
      <c r="E35" t="s">
        <v>18</v>
      </c>
      <c r="F35" t="s">
        <v>98</v>
      </c>
      <c r="G35">
        <v>1</v>
      </c>
      <c r="H35" s="2">
        <v>2914.54</v>
      </c>
      <c r="I35" s="2">
        <f t="shared" si="1"/>
        <v>2914.54</v>
      </c>
      <c r="J35" t="s">
        <v>15</v>
      </c>
    </row>
    <row r="36" spans="1:10" x14ac:dyDescent="0.3">
      <c r="A36" t="s">
        <v>99</v>
      </c>
      <c r="B36" s="1">
        <v>45922</v>
      </c>
      <c r="C36" t="s">
        <v>100</v>
      </c>
      <c r="D36" t="s">
        <v>44</v>
      </c>
      <c r="E36" t="s">
        <v>18</v>
      </c>
      <c r="F36" t="s">
        <v>19</v>
      </c>
      <c r="G36">
        <v>4</v>
      </c>
      <c r="H36" s="2">
        <v>4658.6099999999997</v>
      </c>
      <c r="I36" s="2">
        <f t="shared" si="1"/>
        <v>18634.439999999999</v>
      </c>
      <c r="J36" t="s">
        <v>42</v>
      </c>
    </row>
    <row r="37" spans="1:10" x14ac:dyDescent="0.3">
      <c r="A37" t="s">
        <v>101</v>
      </c>
      <c r="B37" s="1">
        <v>45677</v>
      </c>
      <c r="C37" t="s">
        <v>102</v>
      </c>
      <c r="D37" t="s">
        <v>44</v>
      </c>
      <c r="E37" t="s">
        <v>22</v>
      </c>
      <c r="F37" t="s">
        <v>78</v>
      </c>
      <c r="G37">
        <v>1</v>
      </c>
      <c r="H37" s="2">
        <v>203.14</v>
      </c>
      <c r="I37" s="2">
        <f t="shared" si="1"/>
        <v>203.14</v>
      </c>
      <c r="J37" t="s">
        <v>37</v>
      </c>
    </row>
    <row r="38" spans="1:10" x14ac:dyDescent="0.3">
      <c r="A38" t="s">
        <v>103</v>
      </c>
      <c r="B38" s="1">
        <v>45938</v>
      </c>
      <c r="C38" t="s">
        <v>104</v>
      </c>
      <c r="D38" t="s">
        <v>40</v>
      </c>
      <c r="E38" t="s">
        <v>52</v>
      </c>
      <c r="F38" t="s">
        <v>53</v>
      </c>
      <c r="G38">
        <v>5</v>
      </c>
      <c r="H38" s="2">
        <v>4646.76</v>
      </c>
      <c r="I38" s="2">
        <f t="shared" si="1"/>
        <v>23233.800000000003</v>
      </c>
      <c r="J38" t="s">
        <v>37</v>
      </c>
    </row>
    <row r="39" spans="1:10" x14ac:dyDescent="0.3">
      <c r="A39" t="s">
        <v>105</v>
      </c>
      <c r="B39" s="1">
        <v>45715</v>
      </c>
      <c r="C39" t="s">
        <v>90</v>
      </c>
      <c r="D39" t="s">
        <v>27</v>
      </c>
      <c r="E39" t="s">
        <v>52</v>
      </c>
      <c r="F39" t="s">
        <v>55</v>
      </c>
      <c r="G39">
        <v>1</v>
      </c>
      <c r="H39" s="2">
        <v>3781.02</v>
      </c>
      <c r="I39" s="2">
        <f t="shared" si="1"/>
        <v>3781.02</v>
      </c>
      <c r="J39" t="s">
        <v>42</v>
      </c>
    </row>
    <row r="40" spans="1:10" x14ac:dyDescent="0.3">
      <c r="A40" t="s">
        <v>106</v>
      </c>
      <c r="B40" s="1">
        <v>45896</v>
      </c>
      <c r="C40" t="s">
        <v>11</v>
      </c>
      <c r="D40" t="s">
        <v>12</v>
      </c>
      <c r="E40" t="s">
        <v>52</v>
      </c>
      <c r="F40" t="s">
        <v>55</v>
      </c>
      <c r="G40">
        <v>7</v>
      </c>
      <c r="H40" s="2">
        <v>2044.77</v>
      </c>
      <c r="I40" s="2">
        <f t="shared" si="1"/>
        <v>14313.39</v>
      </c>
      <c r="J40" t="s">
        <v>42</v>
      </c>
    </row>
    <row r="41" spans="1:10" x14ac:dyDescent="0.3">
      <c r="A41" t="s">
        <v>107</v>
      </c>
      <c r="B41" s="1">
        <v>45857</v>
      </c>
      <c r="C41" t="s">
        <v>32</v>
      </c>
      <c r="D41" t="s">
        <v>12</v>
      </c>
      <c r="E41" t="s">
        <v>22</v>
      </c>
      <c r="F41" t="s">
        <v>93</v>
      </c>
      <c r="G41">
        <v>3</v>
      </c>
      <c r="H41" s="2">
        <v>2456.88</v>
      </c>
      <c r="I41" s="2">
        <f t="shared" si="1"/>
        <v>7370.64</v>
      </c>
      <c r="J41" t="s">
        <v>24</v>
      </c>
    </row>
    <row r="42" spans="1:10" x14ac:dyDescent="0.3">
      <c r="A42" t="s">
        <v>108</v>
      </c>
      <c r="B42" s="1">
        <v>45722</v>
      </c>
      <c r="C42" t="s">
        <v>109</v>
      </c>
      <c r="D42" t="s">
        <v>12</v>
      </c>
      <c r="E42" t="s">
        <v>28</v>
      </c>
      <c r="F42" t="s">
        <v>49</v>
      </c>
      <c r="G42">
        <v>10</v>
      </c>
      <c r="H42" s="2">
        <v>234.5</v>
      </c>
      <c r="I42" s="2">
        <f t="shared" si="1"/>
        <v>2345</v>
      </c>
      <c r="J42" t="s">
        <v>30</v>
      </c>
    </row>
    <row r="43" spans="1:10" x14ac:dyDescent="0.3">
      <c r="A43" t="s">
        <v>110</v>
      </c>
      <c r="B43" s="1">
        <v>45838</v>
      </c>
      <c r="C43" t="s">
        <v>90</v>
      </c>
      <c r="D43" t="s">
        <v>27</v>
      </c>
      <c r="E43" t="s">
        <v>52</v>
      </c>
      <c r="F43" t="s">
        <v>53</v>
      </c>
      <c r="G43">
        <v>1</v>
      </c>
      <c r="H43" s="2">
        <v>662.78</v>
      </c>
      <c r="I43" s="2">
        <f t="shared" si="1"/>
        <v>662.78</v>
      </c>
      <c r="J43" t="s">
        <v>24</v>
      </c>
    </row>
    <row r="44" spans="1:10" x14ac:dyDescent="0.3">
      <c r="A44" t="s">
        <v>111</v>
      </c>
      <c r="B44" s="1">
        <v>45961</v>
      </c>
      <c r="C44" t="s">
        <v>72</v>
      </c>
      <c r="D44" t="s">
        <v>40</v>
      </c>
      <c r="E44" t="s">
        <v>52</v>
      </c>
      <c r="F44" t="s">
        <v>53</v>
      </c>
      <c r="G44">
        <v>3</v>
      </c>
      <c r="H44" s="2">
        <v>2181.13</v>
      </c>
      <c r="I44" s="2">
        <f t="shared" si="1"/>
        <v>6543.39</v>
      </c>
      <c r="J44" t="s">
        <v>15</v>
      </c>
    </row>
    <row r="45" spans="1:10" x14ac:dyDescent="0.3">
      <c r="A45" t="s">
        <v>112</v>
      </c>
      <c r="B45" s="1">
        <v>45729</v>
      </c>
      <c r="C45" t="s">
        <v>113</v>
      </c>
      <c r="D45" t="s">
        <v>44</v>
      </c>
      <c r="E45" t="s">
        <v>22</v>
      </c>
      <c r="F45" t="s">
        <v>93</v>
      </c>
      <c r="G45">
        <v>1</v>
      </c>
      <c r="H45" s="2">
        <v>626.33000000000004</v>
      </c>
      <c r="I45" s="2">
        <f t="shared" si="1"/>
        <v>626.33000000000004</v>
      </c>
      <c r="J45" t="s">
        <v>42</v>
      </c>
    </row>
    <row r="46" spans="1:10" x14ac:dyDescent="0.3">
      <c r="A46" t="s">
        <v>114</v>
      </c>
      <c r="B46" s="1">
        <v>45892</v>
      </c>
      <c r="C46" t="s">
        <v>51</v>
      </c>
      <c r="D46" t="s">
        <v>44</v>
      </c>
      <c r="E46" t="s">
        <v>18</v>
      </c>
      <c r="F46" t="s">
        <v>98</v>
      </c>
      <c r="G46">
        <v>1</v>
      </c>
      <c r="H46" s="2">
        <v>885.73</v>
      </c>
      <c r="I46" s="2">
        <f t="shared" si="1"/>
        <v>885.73</v>
      </c>
      <c r="J46" t="s">
        <v>15</v>
      </c>
    </row>
    <row r="47" spans="1:10" x14ac:dyDescent="0.3">
      <c r="A47" t="s">
        <v>115</v>
      </c>
      <c r="B47" s="1">
        <v>46014</v>
      </c>
      <c r="C47" t="s">
        <v>116</v>
      </c>
      <c r="D47" t="s">
        <v>44</v>
      </c>
      <c r="E47" t="s">
        <v>22</v>
      </c>
      <c r="F47" t="s">
        <v>93</v>
      </c>
      <c r="G47">
        <v>8</v>
      </c>
      <c r="H47" s="2">
        <v>4786.97</v>
      </c>
      <c r="I47" s="2">
        <f t="shared" si="1"/>
        <v>38295.760000000002</v>
      </c>
      <c r="J47" t="s">
        <v>42</v>
      </c>
    </row>
    <row r="48" spans="1:10" x14ac:dyDescent="0.3">
      <c r="A48" t="s">
        <v>117</v>
      </c>
      <c r="B48" s="1">
        <v>45780</v>
      </c>
      <c r="C48" t="s">
        <v>102</v>
      </c>
      <c r="D48" t="s">
        <v>12</v>
      </c>
      <c r="E48" t="s">
        <v>28</v>
      </c>
      <c r="F48" t="s">
        <v>45</v>
      </c>
      <c r="G48">
        <v>2</v>
      </c>
      <c r="H48" s="2">
        <v>3425.1</v>
      </c>
      <c r="I48" s="2">
        <f t="shared" si="1"/>
        <v>6850.2</v>
      </c>
      <c r="J48" t="s">
        <v>37</v>
      </c>
    </row>
    <row r="49" spans="1:10" x14ac:dyDescent="0.3">
      <c r="A49" t="s">
        <v>118</v>
      </c>
      <c r="B49" s="1">
        <v>45825</v>
      </c>
      <c r="C49" t="s">
        <v>61</v>
      </c>
      <c r="D49" t="s">
        <v>27</v>
      </c>
      <c r="E49" t="s">
        <v>52</v>
      </c>
      <c r="F49" t="s">
        <v>64</v>
      </c>
      <c r="G49">
        <v>1</v>
      </c>
      <c r="H49" s="2">
        <v>2818.31</v>
      </c>
      <c r="I49" s="2">
        <f t="shared" si="1"/>
        <v>2818.31</v>
      </c>
      <c r="J49" t="s">
        <v>24</v>
      </c>
    </row>
    <row r="50" spans="1:10" x14ac:dyDescent="0.3">
      <c r="A50" t="s">
        <v>119</v>
      </c>
      <c r="B50" s="1">
        <v>45785</v>
      </c>
      <c r="C50" t="s">
        <v>90</v>
      </c>
      <c r="D50" t="s">
        <v>44</v>
      </c>
      <c r="E50" t="s">
        <v>52</v>
      </c>
      <c r="F50" t="s">
        <v>55</v>
      </c>
      <c r="G50">
        <v>1</v>
      </c>
      <c r="H50" s="2">
        <v>3957.19</v>
      </c>
      <c r="I50" s="2">
        <f t="shared" si="1"/>
        <v>3957.19</v>
      </c>
      <c r="J50" t="s">
        <v>30</v>
      </c>
    </row>
    <row r="51" spans="1:10" x14ac:dyDescent="0.3">
      <c r="A51" t="s">
        <v>120</v>
      </c>
      <c r="B51" s="1">
        <v>45986</v>
      </c>
      <c r="C51" t="s">
        <v>35</v>
      </c>
      <c r="D51" t="s">
        <v>27</v>
      </c>
      <c r="E51" t="s">
        <v>18</v>
      </c>
      <c r="F51" t="s">
        <v>81</v>
      </c>
      <c r="G51">
        <v>6</v>
      </c>
      <c r="H51" s="2">
        <v>1947.46</v>
      </c>
      <c r="I51" s="2">
        <f t="shared" si="1"/>
        <v>11684.76</v>
      </c>
      <c r="J51" t="s">
        <v>42</v>
      </c>
    </row>
    <row r="52" spans="1:10" x14ac:dyDescent="0.3">
      <c r="A52" t="s">
        <v>121</v>
      </c>
      <c r="B52" s="1">
        <v>45871</v>
      </c>
      <c r="C52" t="s">
        <v>122</v>
      </c>
      <c r="D52" t="s">
        <v>17</v>
      </c>
      <c r="E52" t="s">
        <v>28</v>
      </c>
      <c r="F52" t="s">
        <v>123</v>
      </c>
      <c r="G52">
        <v>6</v>
      </c>
      <c r="H52" s="2">
        <v>3497.62</v>
      </c>
      <c r="I52" s="2">
        <f t="shared" si="1"/>
        <v>20985.72</v>
      </c>
      <c r="J52" t="s">
        <v>24</v>
      </c>
    </row>
    <row r="53" spans="1:10" x14ac:dyDescent="0.3">
      <c r="A53" t="s">
        <v>124</v>
      </c>
      <c r="B53" s="1">
        <v>45837</v>
      </c>
      <c r="C53" t="s">
        <v>125</v>
      </c>
      <c r="D53" t="s">
        <v>40</v>
      </c>
      <c r="E53" t="s">
        <v>28</v>
      </c>
      <c r="F53" t="s">
        <v>33</v>
      </c>
      <c r="G53">
        <v>7</v>
      </c>
      <c r="H53" s="2">
        <v>3640.15</v>
      </c>
      <c r="I53" s="2">
        <f t="shared" si="1"/>
        <v>25481.05</v>
      </c>
      <c r="J53" t="s">
        <v>30</v>
      </c>
    </row>
    <row r="54" spans="1:10" x14ac:dyDescent="0.3">
      <c r="A54" t="s">
        <v>126</v>
      </c>
      <c r="B54" s="1">
        <v>45824</v>
      </c>
      <c r="C54" t="s">
        <v>80</v>
      </c>
      <c r="D54" t="s">
        <v>40</v>
      </c>
      <c r="E54" t="s">
        <v>13</v>
      </c>
      <c r="F54" t="s">
        <v>14</v>
      </c>
      <c r="G54">
        <v>4</v>
      </c>
      <c r="H54" s="2">
        <v>2085.5</v>
      </c>
      <c r="I54" s="2">
        <f t="shared" si="1"/>
        <v>8342</v>
      </c>
      <c r="J54" t="s">
        <v>24</v>
      </c>
    </row>
    <row r="55" spans="1:10" x14ac:dyDescent="0.3">
      <c r="A55" t="s">
        <v>127</v>
      </c>
      <c r="B55" s="1">
        <v>45756</v>
      </c>
      <c r="C55" t="s">
        <v>128</v>
      </c>
      <c r="D55" t="s">
        <v>27</v>
      </c>
      <c r="E55" t="s">
        <v>18</v>
      </c>
      <c r="F55" t="s">
        <v>129</v>
      </c>
      <c r="G55">
        <v>5</v>
      </c>
      <c r="H55" s="2">
        <v>3319.4</v>
      </c>
      <c r="I55" s="2">
        <f t="shared" si="1"/>
        <v>16597</v>
      </c>
      <c r="J55" t="s">
        <v>30</v>
      </c>
    </row>
    <row r="56" spans="1:10" x14ac:dyDescent="0.3">
      <c r="A56" t="s">
        <v>130</v>
      </c>
      <c r="B56" s="1">
        <v>45936</v>
      </c>
      <c r="C56" t="s">
        <v>92</v>
      </c>
      <c r="D56" t="s">
        <v>12</v>
      </c>
      <c r="E56" t="s">
        <v>22</v>
      </c>
      <c r="F56" t="s">
        <v>93</v>
      </c>
      <c r="G56">
        <v>1</v>
      </c>
      <c r="H56" s="2">
        <v>3857.21</v>
      </c>
      <c r="I56" s="2">
        <f t="shared" si="1"/>
        <v>3857.21</v>
      </c>
      <c r="J56" t="s">
        <v>42</v>
      </c>
    </row>
    <row r="57" spans="1:10" x14ac:dyDescent="0.3">
      <c r="A57" t="s">
        <v>131</v>
      </c>
      <c r="B57" s="1">
        <v>45756</v>
      </c>
      <c r="C57" t="s">
        <v>132</v>
      </c>
      <c r="D57" t="s">
        <v>44</v>
      </c>
      <c r="E57" t="s">
        <v>22</v>
      </c>
      <c r="F57" t="s">
        <v>133</v>
      </c>
      <c r="G57">
        <v>10</v>
      </c>
      <c r="H57" s="2">
        <v>641.76</v>
      </c>
      <c r="I57" s="2">
        <f t="shared" si="1"/>
        <v>6417.6</v>
      </c>
      <c r="J57" t="s">
        <v>24</v>
      </c>
    </row>
    <row r="58" spans="1:10" x14ac:dyDescent="0.3">
      <c r="A58" t="s">
        <v>134</v>
      </c>
      <c r="B58" s="1">
        <v>45695</v>
      </c>
      <c r="C58" t="s">
        <v>132</v>
      </c>
      <c r="D58" t="s">
        <v>40</v>
      </c>
      <c r="E58" t="s">
        <v>28</v>
      </c>
      <c r="F58" t="s">
        <v>123</v>
      </c>
      <c r="G58">
        <v>3</v>
      </c>
      <c r="H58" s="2">
        <v>1372.55</v>
      </c>
      <c r="I58" s="2">
        <f t="shared" si="1"/>
        <v>4117.6499999999996</v>
      </c>
      <c r="J58" t="s">
        <v>24</v>
      </c>
    </row>
    <row r="59" spans="1:10" x14ac:dyDescent="0.3">
      <c r="A59" t="s">
        <v>135</v>
      </c>
      <c r="B59" s="1">
        <v>45975</v>
      </c>
      <c r="C59" t="s">
        <v>26</v>
      </c>
      <c r="D59" t="s">
        <v>17</v>
      </c>
      <c r="E59" t="s">
        <v>13</v>
      </c>
      <c r="F59" t="s">
        <v>57</v>
      </c>
      <c r="G59">
        <v>9</v>
      </c>
      <c r="H59" s="2">
        <v>736.62</v>
      </c>
      <c r="I59" s="2">
        <f t="shared" si="1"/>
        <v>6629.58</v>
      </c>
      <c r="J59" t="s">
        <v>37</v>
      </c>
    </row>
    <row r="60" spans="1:10" x14ac:dyDescent="0.3">
      <c r="A60" t="s">
        <v>136</v>
      </c>
      <c r="B60" s="1">
        <v>45804</v>
      </c>
      <c r="C60" t="s">
        <v>95</v>
      </c>
      <c r="D60" t="s">
        <v>12</v>
      </c>
      <c r="E60" t="s">
        <v>52</v>
      </c>
      <c r="F60" t="s">
        <v>64</v>
      </c>
      <c r="G60">
        <v>2</v>
      </c>
      <c r="H60" s="2">
        <v>4218.21</v>
      </c>
      <c r="I60" s="2">
        <f t="shared" si="1"/>
        <v>8436.42</v>
      </c>
      <c r="J60" t="s">
        <v>30</v>
      </c>
    </row>
    <row r="61" spans="1:10" x14ac:dyDescent="0.3">
      <c r="A61" t="s">
        <v>137</v>
      </c>
      <c r="B61" s="1">
        <v>45709</v>
      </c>
      <c r="C61" t="s">
        <v>80</v>
      </c>
      <c r="D61" t="s">
        <v>12</v>
      </c>
      <c r="E61" t="s">
        <v>28</v>
      </c>
      <c r="F61" t="s">
        <v>45</v>
      </c>
      <c r="G61">
        <v>3</v>
      </c>
      <c r="H61" s="2">
        <v>2028.97</v>
      </c>
      <c r="I61" s="2">
        <f t="shared" si="1"/>
        <v>6086.91</v>
      </c>
      <c r="J61" t="s">
        <v>15</v>
      </c>
    </row>
    <row r="62" spans="1:10" x14ac:dyDescent="0.3">
      <c r="A62" t="s">
        <v>138</v>
      </c>
      <c r="B62" s="1">
        <v>45765</v>
      </c>
      <c r="C62" t="s">
        <v>102</v>
      </c>
      <c r="D62" t="s">
        <v>40</v>
      </c>
      <c r="E62" t="s">
        <v>18</v>
      </c>
      <c r="F62" t="s">
        <v>19</v>
      </c>
      <c r="G62">
        <v>2</v>
      </c>
      <c r="H62" s="2">
        <v>997.06</v>
      </c>
      <c r="I62" s="2">
        <f t="shared" si="1"/>
        <v>1994.12</v>
      </c>
      <c r="J62" t="s">
        <v>37</v>
      </c>
    </row>
    <row r="63" spans="1:10" x14ac:dyDescent="0.3">
      <c r="A63" t="s">
        <v>139</v>
      </c>
      <c r="B63" s="1">
        <v>45873</v>
      </c>
      <c r="C63" t="s">
        <v>92</v>
      </c>
      <c r="D63" t="s">
        <v>12</v>
      </c>
      <c r="E63" t="s">
        <v>28</v>
      </c>
      <c r="F63" t="s">
        <v>33</v>
      </c>
      <c r="G63">
        <v>1</v>
      </c>
      <c r="H63" s="2">
        <v>741.78</v>
      </c>
      <c r="I63" s="2">
        <f t="shared" si="1"/>
        <v>741.78</v>
      </c>
      <c r="J63" t="s">
        <v>30</v>
      </c>
    </row>
    <row r="64" spans="1:10" x14ac:dyDescent="0.3">
      <c r="A64" t="s">
        <v>140</v>
      </c>
      <c r="B64" s="1">
        <v>45859</v>
      </c>
      <c r="C64" t="s">
        <v>63</v>
      </c>
      <c r="D64" t="s">
        <v>17</v>
      </c>
      <c r="E64" t="s">
        <v>22</v>
      </c>
      <c r="F64" t="s">
        <v>36</v>
      </c>
      <c r="G64">
        <v>4</v>
      </c>
      <c r="H64" s="2">
        <v>4393.88</v>
      </c>
      <c r="I64" s="2">
        <f t="shared" si="1"/>
        <v>17575.52</v>
      </c>
      <c r="J64" t="s">
        <v>37</v>
      </c>
    </row>
    <row r="65" spans="1:10" x14ac:dyDescent="0.3">
      <c r="A65" t="s">
        <v>141</v>
      </c>
      <c r="B65" s="1">
        <v>45963</v>
      </c>
      <c r="C65" t="s">
        <v>32</v>
      </c>
      <c r="D65" t="s">
        <v>27</v>
      </c>
      <c r="E65" t="s">
        <v>22</v>
      </c>
      <c r="F65" t="s">
        <v>133</v>
      </c>
      <c r="G65">
        <v>5</v>
      </c>
      <c r="H65" s="2">
        <v>1531.69</v>
      </c>
      <c r="I65" s="2">
        <f t="shared" si="1"/>
        <v>7658.4500000000007</v>
      </c>
      <c r="J65" t="s">
        <v>42</v>
      </c>
    </row>
    <row r="66" spans="1:10" x14ac:dyDescent="0.3">
      <c r="A66" t="s">
        <v>142</v>
      </c>
      <c r="B66" s="1">
        <v>45876</v>
      </c>
      <c r="C66" t="s">
        <v>128</v>
      </c>
      <c r="D66" t="s">
        <v>12</v>
      </c>
      <c r="E66" t="s">
        <v>22</v>
      </c>
      <c r="F66" t="s">
        <v>78</v>
      </c>
      <c r="G66">
        <v>2</v>
      </c>
      <c r="H66" s="2">
        <v>4350.59</v>
      </c>
      <c r="I66" s="2">
        <f t="shared" ref="I66:I97" si="2">G66*H66</f>
        <v>8701.18</v>
      </c>
      <c r="J66" t="s">
        <v>42</v>
      </c>
    </row>
    <row r="67" spans="1:10" x14ac:dyDescent="0.3">
      <c r="A67" t="s">
        <v>143</v>
      </c>
      <c r="B67" s="1">
        <v>45745</v>
      </c>
      <c r="C67" t="s">
        <v>72</v>
      </c>
      <c r="D67" t="s">
        <v>17</v>
      </c>
      <c r="E67" t="s">
        <v>52</v>
      </c>
      <c r="F67" t="s">
        <v>64</v>
      </c>
      <c r="G67">
        <v>8</v>
      </c>
      <c r="H67" s="2">
        <v>2954.71</v>
      </c>
      <c r="I67" s="2">
        <f t="shared" si="2"/>
        <v>23637.68</v>
      </c>
      <c r="J67" t="s">
        <v>42</v>
      </c>
    </row>
    <row r="68" spans="1:10" x14ac:dyDescent="0.3">
      <c r="A68" t="s">
        <v>144</v>
      </c>
      <c r="B68" s="1">
        <v>45863</v>
      </c>
      <c r="C68" t="s">
        <v>83</v>
      </c>
      <c r="D68" t="s">
        <v>12</v>
      </c>
      <c r="E68" t="s">
        <v>13</v>
      </c>
      <c r="F68" t="s">
        <v>41</v>
      </c>
      <c r="G68">
        <v>2</v>
      </c>
      <c r="H68" s="2">
        <v>4732.45</v>
      </c>
      <c r="I68" s="2">
        <f t="shared" si="2"/>
        <v>9464.9</v>
      </c>
      <c r="J68" t="s">
        <v>42</v>
      </c>
    </row>
    <row r="69" spans="1:10" x14ac:dyDescent="0.3">
      <c r="A69" t="s">
        <v>145</v>
      </c>
      <c r="B69" s="1">
        <v>45703</v>
      </c>
      <c r="C69" t="s">
        <v>80</v>
      </c>
      <c r="D69" t="s">
        <v>40</v>
      </c>
      <c r="E69" t="s">
        <v>13</v>
      </c>
      <c r="F69" t="s">
        <v>41</v>
      </c>
      <c r="G69">
        <v>1</v>
      </c>
      <c r="H69" s="2">
        <v>1159.93</v>
      </c>
      <c r="I69" s="2">
        <f t="shared" si="2"/>
        <v>1159.93</v>
      </c>
      <c r="J69" t="s">
        <v>24</v>
      </c>
    </row>
    <row r="70" spans="1:10" x14ac:dyDescent="0.3">
      <c r="A70" t="s">
        <v>146</v>
      </c>
      <c r="B70" s="1">
        <v>45737</v>
      </c>
      <c r="C70" t="s">
        <v>147</v>
      </c>
      <c r="D70" t="s">
        <v>40</v>
      </c>
      <c r="E70" t="s">
        <v>22</v>
      </c>
      <c r="F70" t="s">
        <v>78</v>
      </c>
      <c r="G70">
        <v>8</v>
      </c>
      <c r="H70" s="2">
        <v>3134.03</v>
      </c>
      <c r="I70" s="2">
        <f t="shared" si="2"/>
        <v>25072.240000000002</v>
      </c>
      <c r="J70" t="s">
        <v>37</v>
      </c>
    </row>
    <row r="71" spans="1:10" x14ac:dyDescent="0.3">
      <c r="A71" t="s">
        <v>148</v>
      </c>
      <c r="B71" s="1">
        <v>45996</v>
      </c>
      <c r="C71" t="s">
        <v>149</v>
      </c>
      <c r="D71" t="s">
        <v>12</v>
      </c>
      <c r="E71" t="s">
        <v>18</v>
      </c>
      <c r="F71" t="s">
        <v>98</v>
      </c>
      <c r="G71">
        <v>2</v>
      </c>
      <c r="H71" s="2">
        <v>361</v>
      </c>
      <c r="I71" s="2">
        <f t="shared" si="2"/>
        <v>722</v>
      </c>
      <c r="J71" t="s">
        <v>42</v>
      </c>
    </row>
    <row r="72" spans="1:10" x14ac:dyDescent="0.3">
      <c r="A72" t="s">
        <v>150</v>
      </c>
      <c r="B72" s="1">
        <v>45994</v>
      </c>
      <c r="C72" t="s">
        <v>48</v>
      </c>
      <c r="D72" t="s">
        <v>17</v>
      </c>
      <c r="E72" t="s">
        <v>28</v>
      </c>
      <c r="F72" t="s">
        <v>123</v>
      </c>
      <c r="G72">
        <v>9</v>
      </c>
      <c r="H72" s="2">
        <v>2190.89</v>
      </c>
      <c r="I72" s="2">
        <f t="shared" si="2"/>
        <v>19718.009999999998</v>
      </c>
      <c r="J72" t="s">
        <v>37</v>
      </c>
    </row>
    <row r="73" spans="1:10" x14ac:dyDescent="0.3">
      <c r="A73" t="s">
        <v>151</v>
      </c>
      <c r="B73" s="1">
        <v>45803</v>
      </c>
      <c r="C73" t="s">
        <v>152</v>
      </c>
      <c r="D73" t="s">
        <v>44</v>
      </c>
      <c r="E73" t="s">
        <v>13</v>
      </c>
      <c r="F73" t="s">
        <v>14</v>
      </c>
      <c r="G73">
        <v>9</v>
      </c>
      <c r="H73" s="2">
        <v>594.38</v>
      </c>
      <c r="I73" s="2">
        <f t="shared" si="2"/>
        <v>5349.42</v>
      </c>
      <c r="J73" t="s">
        <v>24</v>
      </c>
    </row>
    <row r="74" spans="1:10" x14ac:dyDescent="0.3">
      <c r="A74" t="s">
        <v>153</v>
      </c>
      <c r="B74" s="1">
        <v>45955</v>
      </c>
      <c r="C74" t="s">
        <v>154</v>
      </c>
      <c r="D74" t="s">
        <v>44</v>
      </c>
      <c r="E74" t="s">
        <v>13</v>
      </c>
      <c r="F74" t="s">
        <v>14</v>
      </c>
      <c r="G74">
        <v>10</v>
      </c>
      <c r="H74" s="2">
        <v>640.49</v>
      </c>
      <c r="I74" s="2">
        <f t="shared" si="2"/>
        <v>6404.9</v>
      </c>
      <c r="J74" t="s">
        <v>42</v>
      </c>
    </row>
    <row r="75" spans="1:10" x14ac:dyDescent="0.3">
      <c r="A75" t="s">
        <v>155</v>
      </c>
      <c r="B75" s="1">
        <v>45978</v>
      </c>
      <c r="C75" t="s">
        <v>32</v>
      </c>
      <c r="D75" t="s">
        <v>12</v>
      </c>
      <c r="E75" t="s">
        <v>22</v>
      </c>
      <c r="F75" t="s">
        <v>93</v>
      </c>
      <c r="G75">
        <v>5</v>
      </c>
      <c r="H75" s="2">
        <v>4068.81</v>
      </c>
      <c r="I75" s="2">
        <f t="shared" si="2"/>
        <v>20344.05</v>
      </c>
      <c r="J75" t="s">
        <v>15</v>
      </c>
    </row>
    <row r="76" spans="1:10" x14ac:dyDescent="0.3">
      <c r="A76" t="s">
        <v>156</v>
      </c>
      <c r="B76" s="1">
        <v>45849</v>
      </c>
      <c r="C76" t="s">
        <v>90</v>
      </c>
      <c r="D76" t="s">
        <v>17</v>
      </c>
      <c r="E76" t="s">
        <v>13</v>
      </c>
      <c r="F76" t="s">
        <v>14</v>
      </c>
      <c r="G76">
        <v>6</v>
      </c>
      <c r="H76" s="2">
        <v>1113.6099999999999</v>
      </c>
      <c r="I76" s="2">
        <f t="shared" si="2"/>
        <v>6681.66</v>
      </c>
      <c r="J76" t="s">
        <v>24</v>
      </c>
    </row>
    <row r="77" spans="1:10" x14ac:dyDescent="0.3">
      <c r="A77" t="s">
        <v>157</v>
      </c>
      <c r="B77" s="1">
        <v>45849</v>
      </c>
      <c r="C77" t="s">
        <v>72</v>
      </c>
      <c r="D77" t="s">
        <v>17</v>
      </c>
      <c r="E77" t="s">
        <v>22</v>
      </c>
      <c r="F77" t="s">
        <v>78</v>
      </c>
      <c r="G77">
        <v>6</v>
      </c>
      <c r="H77" s="2">
        <v>3808.64</v>
      </c>
      <c r="I77" s="2">
        <f t="shared" si="2"/>
        <v>22851.84</v>
      </c>
      <c r="J77" t="s">
        <v>42</v>
      </c>
    </row>
    <row r="78" spans="1:10" x14ac:dyDescent="0.3">
      <c r="A78" t="s">
        <v>158</v>
      </c>
      <c r="B78" s="1">
        <v>45711</v>
      </c>
      <c r="C78" t="s">
        <v>70</v>
      </c>
      <c r="D78" t="s">
        <v>40</v>
      </c>
      <c r="E78" t="s">
        <v>52</v>
      </c>
      <c r="F78" t="s">
        <v>55</v>
      </c>
      <c r="G78">
        <v>7</v>
      </c>
      <c r="H78" s="2">
        <v>4880.21</v>
      </c>
      <c r="I78" s="2">
        <f t="shared" si="2"/>
        <v>34161.47</v>
      </c>
      <c r="J78" t="s">
        <v>30</v>
      </c>
    </row>
    <row r="79" spans="1:10" x14ac:dyDescent="0.3">
      <c r="A79" t="s">
        <v>159</v>
      </c>
      <c r="B79" s="1">
        <v>46005</v>
      </c>
      <c r="C79" t="s">
        <v>160</v>
      </c>
      <c r="D79" t="s">
        <v>12</v>
      </c>
      <c r="E79" t="s">
        <v>13</v>
      </c>
      <c r="F79" t="s">
        <v>66</v>
      </c>
      <c r="G79">
        <v>9</v>
      </c>
      <c r="H79" s="2">
        <v>2563.02</v>
      </c>
      <c r="I79" s="2">
        <f t="shared" si="2"/>
        <v>23067.18</v>
      </c>
      <c r="J79" t="s">
        <v>37</v>
      </c>
    </row>
    <row r="80" spans="1:10" x14ac:dyDescent="0.3">
      <c r="A80" t="s">
        <v>161</v>
      </c>
      <c r="B80" s="1">
        <v>45967</v>
      </c>
      <c r="C80" t="s">
        <v>152</v>
      </c>
      <c r="D80" t="s">
        <v>27</v>
      </c>
      <c r="E80" t="s">
        <v>28</v>
      </c>
      <c r="F80" t="s">
        <v>29</v>
      </c>
      <c r="G80">
        <v>3</v>
      </c>
      <c r="H80" s="2">
        <v>1291.0999999999999</v>
      </c>
      <c r="I80" s="2">
        <f t="shared" si="2"/>
        <v>3873.2999999999997</v>
      </c>
      <c r="J80" t="s">
        <v>24</v>
      </c>
    </row>
    <row r="81" spans="1:10" x14ac:dyDescent="0.3">
      <c r="A81" t="s">
        <v>162</v>
      </c>
      <c r="B81" s="1">
        <v>46011</v>
      </c>
      <c r="C81" t="s">
        <v>147</v>
      </c>
      <c r="D81" t="s">
        <v>44</v>
      </c>
      <c r="E81" t="s">
        <v>28</v>
      </c>
      <c r="F81" t="s">
        <v>33</v>
      </c>
      <c r="G81">
        <v>3</v>
      </c>
      <c r="H81" s="2">
        <v>863.78</v>
      </c>
      <c r="I81" s="2">
        <f t="shared" si="2"/>
        <v>2591.34</v>
      </c>
      <c r="J81" t="s">
        <v>42</v>
      </c>
    </row>
    <row r="82" spans="1:10" x14ac:dyDescent="0.3">
      <c r="A82" t="s">
        <v>163</v>
      </c>
      <c r="B82" s="1">
        <v>46008</v>
      </c>
      <c r="C82" t="s">
        <v>61</v>
      </c>
      <c r="D82" t="s">
        <v>44</v>
      </c>
      <c r="E82" t="s">
        <v>13</v>
      </c>
      <c r="F82" t="s">
        <v>66</v>
      </c>
      <c r="G82">
        <v>9</v>
      </c>
      <c r="H82" s="2">
        <v>4771.1499999999996</v>
      </c>
      <c r="I82" s="2">
        <f t="shared" si="2"/>
        <v>42940.35</v>
      </c>
      <c r="J82" t="s">
        <v>42</v>
      </c>
    </row>
    <row r="83" spans="1:10" x14ac:dyDescent="0.3">
      <c r="A83" t="s">
        <v>164</v>
      </c>
      <c r="B83" s="1">
        <v>45906</v>
      </c>
      <c r="C83" t="s">
        <v>125</v>
      </c>
      <c r="D83" t="s">
        <v>40</v>
      </c>
      <c r="E83" t="s">
        <v>18</v>
      </c>
      <c r="F83" t="s">
        <v>19</v>
      </c>
      <c r="G83">
        <v>5</v>
      </c>
      <c r="H83" s="2">
        <v>1848.38</v>
      </c>
      <c r="I83" s="2">
        <f t="shared" si="2"/>
        <v>9241.9000000000015</v>
      </c>
      <c r="J83" t="s">
        <v>30</v>
      </c>
    </row>
    <row r="84" spans="1:10" x14ac:dyDescent="0.3">
      <c r="A84" t="s">
        <v>165</v>
      </c>
      <c r="B84" s="1">
        <v>45984</v>
      </c>
      <c r="C84" t="s">
        <v>80</v>
      </c>
      <c r="D84" t="s">
        <v>44</v>
      </c>
      <c r="E84" t="s">
        <v>22</v>
      </c>
      <c r="F84" t="s">
        <v>78</v>
      </c>
      <c r="G84">
        <v>8</v>
      </c>
      <c r="H84" s="2">
        <v>2072.1</v>
      </c>
      <c r="I84" s="2">
        <f t="shared" si="2"/>
        <v>16576.8</v>
      </c>
      <c r="J84" t="s">
        <v>24</v>
      </c>
    </row>
    <row r="85" spans="1:10" x14ac:dyDescent="0.3">
      <c r="A85" t="s">
        <v>166</v>
      </c>
      <c r="B85" s="1">
        <v>45984</v>
      </c>
      <c r="C85" t="s">
        <v>51</v>
      </c>
      <c r="D85" t="s">
        <v>12</v>
      </c>
      <c r="E85" t="s">
        <v>22</v>
      </c>
      <c r="F85" t="s">
        <v>93</v>
      </c>
      <c r="G85">
        <v>8</v>
      </c>
      <c r="H85" s="2">
        <v>2399.64</v>
      </c>
      <c r="I85" s="2">
        <f t="shared" si="2"/>
        <v>19197.12</v>
      </c>
      <c r="J85" t="s">
        <v>24</v>
      </c>
    </row>
    <row r="86" spans="1:10" x14ac:dyDescent="0.3">
      <c r="A86" t="s">
        <v>167</v>
      </c>
      <c r="B86" s="1">
        <v>45677</v>
      </c>
      <c r="C86" t="s">
        <v>100</v>
      </c>
      <c r="D86" t="s">
        <v>27</v>
      </c>
      <c r="E86" t="s">
        <v>28</v>
      </c>
      <c r="F86" t="s">
        <v>45</v>
      </c>
      <c r="G86">
        <v>9</v>
      </c>
      <c r="H86" s="2">
        <v>3520.48</v>
      </c>
      <c r="I86" s="2">
        <f t="shared" si="2"/>
        <v>31684.32</v>
      </c>
      <c r="J86" t="s">
        <v>30</v>
      </c>
    </row>
    <row r="87" spans="1:10" x14ac:dyDescent="0.3">
      <c r="A87" t="s">
        <v>168</v>
      </c>
      <c r="B87" s="1">
        <v>45901</v>
      </c>
      <c r="C87" t="s">
        <v>88</v>
      </c>
      <c r="D87" t="s">
        <v>27</v>
      </c>
      <c r="E87" t="s">
        <v>52</v>
      </c>
      <c r="F87" t="s">
        <v>64</v>
      </c>
      <c r="G87">
        <v>3</v>
      </c>
      <c r="H87" s="2">
        <v>764.35</v>
      </c>
      <c r="I87" s="2">
        <f t="shared" si="2"/>
        <v>2293.0500000000002</v>
      </c>
      <c r="J87" t="s">
        <v>15</v>
      </c>
    </row>
    <row r="88" spans="1:10" x14ac:dyDescent="0.3">
      <c r="A88" t="s">
        <v>169</v>
      </c>
      <c r="B88" s="1">
        <v>45761</v>
      </c>
      <c r="C88" t="s">
        <v>39</v>
      </c>
      <c r="D88" t="s">
        <v>12</v>
      </c>
      <c r="E88" t="s">
        <v>22</v>
      </c>
      <c r="F88" t="s">
        <v>93</v>
      </c>
      <c r="G88">
        <v>3</v>
      </c>
      <c r="H88" s="2">
        <v>1455.46</v>
      </c>
      <c r="I88" s="2">
        <f t="shared" si="2"/>
        <v>4366.38</v>
      </c>
      <c r="J88" t="s">
        <v>37</v>
      </c>
    </row>
    <row r="89" spans="1:10" x14ac:dyDescent="0.3">
      <c r="A89" t="s">
        <v>170</v>
      </c>
      <c r="B89" s="1">
        <v>45936</v>
      </c>
      <c r="C89" t="s">
        <v>95</v>
      </c>
      <c r="D89" t="s">
        <v>40</v>
      </c>
      <c r="E89" t="s">
        <v>28</v>
      </c>
      <c r="F89" t="s">
        <v>45</v>
      </c>
      <c r="G89">
        <v>1</v>
      </c>
      <c r="H89" s="2">
        <v>722.79</v>
      </c>
      <c r="I89" s="2">
        <f t="shared" si="2"/>
        <v>722.79</v>
      </c>
      <c r="J89" t="s">
        <v>42</v>
      </c>
    </row>
    <row r="90" spans="1:10" x14ac:dyDescent="0.3">
      <c r="A90" t="s">
        <v>171</v>
      </c>
      <c r="B90" s="1">
        <v>45922</v>
      </c>
      <c r="C90" t="s">
        <v>113</v>
      </c>
      <c r="D90" t="s">
        <v>17</v>
      </c>
      <c r="E90" t="s">
        <v>18</v>
      </c>
      <c r="F90" t="s">
        <v>81</v>
      </c>
      <c r="G90">
        <v>7</v>
      </c>
      <c r="H90" s="2">
        <v>2088.5</v>
      </c>
      <c r="I90" s="2">
        <f t="shared" si="2"/>
        <v>14619.5</v>
      </c>
      <c r="J90" t="s">
        <v>15</v>
      </c>
    </row>
    <row r="91" spans="1:10" x14ac:dyDescent="0.3">
      <c r="A91" t="s">
        <v>172</v>
      </c>
      <c r="B91" s="1">
        <v>45690</v>
      </c>
      <c r="C91" t="s">
        <v>173</v>
      </c>
      <c r="D91" t="s">
        <v>44</v>
      </c>
      <c r="E91" t="s">
        <v>28</v>
      </c>
      <c r="F91" t="s">
        <v>45</v>
      </c>
      <c r="G91">
        <v>6</v>
      </c>
      <c r="H91" s="2">
        <v>3535.22</v>
      </c>
      <c r="I91" s="2">
        <f t="shared" si="2"/>
        <v>21211.32</v>
      </c>
      <c r="J91" t="s">
        <v>15</v>
      </c>
    </row>
    <row r="92" spans="1:10" x14ac:dyDescent="0.3">
      <c r="A92" t="s">
        <v>174</v>
      </c>
      <c r="B92" s="1">
        <v>45717</v>
      </c>
      <c r="C92" t="s">
        <v>61</v>
      </c>
      <c r="D92" t="s">
        <v>40</v>
      </c>
      <c r="E92" t="s">
        <v>28</v>
      </c>
      <c r="F92" t="s">
        <v>49</v>
      </c>
      <c r="G92">
        <v>7</v>
      </c>
      <c r="H92" s="2">
        <v>647.17999999999995</v>
      </c>
      <c r="I92" s="2">
        <f t="shared" si="2"/>
        <v>4530.2599999999993</v>
      </c>
      <c r="J92" t="s">
        <v>37</v>
      </c>
    </row>
    <row r="93" spans="1:10" x14ac:dyDescent="0.3">
      <c r="A93" t="s">
        <v>175</v>
      </c>
      <c r="B93" s="1">
        <v>45703</v>
      </c>
      <c r="C93" t="s">
        <v>109</v>
      </c>
      <c r="D93" t="s">
        <v>27</v>
      </c>
      <c r="E93" t="s">
        <v>52</v>
      </c>
      <c r="F93" t="s">
        <v>176</v>
      </c>
      <c r="G93">
        <v>2</v>
      </c>
      <c r="H93" s="2">
        <v>4347.84</v>
      </c>
      <c r="I93" s="2">
        <f t="shared" si="2"/>
        <v>8695.68</v>
      </c>
      <c r="J93" t="s">
        <v>15</v>
      </c>
    </row>
    <row r="94" spans="1:10" x14ac:dyDescent="0.3">
      <c r="A94" t="s">
        <v>177</v>
      </c>
      <c r="B94" s="1">
        <v>45988</v>
      </c>
      <c r="C94" t="s">
        <v>80</v>
      </c>
      <c r="D94" t="s">
        <v>12</v>
      </c>
      <c r="E94" t="s">
        <v>18</v>
      </c>
      <c r="F94" t="s">
        <v>98</v>
      </c>
      <c r="G94">
        <v>7</v>
      </c>
      <c r="H94" s="2">
        <v>400.01</v>
      </c>
      <c r="I94" s="2">
        <f t="shared" si="2"/>
        <v>2800.0699999999997</v>
      </c>
      <c r="J94" t="s">
        <v>37</v>
      </c>
    </row>
    <row r="95" spans="1:10" x14ac:dyDescent="0.3">
      <c r="A95" t="s">
        <v>178</v>
      </c>
      <c r="B95" s="1">
        <v>45917</v>
      </c>
      <c r="C95" t="s">
        <v>61</v>
      </c>
      <c r="D95" t="s">
        <v>12</v>
      </c>
      <c r="E95" t="s">
        <v>28</v>
      </c>
      <c r="F95" t="s">
        <v>123</v>
      </c>
      <c r="G95">
        <v>6</v>
      </c>
      <c r="H95" s="2">
        <v>456.07</v>
      </c>
      <c r="I95" s="2">
        <f t="shared" si="2"/>
        <v>2736.42</v>
      </c>
      <c r="J95" t="s">
        <v>30</v>
      </c>
    </row>
    <row r="96" spans="1:10" x14ac:dyDescent="0.3">
      <c r="A96" t="s">
        <v>179</v>
      </c>
      <c r="B96" s="1">
        <v>45752</v>
      </c>
      <c r="C96" t="s">
        <v>109</v>
      </c>
      <c r="D96" t="s">
        <v>40</v>
      </c>
      <c r="E96" t="s">
        <v>18</v>
      </c>
      <c r="F96" t="s">
        <v>129</v>
      </c>
      <c r="G96">
        <v>9</v>
      </c>
      <c r="H96" s="2">
        <v>1708.55</v>
      </c>
      <c r="I96" s="2">
        <f t="shared" si="2"/>
        <v>15376.949999999999</v>
      </c>
      <c r="J96" t="s">
        <v>42</v>
      </c>
    </row>
    <row r="97" spans="1:10" x14ac:dyDescent="0.3">
      <c r="A97" t="s">
        <v>180</v>
      </c>
      <c r="B97" s="1">
        <v>45804</v>
      </c>
      <c r="C97" t="s">
        <v>72</v>
      </c>
      <c r="D97" t="s">
        <v>27</v>
      </c>
      <c r="E97" t="s">
        <v>52</v>
      </c>
      <c r="F97" t="s">
        <v>181</v>
      </c>
      <c r="G97">
        <v>10</v>
      </c>
      <c r="H97" s="2">
        <v>2437.69</v>
      </c>
      <c r="I97" s="2">
        <f t="shared" si="2"/>
        <v>24376.9</v>
      </c>
      <c r="J97" t="s">
        <v>42</v>
      </c>
    </row>
    <row r="98" spans="1:10" x14ac:dyDescent="0.3">
      <c r="A98" t="s">
        <v>182</v>
      </c>
      <c r="B98" s="1">
        <v>45931</v>
      </c>
      <c r="C98" t="s">
        <v>122</v>
      </c>
      <c r="D98" t="s">
        <v>17</v>
      </c>
      <c r="E98" t="s">
        <v>18</v>
      </c>
      <c r="F98" t="s">
        <v>19</v>
      </c>
      <c r="G98">
        <v>4</v>
      </c>
      <c r="H98" s="2">
        <v>1751.35</v>
      </c>
      <c r="I98" s="2">
        <f t="shared" ref="I98:I129" si="3">G98*H98</f>
        <v>7005.4</v>
      </c>
      <c r="J98" t="s">
        <v>15</v>
      </c>
    </row>
    <row r="99" spans="1:10" x14ac:dyDescent="0.3">
      <c r="A99" t="s">
        <v>183</v>
      </c>
      <c r="B99" s="1">
        <v>45943</v>
      </c>
      <c r="C99" t="s">
        <v>11</v>
      </c>
      <c r="D99" t="s">
        <v>27</v>
      </c>
      <c r="E99" t="s">
        <v>52</v>
      </c>
      <c r="F99" t="s">
        <v>176</v>
      </c>
      <c r="G99">
        <v>8</v>
      </c>
      <c r="H99" s="2">
        <v>2489.1999999999998</v>
      </c>
      <c r="I99" s="2">
        <f t="shared" si="3"/>
        <v>19913.599999999999</v>
      </c>
      <c r="J99" t="s">
        <v>37</v>
      </c>
    </row>
    <row r="100" spans="1:10" x14ac:dyDescent="0.3">
      <c r="A100" t="s">
        <v>184</v>
      </c>
      <c r="B100" s="1">
        <v>45901</v>
      </c>
      <c r="C100" t="s">
        <v>80</v>
      </c>
      <c r="D100" t="s">
        <v>12</v>
      </c>
      <c r="E100" t="s">
        <v>28</v>
      </c>
      <c r="F100" t="s">
        <v>29</v>
      </c>
      <c r="G100">
        <v>5</v>
      </c>
      <c r="H100" s="2">
        <v>534.73</v>
      </c>
      <c r="I100" s="2">
        <f t="shared" si="3"/>
        <v>2673.65</v>
      </c>
      <c r="J100" t="s">
        <v>15</v>
      </c>
    </row>
    <row r="101" spans="1:10" x14ac:dyDescent="0.3">
      <c r="A101" t="s">
        <v>185</v>
      </c>
      <c r="B101" s="1">
        <v>45896</v>
      </c>
      <c r="C101" t="s">
        <v>160</v>
      </c>
      <c r="D101" t="s">
        <v>17</v>
      </c>
      <c r="E101" t="s">
        <v>28</v>
      </c>
      <c r="F101" t="s">
        <v>29</v>
      </c>
      <c r="G101">
        <v>10</v>
      </c>
      <c r="H101" s="2">
        <v>2884.43</v>
      </c>
      <c r="I101" s="2">
        <f t="shared" si="3"/>
        <v>28844.3</v>
      </c>
      <c r="J101" t="s">
        <v>30</v>
      </c>
    </row>
    <row r="102" spans="1:10" x14ac:dyDescent="0.3">
      <c r="A102" t="s">
        <v>186</v>
      </c>
      <c r="B102" s="1">
        <v>45724</v>
      </c>
      <c r="C102" t="s">
        <v>11</v>
      </c>
      <c r="D102" t="s">
        <v>40</v>
      </c>
      <c r="E102" t="s">
        <v>52</v>
      </c>
      <c r="F102" t="s">
        <v>53</v>
      </c>
      <c r="G102">
        <v>9</v>
      </c>
      <c r="H102" s="2">
        <v>2304.11</v>
      </c>
      <c r="I102" s="2">
        <f t="shared" si="3"/>
        <v>20736.990000000002</v>
      </c>
      <c r="J102" t="s">
        <v>30</v>
      </c>
    </row>
    <row r="103" spans="1:10" x14ac:dyDescent="0.3">
      <c r="A103" t="s">
        <v>187</v>
      </c>
      <c r="B103" s="1">
        <v>45797</v>
      </c>
      <c r="C103" t="s">
        <v>154</v>
      </c>
      <c r="D103" t="s">
        <v>44</v>
      </c>
      <c r="E103" t="s">
        <v>28</v>
      </c>
      <c r="F103" t="s">
        <v>45</v>
      </c>
      <c r="G103">
        <v>9</v>
      </c>
      <c r="H103" s="2">
        <v>1301.5999999999999</v>
      </c>
      <c r="I103" s="2">
        <f t="shared" si="3"/>
        <v>11714.4</v>
      </c>
      <c r="J103" t="s">
        <v>15</v>
      </c>
    </row>
    <row r="104" spans="1:10" x14ac:dyDescent="0.3">
      <c r="A104" t="s">
        <v>188</v>
      </c>
      <c r="B104" s="1">
        <v>45700</v>
      </c>
      <c r="C104" t="s">
        <v>88</v>
      </c>
      <c r="D104" t="s">
        <v>12</v>
      </c>
      <c r="E104" t="s">
        <v>13</v>
      </c>
      <c r="F104" t="s">
        <v>57</v>
      </c>
      <c r="G104">
        <v>6</v>
      </c>
      <c r="H104" s="2">
        <v>2409.08</v>
      </c>
      <c r="I104" s="2">
        <f t="shared" si="3"/>
        <v>14454.48</v>
      </c>
      <c r="J104" t="s">
        <v>42</v>
      </c>
    </row>
    <row r="105" spans="1:10" x14ac:dyDescent="0.3">
      <c r="A105" t="s">
        <v>189</v>
      </c>
      <c r="B105" s="1">
        <v>45744</v>
      </c>
      <c r="C105" t="s">
        <v>100</v>
      </c>
      <c r="D105" t="s">
        <v>17</v>
      </c>
      <c r="E105" t="s">
        <v>52</v>
      </c>
      <c r="F105" t="s">
        <v>176</v>
      </c>
      <c r="G105">
        <v>5</v>
      </c>
      <c r="H105" s="2">
        <v>2167.37</v>
      </c>
      <c r="I105" s="2">
        <f t="shared" si="3"/>
        <v>10836.849999999999</v>
      </c>
      <c r="J105" t="s">
        <v>42</v>
      </c>
    </row>
    <row r="106" spans="1:10" x14ac:dyDescent="0.3">
      <c r="A106" t="s">
        <v>190</v>
      </c>
      <c r="B106" s="1">
        <v>45890</v>
      </c>
      <c r="C106" t="s">
        <v>63</v>
      </c>
      <c r="D106" t="s">
        <v>17</v>
      </c>
      <c r="E106" t="s">
        <v>52</v>
      </c>
      <c r="F106" t="s">
        <v>55</v>
      </c>
      <c r="G106">
        <v>4</v>
      </c>
      <c r="H106" s="2">
        <v>1589.01</v>
      </c>
      <c r="I106" s="2">
        <f t="shared" si="3"/>
        <v>6356.04</v>
      </c>
      <c r="J106" t="s">
        <v>30</v>
      </c>
    </row>
    <row r="107" spans="1:10" x14ac:dyDescent="0.3">
      <c r="A107" t="s">
        <v>191</v>
      </c>
      <c r="B107" s="1">
        <v>45962</v>
      </c>
      <c r="C107" t="s">
        <v>72</v>
      </c>
      <c r="D107" t="s">
        <v>27</v>
      </c>
      <c r="E107" t="s">
        <v>52</v>
      </c>
      <c r="F107" t="s">
        <v>55</v>
      </c>
      <c r="G107">
        <v>8</v>
      </c>
      <c r="H107" s="2">
        <v>274.88</v>
      </c>
      <c r="I107" s="2">
        <f t="shared" si="3"/>
        <v>2199.04</v>
      </c>
      <c r="J107" t="s">
        <v>42</v>
      </c>
    </row>
    <row r="108" spans="1:10" x14ac:dyDescent="0.3">
      <c r="A108" t="s">
        <v>192</v>
      </c>
      <c r="B108" s="1">
        <v>45828</v>
      </c>
      <c r="C108" t="s">
        <v>70</v>
      </c>
      <c r="D108" t="s">
        <v>44</v>
      </c>
      <c r="E108" t="s">
        <v>28</v>
      </c>
      <c r="F108" t="s">
        <v>33</v>
      </c>
      <c r="G108">
        <v>2</v>
      </c>
      <c r="H108" s="2">
        <v>1330.37</v>
      </c>
      <c r="I108" s="2">
        <f t="shared" si="3"/>
        <v>2660.74</v>
      </c>
      <c r="J108" t="s">
        <v>37</v>
      </c>
    </row>
    <row r="109" spans="1:10" x14ac:dyDescent="0.3">
      <c r="A109" t="s">
        <v>193</v>
      </c>
      <c r="B109" s="1">
        <v>45768</v>
      </c>
      <c r="C109" t="s">
        <v>116</v>
      </c>
      <c r="D109" t="s">
        <v>44</v>
      </c>
      <c r="E109" t="s">
        <v>18</v>
      </c>
      <c r="F109" t="s">
        <v>129</v>
      </c>
      <c r="G109">
        <v>3</v>
      </c>
      <c r="H109" s="2">
        <v>608.34</v>
      </c>
      <c r="I109" s="2">
        <f t="shared" si="3"/>
        <v>1825.02</v>
      </c>
      <c r="J109" t="s">
        <v>30</v>
      </c>
    </row>
    <row r="110" spans="1:10" x14ac:dyDescent="0.3">
      <c r="A110" t="s">
        <v>194</v>
      </c>
      <c r="B110" s="1">
        <v>45926</v>
      </c>
      <c r="C110" t="s">
        <v>72</v>
      </c>
      <c r="D110" t="s">
        <v>17</v>
      </c>
      <c r="E110" t="s">
        <v>52</v>
      </c>
      <c r="F110" t="s">
        <v>64</v>
      </c>
      <c r="G110">
        <v>7</v>
      </c>
      <c r="H110" s="2">
        <v>4471.05</v>
      </c>
      <c r="I110" s="2">
        <f t="shared" si="3"/>
        <v>31297.350000000002</v>
      </c>
      <c r="J110" t="s">
        <v>42</v>
      </c>
    </row>
    <row r="111" spans="1:10" x14ac:dyDescent="0.3">
      <c r="A111" t="s">
        <v>195</v>
      </c>
      <c r="B111" s="1">
        <v>46002</v>
      </c>
      <c r="C111" t="s">
        <v>95</v>
      </c>
      <c r="D111" t="s">
        <v>44</v>
      </c>
      <c r="E111" t="s">
        <v>18</v>
      </c>
      <c r="F111" t="s">
        <v>19</v>
      </c>
      <c r="G111">
        <v>10</v>
      </c>
      <c r="H111" s="2">
        <v>1938.64</v>
      </c>
      <c r="I111" s="2">
        <f t="shared" si="3"/>
        <v>19386.400000000001</v>
      </c>
      <c r="J111" t="s">
        <v>15</v>
      </c>
    </row>
    <row r="112" spans="1:10" x14ac:dyDescent="0.3">
      <c r="A112" t="s">
        <v>196</v>
      </c>
      <c r="B112" s="1">
        <v>45669</v>
      </c>
      <c r="C112" t="s">
        <v>70</v>
      </c>
      <c r="D112" t="s">
        <v>12</v>
      </c>
      <c r="E112" t="s">
        <v>28</v>
      </c>
      <c r="F112" t="s">
        <v>29</v>
      </c>
      <c r="G112">
        <v>7</v>
      </c>
      <c r="H112" s="2">
        <v>3668.8</v>
      </c>
      <c r="I112" s="2">
        <f t="shared" si="3"/>
        <v>25681.600000000002</v>
      </c>
      <c r="J112" t="s">
        <v>42</v>
      </c>
    </row>
    <row r="113" spans="1:10" x14ac:dyDescent="0.3">
      <c r="A113" t="s">
        <v>197</v>
      </c>
      <c r="B113" s="1">
        <v>45949</v>
      </c>
      <c r="C113" t="s">
        <v>198</v>
      </c>
      <c r="D113" t="s">
        <v>44</v>
      </c>
      <c r="E113" t="s">
        <v>52</v>
      </c>
      <c r="F113" t="s">
        <v>181</v>
      </c>
      <c r="G113">
        <v>8</v>
      </c>
      <c r="H113" s="2">
        <v>2602.98</v>
      </c>
      <c r="I113" s="2">
        <f t="shared" si="3"/>
        <v>20823.84</v>
      </c>
      <c r="J113" t="s">
        <v>30</v>
      </c>
    </row>
    <row r="114" spans="1:10" x14ac:dyDescent="0.3">
      <c r="A114" t="s">
        <v>199</v>
      </c>
      <c r="B114" s="1">
        <v>46017</v>
      </c>
      <c r="C114" t="s">
        <v>173</v>
      </c>
      <c r="D114" t="s">
        <v>44</v>
      </c>
      <c r="E114" t="s">
        <v>13</v>
      </c>
      <c r="F114" t="s">
        <v>66</v>
      </c>
      <c r="G114">
        <v>4</v>
      </c>
      <c r="H114" s="2">
        <v>2568.2800000000002</v>
      </c>
      <c r="I114" s="2">
        <f t="shared" si="3"/>
        <v>10273.120000000001</v>
      </c>
      <c r="J114" t="s">
        <v>24</v>
      </c>
    </row>
    <row r="115" spans="1:10" x14ac:dyDescent="0.3">
      <c r="A115" t="s">
        <v>200</v>
      </c>
      <c r="B115" s="1">
        <v>45706</v>
      </c>
      <c r="C115" t="s">
        <v>95</v>
      </c>
      <c r="D115" t="s">
        <v>44</v>
      </c>
      <c r="E115" t="s">
        <v>22</v>
      </c>
      <c r="F115" t="s">
        <v>78</v>
      </c>
      <c r="G115">
        <v>7</v>
      </c>
      <c r="H115" s="2">
        <v>1271.82</v>
      </c>
      <c r="I115" s="2">
        <f t="shared" si="3"/>
        <v>8902.74</v>
      </c>
      <c r="J115" t="s">
        <v>42</v>
      </c>
    </row>
    <row r="116" spans="1:10" x14ac:dyDescent="0.3">
      <c r="A116" t="s">
        <v>201</v>
      </c>
      <c r="B116" s="1">
        <v>45975</v>
      </c>
      <c r="C116" t="s">
        <v>51</v>
      </c>
      <c r="D116" t="s">
        <v>40</v>
      </c>
      <c r="E116" t="s">
        <v>28</v>
      </c>
      <c r="F116" t="s">
        <v>123</v>
      </c>
      <c r="G116">
        <v>9</v>
      </c>
      <c r="H116" s="2">
        <v>1590.82</v>
      </c>
      <c r="I116" s="2">
        <f t="shared" si="3"/>
        <v>14317.38</v>
      </c>
      <c r="J116" t="s">
        <v>42</v>
      </c>
    </row>
    <row r="117" spans="1:10" x14ac:dyDescent="0.3">
      <c r="A117" t="s">
        <v>202</v>
      </c>
      <c r="B117" s="1">
        <v>45735</v>
      </c>
      <c r="C117" t="s">
        <v>70</v>
      </c>
      <c r="D117" t="s">
        <v>44</v>
      </c>
      <c r="E117" t="s">
        <v>52</v>
      </c>
      <c r="F117" t="s">
        <v>64</v>
      </c>
      <c r="G117">
        <v>2</v>
      </c>
      <c r="H117" s="2">
        <v>2138.77</v>
      </c>
      <c r="I117" s="2">
        <f t="shared" si="3"/>
        <v>4277.54</v>
      </c>
      <c r="J117" t="s">
        <v>37</v>
      </c>
    </row>
    <row r="118" spans="1:10" x14ac:dyDescent="0.3">
      <c r="A118" t="s">
        <v>203</v>
      </c>
      <c r="B118" s="1">
        <v>45907</v>
      </c>
      <c r="C118" t="s">
        <v>32</v>
      </c>
      <c r="D118" t="s">
        <v>44</v>
      </c>
      <c r="E118" t="s">
        <v>18</v>
      </c>
      <c r="F118" t="s">
        <v>68</v>
      </c>
      <c r="G118">
        <v>9</v>
      </c>
      <c r="H118" s="2">
        <v>499.39</v>
      </c>
      <c r="I118" s="2">
        <f t="shared" si="3"/>
        <v>4494.51</v>
      </c>
      <c r="J118" t="s">
        <v>30</v>
      </c>
    </row>
    <row r="119" spans="1:10" x14ac:dyDescent="0.3">
      <c r="A119" t="s">
        <v>204</v>
      </c>
      <c r="B119" s="1">
        <v>45816</v>
      </c>
      <c r="C119" t="s">
        <v>160</v>
      </c>
      <c r="D119" t="s">
        <v>12</v>
      </c>
      <c r="E119" t="s">
        <v>22</v>
      </c>
      <c r="F119" t="s">
        <v>133</v>
      </c>
      <c r="G119">
        <v>5</v>
      </c>
      <c r="H119" s="2">
        <v>1770.59</v>
      </c>
      <c r="I119" s="2">
        <f t="shared" si="3"/>
        <v>8852.9499999999989</v>
      </c>
      <c r="J119" t="s">
        <v>15</v>
      </c>
    </row>
    <row r="120" spans="1:10" x14ac:dyDescent="0.3">
      <c r="A120" t="s">
        <v>205</v>
      </c>
      <c r="B120" s="1">
        <v>45897</v>
      </c>
      <c r="C120" t="s">
        <v>95</v>
      </c>
      <c r="D120" t="s">
        <v>40</v>
      </c>
      <c r="E120" t="s">
        <v>18</v>
      </c>
      <c r="F120" t="s">
        <v>129</v>
      </c>
      <c r="G120">
        <v>6</v>
      </c>
      <c r="H120" s="2">
        <v>1957.82</v>
      </c>
      <c r="I120" s="2">
        <f t="shared" si="3"/>
        <v>11746.92</v>
      </c>
      <c r="J120" t="s">
        <v>24</v>
      </c>
    </row>
    <row r="121" spans="1:10" x14ac:dyDescent="0.3">
      <c r="A121" t="s">
        <v>206</v>
      </c>
      <c r="B121" s="1">
        <v>45776</v>
      </c>
      <c r="C121" t="s">
        <v>100</v>
      </c>
      <c r="D121" t="s">
        <v>27</v>
      </c>
      <c r="E121" t="s">
        <v>28</v>
      </c>
      <c r="F121" t="s">
        <v>49</v>
      </c>
      <c r="G121">
        <v>9</v>
      </c>
      <c r="H121" s="2">
        <v>597.5</v>
      </c>
      <c r="I121" s="2">
        <f t="shared" si="3"/>
        <v>5377.5</v>
      </c>
      <c r="J121" t="s">
        <v>24</v>
      </c>
    </row>
    <row r="122" spans="1:10" x14ac:dyDescent="0.3">
      <c r="A122" t="s">
        <v>207</v>
      </c>
      <c r="B122" s="1">
        <v>45987</v>
      </c>
      <c r="C122" t="s">
        <v>100</v>
      </c>
      <c r="D122" t="s">
        <v>27</v>
      </c>
      <c r="E122" t="s">
        <v>18</v>
      </c>
      <c r="F122" t="s">
        <v>129</v>
      </c>
      <c r="G122">
        <v>7</v>
      </c>
      <c r="H122" s="2">
        <v>880.32</v>
      </c>
      <c r="I122" s="2">
        <f t="shared" si="3"/>
        <v>6162.2400000000007</v>
      </c>
      <c r="J122" t="s">
        <v>42</v>
      </c>
    </row>
    <row r="123" spans="1:10" x14ac:dyDescent="0.3">
      <c r="A123" t="s">
        <v>208</v>
      </c>
      <c r="B123" s="1">
        <v>45749</v>
      </c>
      <c r="C123" t="s">
        <v>59</v>
      </c>
      <c r="D123" t="s">
        <v>44</v>
      </c>
      <c r="E123" t="s">
        <v>18</v>
      </c>
      <c r="F123" t="s">
        <v>19</v>
      </c>
      <c r="G123">
        <v>9</v>
      </c>
      <c r="H123" s="2">
        <v>1332.68</v>
      </c>
      <c r="I123" s="2">
        <f t="shared" si="3"/>
        <v>11994.12</v>
      </c>
      <c r="J123" t="s">
        <v>15</v>
      </c>
    </row>
    <row r="124" spans="1:10" x14ac:dyDescent="0.3">
      <c r="A124" t="s">
        <v>209</v>
      </c>
      <c r="B124" s="1">
        <v>45848</v>
      </c>
      <c r="C124" t="s">
        <v>21</v>
      </c>
      <c r="D124" t="s">
        <v>44</v>
      </c>
      <c r="E124" t="s">
        <v>28</v>
      </c>
      <c r="F124" t="s">
        <v>49</v>
      </c>
      <c r="G124">
        <v>6</v>
      </c>
      <c r="H124" s="2">
        <v>4204.1499999999996</v>
      </c>
      <c r="I124" s="2">
        <f t="shared" si="3"/>
        <v>25224.899999999998</v>
      </c>
      <c r="J124" t="s">
        <v>15</v>
      </c>
    </row>
    <row r="125" spans="1:10" x14ac:dyDescent="0.3">
      <c r="A125" t="s">
        <v>210</v>
      </c>
      <c r="B125" s="1">
        <v>45931</v>
      </c>
      <c r="C125" t="s">
        <v>51</v>
      </c>
      <c r="D125" t="s">
        <v>40</v>
      </c>
      <c r="E125" t="s">
        <v>52</v>
      </c>
      <c r="F125" t="s">
        <v>53</v>
      </c>
      <c r="G125">
        <v>4</v>
      </c>
      <c r="H125" s="2">
        <v>3418.36</v>
      </c>
      <c r="I125" s="2">
        <f t="shared" si="3"/>
        <v>13673.44</v>
      </c>
      <c r="J125" t="s">
        <v>42</v>
      </c>
    </row>
    <row r="126" spans="1:10" x14ac:dyDescent="0.3">
      <c r="A126" t="s">
        <v>211</v>
      </c>
      <c r="B126" s="1">
        <v>45737</v>
      </c>
      <c r="C126" t="s">
        <v>154</v>
      </c>
      <c r="D126" t="s">
        <v>27</v>
      </c>
      <c r="E126" t="s">
        <v>18</v>
      </c>
      <c r="F126" t="s">
        <v>81</v>
      </c>
      <c r="G126">
        <v>6</v>
      </c>
      <c r="H126" s="2">
        <v>4852.24</v>
      </c>
      <c r="I126" s="2">
        <f t="shared" si="3"/>
        <v>29113.439999999999</v>
      </c>
      <c r="J126" t="s">
        <v>24</v>
      </c>
    </row>
    <row r="127" spans="1:10" x14ac:dyDescent="0.3">
      <c r="A127" t="s">
        <v>212</v>
      </c>
      <c r="B127" s="1">
        <v>45992</v>
      </c>
      <c r="C127" t="s">
        <v>213</v>
      </c>
      <c r="D127" t="s">
        <v>27</v>
      </c>
      <c r="E127" t="s">
        <v>18</v>
      </c>
      <c r="F127" t="s">
        <v>98</v>
      </c>
      <c r="G127">
        <v>4</v>
      </c>
      <c r="H127" s="2">
        <v>260.83999999999997</v>
      </c>
      <c r="I127" s="2">
        <f t="shared" si="3"/>
        <v>1043.3599999999999</v>
      </c>
      <c r="J127" t="s">
        <v>42</v>
      </c>
    </row>
    <row r="128" spans="1:10" x14ac:dyDescent="0.3">
      <c r="A128" t="s">
        <v>214</v>
      </c>
      <c r="B128" s="1">
        <v>45796</v>
      </c>
      <c r="C128" t="s">
        <v>149</v>
      </c>
      <c r="D128" t="s">
        <v>12</v>
      </c>
      <c r="E128" t="s">
        <v>52</v>
      </c>
      <c r="F128" t="s">
        <v>176</v>
      </c>
      <c r="G128">
        <v>4</v>
      </c>
      <c r="H128" s="2">
        <v>2723.85</v>
      </c>
      <c r="I128" s="2">
        <f t="shared" si="3"/>
        <v>10895.4</v>
      </c>
      <c r="J128" t="s">
        <v>42</v>
      </c>
    </row>
    <row r="129" spans="1:10" x14ac:dyDescent="0.3">
      <c r="A129" t="s">
        <v>215</v>
      </c>
      <c r="B129" s="1">
        <v>45987</v>
      </c>
      <c r="C129" t="s">
        <v>63</v>
      </c>
      <c r="D129" t="s">
        <v>12</v>
      </c>
      <c r="E129" t="s">
        <v>13</v>
      </c>
      <c r="F129" t="s">
        <v>75</v>
      </c>
      <c r="G129">
        <v>1</v>
      </c>
      <c r="H129" s="2">
        <v>2001.12</v>
      </c>
      <c r="I129" s="2">
        <f t="shared" si="3"/>
        <v>2001.12</v>
      </c>
      <c r="J129" t="s">
        <v>15</v>
      </c>
    </row>
    <row r="130" spans="1:10" x14ac:dyDescent="0.3">
      <c r="A130" t="s">
        <v>216</v>
      </c>
      <c r="B130" s="1">
        <v>45790</v>
      </c>
      <c r="C130" t="s">
        <v>72</v>
      </c>
      <c r="D130" t="s">
        <v>44</v>
      </c>
      <c r="E130" t="s">
        <v>22</v>
      </c>
      <c r="F130" t="s">
        <v>133</v>
      </c>
      <c r="G130">
        <v>8</v>
      </c>
      <c r="H130" s="2">
        <v>4998.29</v>
      </c>
      <c r="I130" s="2">
        <f t="shared" ref="I130:I161" si="4">G130*H130</f>
        <v>39986.32</v>
      </c>
      <c r="J130" t="s">
        <v>37</v>
      </c>
    </row>
    <row r="131" spans="1:10" x14ac:dyDescent="0.3">
      <c r="A131" t="s">
        <v>217</v>
      </c>
      <c r="B131" s="1">
        <v>45705</v>
      </c>
      <c r="C131" t="s">
        <v>132</v>
      </c>
      <c r="D131" t="s">
        <v>44</v>
      </c>
      <c r="E131" t="s">
        <v>18</v>
      </c>
      <c r="F131" t="s">
        <v>68</v>
      </c>
      <c r="G131">
        <v>8</v>
      </c>
      <c r="H131" s="2">
        <v>2785.78</v>
      </c>
      <c r="I131" s="2">
        <f t="shared" si="4"/>
        <v>22286.240000000002</v>
      </c>
      <c r="J131" t="s">
        <v>15</v>
      </c>
    </row>
    <row r="132" spans="1:10" x14ac:dyDescent="0.3">
      <c r="A132" t="s">
        <v>218</v>
      </c>
      <c r="B132" s="1">
        <v>45975</v>
      </c>
      <c r="C132" t="s">
        <v>122</v>
      </c>
      <c r="D132" t="s">
        <v>40</v>
      </c>
      <c r="E132" t="s">
        <v>52</v>
      </c>
      <c r="F132" t="s">
        <v>176</v>
      </c>
      <c r="G132">
        <v>8</v>
      </c>
      <c r="H132" s="2">
        <v>3877.07</v>
      </c>
      <c r="I132" s="2">
        <f t="shared" si="4"/>
        <v>31016.560000000001</v>
      </c>
      <c r="J132" t="s">
        <v>42</v>
      </c>
    </row>
    <row r="133" spans="1:10" x14ac:dyDescent="0.3">
      <c r="A133" t="s">
        <v>219</v>
      </c>
      <c r="B133" s="1">
        <v>45710</v>
      </c>
      <c r="C133" t="s">
        <v>147</v>
      </c>
      <c r="D133" t="s">
        <v>12</v>
      </c>
      <c r="E133" t="s">
        <v>22</v>
      </c>
      <c r="F133" t="s">
        <v>36</v>
      </c>
      <c r="G133">
        <v>10</v>
      </c>
      <c r="H133" s="2">
        <v>4576.21</v>
      </c>
      <c r="I133" s="2">
        <f t="shared" si="4"/>
        <v>45762.1</v>
      </c>
      <c r="J133" t="s">
        <v>37</v>
      </c>
    </row>
    <row r="134" spans="1:10" x14ac:dyDescent="0.3">
      <c r="A134" t="s">
        <v>220</v>
      </c>
      <c r="B134" s="1">
        <v>45725</v>
      </c>
      <c r="C134" t="s">
        <v>173</v>
      </c>
      <c r="D134" t="s">
        <v>44</v>
      </c>
      <c r="E134" t="s">
        <v>22</v>
      </c>
      <c r="F134" t="s">
        <v>23</v>
      </c>
      <c r="G134">
        <v>2</v>
      </c>
      <c r="H134" s="2">
        <v>2625.92</v>
      </c>
      <c r="I134" s="2">
        <f t="shared" si="4"/>
        <v>5251.84</v>
      </c>
      <c r="J134" t="s">
        <v>30</v>
      </c>
    </row>
    <row r="135" spans="1:10" x14ac:dyDescent="0.3">
      <c r="A135" t="s">
        <v>221</v>
      </c>
      <c r="B135" s="1">
        <v>45903</v>
      </c>
      <c r="C135" t="s">
        <v>35</v>
      </c>
      <c r="D135" t="s">
        <v>12</v>
      </c>
      <c r="E135" t="s">
        <v>28</v>
      </c>
      <c r="F135" t="s">
        <v>45</v>
      </c>
      <c r="G135">
        <v>6</v>
      </c>
      <c r="H135" s="2">
        <v>4033.11</v>
      </c>
      <c r="I135" s="2">
        <f t="shared" si="4"/>
        <v>24198.66</v>
      </c>
      <c r="J135" t="s">
        <v>42</v>
      </c>
    </row>
    <row r="136" spans="1:10" x14ac:dyDescent="0.3">
      <c r="A136" t="s">
        <v>222</v>
      </c>
      <c r="B136" s="1">
        <v>45922</v>
      </c>
      <c r="C136" t="s">
        <v>70</v>
      </c>
      <c r="D136" t="s">
        <v>44</v>
      </c>
      <c r="E136" t="s">
        <v>52</v>
      </c>
      <c r="F136" t="s">
        <v>64</v>
      </c>
      <c r="G136">
        <v>9</v>
      </c>
      <c r="H136" s="2">
        <v>4426.28</v>
      </c>
      <c r="I136" s="2">
        <f t="shared" si="4"/>
        <v>39836.519999999997</v>
      </c>
      <c r="J136" t="s">
        <v>37</v>
      </c>
    </row>
    <row r="137" spans="1:10" x14ac:dyDescent="0.3">
      <c r="A137" t="s">
        <v>223</v>
      </c>
      <c r="B137" s="1">
        <v>45801</v>
      </c>
      <c r="C137" t="s">
        <v>39</v>
      </c>
      <c r="D137" t="s">
        <v>27</v>
      </c>
      <c r="E137" t="s">
        <v>52</v>
      </c>
      <c r="F137" t="s">
        <v>55</v>
      </c>
      <c r="G137">
        <v>7</v>
      </c>
      <c r="H137" s="2">
        <v>1705.63</v>
      </c>
      <c r="I137" s="2">
        <f t="shared" si="4"/>
        <v>11939.41</v>
      </c>
      <c r="J137" t="s">
        <v>42</v>
      </c>
    </row>
    <row r="138" spans="1:10" x14ac:dyDescent="0.3">
      <c r="A138" t="s">
        <v>224</v>
      </c>
      <c r="B138" s="1">
        <v>45736</v>
      </c>
      <c r="C138" t="s">
        <v>32</v>
      </c>
      <c r="D138" t="s">
        <v>27</v>
      </c>
      <c r="E138" t="s">
        <v>52</v>
      </c>
      <c r="F138" t="s">
        <v>181</v>
      </c>
      <c r="G138">
        <v>2</v>
      </c>
      <c r="H138" s="2">
        <v>3142.17</v>
      </c>
      <c r="I138" s="2">
        <f t="shared" si="4"/>
        <v>6284.34</v>
      </c>
      <c r="J138" t="s">
        <v>24</v>
      </c>
    </row>
    <row r="139" spans="1:10" x14ac:dyDescent="0.3">
      <c r="A139" t="s">
        <v>225</v>
      </c>
      <c r="B139" s="1">
        <v>46022</v>
      </c>
      <c r="C139" t="s">
        <v>104</v>
      </c>
      <c r="D139" t="s">
        <v>27</v>
      </c>
      <c r="E139" t="s">
        <v>13</v>
      </c>
      <c r="F139" t="s">
        <v>14</v>
      </c>
      <c r="G139">
        <v>1</v>
      </c>
      <c r="H139" s="2">
        <v>3293.42</v>
      </c>
      <c r="I139" s="2">
        <f t="shared" si="4"/>
        <v>3293.42</v>
      </c>
      <c r="J139" t="s">
        <v>15</v>
      </c>
    </row>
    <row r="140" spans="1:10" x14ac:dyDescent="0.3">
      <c r="A140" t="s">
        <v>226</v>
      </c>
      <c r="B140" s="1">
        <v>45831</v>
      </c>
      <c r="C140" t="s">
        <v>160</v>
      </c>
      <c r="D140" t="s">
        <v>44</v>
      </c>
      <c r="E140" t="s">
        <v>52</v>
      </c>
      <c r="F140" t="s">
        <v>181</v>
      </c>
      <c r="G140">
        <v>7</v>
      </c>
      <c r="H140" s="2">
        <v>1342.9</v>
      </c>
      <c r="I140" s="2">
        <f t="shared" si="4"/>
        <v>9400.3000000000011</v>
      </c>
      <c r="J140" t="s">
        <v>30</v>
      </c>
    </row>
    <row r="141" spans="1:10" x14ac:dyDescent="0.3">
      <c r="A141" t="s">
        <v>227</v>
      </c>
      <c r="B141" s="1">
        <v>45978</v>
      </c>
      <c r="C141" t="s">
        <v>95</v>
      </c>
      <c r="D141" t="s">
        <v>44</v>
      </c>
      <c r="E141" t="s">
        <v>13</v>
      </c>
      <c r="F141" t="s">
        <v>41</v>
      </c>
      <c r="G141">
        <v>5</v>
      </c>
      <c r="H141" s="2">
        <v>4624.34</v>
      </c>
      <c r="I141" s="2">
        <f t="shared" si="4"/>
        <v>23121.7</v>
      </c>
      <c r="J141" t="s">
        <v>30</v>
      </c>
    </row>
    <row r="142" spans="1:10" x14ac:dyDescent="0.3">
      <c r="A142" t="s">
        <v>228</v>
      </c>
      <c r="B142" s="1">
        <v>46017</v>
      </c>
      <c r="C142" t="s">
        <v>26</v>
      </c>
      <c r="D142" t="s">
        <v>12</v>
      </c>
      <c r="E142" t="s">
        <v>28</v>
      </c>
      <c r="F142" t="s">
        <v>49</v>
      </c>
      <c r="G142">
        <v>10</v>
      </c>
      <c r="H142" s="2">
        <v>1930.58</v>
      </c>
      <c r="I142" s="2">
        <f t="shared" si="4"/>
        <v>19305.8</v>
      </c>
      <c r="J142" t="s">
        <v>15</v>
      </c>
    </row>
    <row r="143" spans="1:10" x14ac:dyDescent="0.3">
      <c r="A143" t="s">
        <v>229</v>
      </c>
      <c r="B143" s="1">
        <v>45912</v>
      </c>
      <c r="C143" t="s">
        <v>147</v>
      </c>
      <c r="D143" t="s">
        <v>40</v>
      </c>
      <c r="E143" t="s">
        <v>52</v>
      </c>
      <c r="F143" t="s">
        <v>176</v>
      </c>
      <c r="G143">
        <v>7</v>
      </c>
      <c r="H143" s="2">
        <v>3740.82</v>
      </c>
      <c r="I143" s="2">
        <f t="shared" si="4"/>
        <v>26185.74</v>
      </c>
      <c r="J143" t="s">
        <v>37</v>
      </c>
    </row>
    <row r="144" spans="1:10" x14ac:dyDescent="0.3">
      <c r="A144" t="s">
        <v>230</v>
      </c>
      <c r="B144" s="1">
        <v>45859</v>
      </c>
      <c r="C144" t="s">
        <v>85</v>
      </c>
      <c r="D144" t="s">
        <v>44</v>
      </c>
      <c r="E144" t="s">
        <v>52</v>
      </c>
      <c r="F144" t="s">
        <v>181</v>
      </c>
      <c r="G144">
        <v>1</v>
      </c>
      <c r="H144" s="2">
        <v>1166.1500000000001</v>
      </c>
      <c r="I144" s="2">
        <f t="shared" si="4"/>
        <v>1166.1500000000001</v>
      </c>
      <c r="J144" t="s">
        <v>42</v>
      </c>
    </row>
    <row r="145" spans="1:10" x14ac:dyDescent="0.3">
      <c r="A145" t="s">
        <v>231</v>
      </c>
      <c r="B145" s="1">
        <v>45745</v>
      </c>
      <c r="C145" t="s">
        <v>70</v>
      </c>
      <c r="D145" t="s">
        <v>44</v>
      </c>
      <c r="E145" t="s">
        <v>28</v>
      </c>
      <c r="F145" t="s">
        <v>45</v>
      </c>
      <c r="G145">
        <v>7</v>
      </c>
      <c r="H145" s="2">
        <v>813.48</v>
      </c>
      <c r="I145" s="2">
        <f t="shared" si="4"/>
        <v>5694.3600000000006</v>
      </c>
      <c r="J145" t="s">
        <v>30</v>
      </c>
    </row>
    <row r="146" spans="1:10" x14ac:dyDescent="0.3">
      <c r="A146" t="s">
        <v>232</v>
      </c>
      <c r="B146" s="1">
        <v>45921</v>
      </c>
      <c r="C146" t="s">
        <v>21</v>
      </c>
      <c r="D146" t="s">
        <v>12</v>
      </c>
      <c r="E146" t="s">
        <v>52</v>
      </c>
      <c r="F146" t="s">
        <v>64</v>
      </c>
      <c r="G146">
        <v>2</v>
      </c>
      <c r="H146" s="2">
        <v>3732.96</v>
      </c>
      <c r="I146" s="2">
        <f t="shared" si="4"/>
        <v>7465.92</v>
      </c>
      <c r="J146" t="s">
        <v>30</v>
      </c>
    </row>
    <row r="147" spans="1:10" x14ac:dyDescent="0.3">
      <c r="A147" t="s">
        <v>233</v>
      </c>
      <c r="B147" s="1">
        <v>46019</v>
      </c>
      <c r="C147" t="s">
        <v>154</v>
      </c>
      <c r="D147" t="s">
        <v>44</v>
      </c>
      <c r="E147" t="s">
        <v>52</v>
      </c>
      <c r="F147" t="s">
        <v>176</v>
      </c>
      <c r="G147">
        <v>1</v>
      </c>
      <c r="H147" s="2">
        <v>4334.8500000000004</v>
      </c>
      <c r="I147" s="2">
        <f t="shared" si="4"/>
        <v>4334.8500000000004</v>
      </c>
      <c r="J147" t="s">
        <v>37</v>
      </c>
    </row>
    <row r="148" spans="1:10" x14ac:dyDescent="0.3">
      <c r="A148" t="s">
        <v>234</v>
      </c>
      <c r="B148" s="1">
        <v>45830</v>
      </c>
      <c r="C148" t="s">
        <v>128</v>
      </c>
      <c r="D148" t="s">
        <v>12</v>
      </c>
      <c r="E148" t="s">
        <v>18</v>
      </c>
      <c r="F148" t="s">
        <v>81</v>
      </c>
      <c r="G148">
        <v>2</v>
      </c>
      <c r="H148" s="2">
        <v>2757.19</v>
      </c>
      <c r="I148" s="2">
        <f t="shared" si="4"/>
        <v>5514.38</v>
      </c>
      <c r="J148" t="s">
        <v>37</v>
      </c>
    </row>
    <row r="149" spans="1:10" x14ac:dyDescent="0.3">
      <c r="A149" t="s">
        <v>235</v>
      </c>
      <c r="B149" s="1">
        <v>45990</v>
      </c>
      <c r="C149" t="s">
        <v>21</v>
      </c>
      <c r="D149" t="s">
        <v>44</v>
      </c>
      <c r="E149" t="s">
        <v>13</v>
      </c>
      <c r="F149" t="s">
        <v>75</v>
      </c>
      <c r="G149">
        <v>3</v>
      </c>
      <c r="H149" s="2">
        <v>1737.36</v>
      </c>
      <c r="I149" s="2">
        <f t="shared" si="4"/>
        <v>5212.08</v>
      </c>
      <c r="J149" t="s">
        <v>37</v>
      </c>
    </row>
    <row r="150" spans="1:10" x14ac:dyDescent="0.3">
      <c r="A150" t="s">
        <v>236</v>
      </c>
      <c r="B150" s="1">
        <v>45932</v>
      </c>
      <c r="C150" t="s">
        <v>88</v>
      </c>
      <c r="D150" t="s">
        <v>17</v>
      </c>
      <c r="E150" t="s">
        <v>22</v>
      </c>
      <c r="F150" t="s">
        <v>133</v>
      </c>
      <c r="G150">
        <v>7</v>
      </c>
      <c r="H150" s="2">
        <v>3250.06</v>
      </c>
      <c r="I150" s="2">
        <f t="shared" si="4"/>
        <v>22750.42</v>
      </c>
      <c r="J150" t="s">
        <v>15</v>
      </c>
    </row>
    <row r="151" spans="1:10" x14ac:dyDescent="0.3">
      <c r="A151" t="s">
        <v>237</v>
      </c>
      <c r="B151" s="1">
        <v>45714</v>
      </c>
      <c r="C151" t="s">
        <v>104</v>
      </c>
      <c r="D151" t="s">
        <v>12</v>
      </c>
      <c r="E151" t="s">
        <v>22</v>
      </c>
      <c r="F151" t="s">
        <v>36</v>
      </c>
      <c r="G151">
        <v>1</v>
      </c>
      <c r="H151" s="2">
        <v>2096.89</v>
      </c>
      <c r="I151" s="2">
        <f t="shared" si="4"/>
        <v>2096.89</v>
      </c>
      <c r="J151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abSelected="1" zoomScaleNormal="100" workbookViewId="0">
      <selection activeCell="C12" sqref="C12"/>
    </sheetView>
  </sheetViews>
  <sheetFormatPr defaultColWidth="8.6640625" defaultRowHeight="14.4" x14ac:dyDescent="0.3"/>
  <cols>
    <col min="1" max="1" width="3" bestFit="1" customWidth="1"/>
    <col min="2" max="2" width="111" bestFit="1" customWidth="1"/>
    <col min="3" max="3" width="23" bestFit="1" customWidth="1"/>
    <col min="4" max="4" width="9" bestFit="1" customWidth="1"/>
    <col min="5" max="5" width="9.88671875" bestFit="1" customWidth="1"/>
  </cols>
  <sheetData>
    <row r="1" spans="1:6" x14ac:dyDescent="0.3">
      <c r="A1" s="4" t="s">
        <v>238</v>
      </c>
      <c r="B1" s="4" t="s">
        <v>239</v>
      </c>
      <c r="C1" s="4" t="s">
        <v>240</v>
      </c>
    </row>
    <row r="2" spans="1:6" x14ac:dyDescent="0.3">
      <c r="A2">
        <v>1</v>
      </c>
      <c r="B2" t="s">
        <v>241</v>
      </c>
      <c r="C2">
        <f>SUMIF(Data!J:J,"&lt;&gt;Cash on Delivery",Data!I:I)</f>
        <v>1485628.6400000004</v>
      </c>
    </row>
    <row r="3" spans="1:6" x14ac:dyDescent="0.3">
      <c r="A3">
        <v>2</v>
      </c>
      <c r="B3" t="s">
        <v>242</v>
      </c>
      <c r="C3" t="str">
        <f>VLOOKUP("ORD5050",Data!A1:J151,3,TRUE)</f>
        <v>Aditya Kapoor</v>
      </c>
    </row>
    <row r="4" spans="1:6" x14ac:dyDescent="0.3">
      <c r="A4">
        <v>3</v>
      </c>
      <c r="B4" t="s">
        <v>243</v>
      </c>
      <c r="C4" t="str">
        <f>UPPER(Data!C2)</f>
        <v>VIHAAN VERMA</v>
      </c>
    </row>
    <row r="5" spans="1:6" x14ac:dyDescent="0.3">
      <c r="A5">
        <v>4</v>
      </c>
      <c r="B5" t="s">
        <v>244</v>
      </c>
      <c r="C5" t="str">
        <f>PROPER(Data!C2)</f>
        <v>Vihaan Verma</v>
      </c>
    </row>
    <row r="6" spans="1:6" x14ac:dyDescent="0.3">
      <c r="A6">
        <v>5</v>
      </c>
      <c r="B6" t="s">
        <v>245</v>
      </c>
      <c r="C6" t="str" cm="1">
        <f t="array" ref="C6">_xlfn.IFS(Data!I2&lt;2000,"Low",Data!I2&gt;=2000,"Medium",Data!I2&lt;=8000,"Medium",Data!I2&gt;8000,"High")</f>
        <v>Medium</v>
      </c>
    </row>
    <row r="7" spans="1:6" x14ac:dyDescent="0.3">
      <c r="A7">
        <v>6</v>
      </c>
      <c r="B7" t="s">
        <v>246</v>
      </c>
      <c r="C7" cm="1">
        <f t="array" ref="C7">AVERAGE(LARGE(Data!I:I,_xlfn.SEQUENCE(5)))</f>
        <v>41431.337999999996</v>
      </c>
    </row>
    <row r="8" spans="1:6" x14ac:dyDescent="0.3">
      <c r="A8">
        <v>7</v>
      </c>
      <c r="B8" t="s">
        <v>247</v>
      </c>
      <c r="C8">
        <f>MAX(Data!B:B)-MIN(Data!B:B)</f>
        <v>353</v>
      </c>
    </row>
    <row r="9" spans="1:6" x14ac:dyDescent="0.3">
      <c r="A9">
        <v>8</v>
      </c>
      <c r="B9" t="s">
        <v>248</v>
      </c>
      <c r="C9" cm="1">
        <f t="array" ref="C9">SUM(SUMIFS(Data!I:I,Data!E:E,{"Electronics","Home"},Data!J:J,"UPI"))</f>
        <v>211938.96000000002</v>
      </c>
    </row>
    <row r="10" spans="1:6" x14ac:dyDescent="0.3">
      <c r="A10">
        <v>9</v>
      </c>
      <c r="B10" t="s">
        <v>249</v>
      </c>
      <c r="C10">
        <f>COUNTIF(Data!C2:C151,"* *")</f>
        <v>150</v>
      </c>
    </row>
    <row r="11" spans="1:6" x14ac:dyDescent="0.3">
      <c r="A11">
        <v>10</v>
      </c>
      <c r="B11" t="s">
        <v>250</v>
      </c>
      <c r="C11">
        <f>SUMIFS(Data!I2:I151,Data!B2:B151,"&gt;="&amp;MIN(Data!B2:B151),Data!B2:B151,"&lt;"&amp;MIN(Data!B2:B151)+7)</f>
        <v>57778.84</v>
      </c>
    </row>
    <row r="12" spans="1:6" x14ac:dyDescent="0.3">
      <c r="A12">
        <v>11</v>
      </c>
      <c r="B12" t="s">
        <v>251</v>
      </c>
      <c r="C12" t="s">
        <v>40</v>
      </c>
      <c r="E12" t="str" cm="1">
        <f t="array" ref="E12:E18">_xlfn.UNIQUE(Data!D:D)</f>
        <v>Region</v>
      </c>
    </row>
    <row r="13" spans="1:6" x14ac:dyDescent="0.3">
      <c r="A13">
        <v>12</v>
      </c>
      <c r="B13" t="s">
        <v>252</v>
      </c>
      <c r="C13">
        <f>COUNTIF(Data!G2:G151,"&gt;"&amp;AVERAGE(Data!G2:G151))</f>
        <v>74</v>
      </c>
      <c r="E13" t="str">
        <v>West</v>
      </c>
      <c r="F13">
        <f>SUMIF(Data!D:D,Formula_Practice!E13,Data!I:I)</f>
        <v>339144.83999999997</v>
      </c>
    </row>
    <row r="14" spans="1:6" x14ac:dyDescent="0.3">
      <c r="A14">
        <v>13</v>
      </c>
      <c r="B14" t="s">
        <v>253</v>
      </c>
      <c r="C14">
        <f>SUMIF(Data!H2:H151,"&gt;"&amp;AVERAGE(Data!H2:H151),Data!I2:I151)</f>
        <v>1282768.8099999998</v>
      </c>
      <c r="E14" t="str">
        <v>Central</v>
      </c>
      <c r="F14">
        <f>SUMIF(Data!D:D,Formula_Practice!E14,Data!I:I)</f>
        <v>349557.73999999987</v>
      </c>
    </row>
    <row r="15" spans="1:6" x14ac:dyDescent="0.3">
      <c r="A15">
        <v>14</v>
      </c>
      <c r="B15" t="s">
        <v>254</v>
      </c>
      <c r="C15" cm="1">
        <f t="array" ref="C15">SUMPRODUCT((Data!E2:E151="Grocery")+(Data!E2:E151="Stationery"))</f>
        <v>61</v>
      </c>
      <c r="E15" t="str">
        <v>East</v>
      </c>
      <c r="F15">
        <f>SUMIF(Data!D:D,Formula_Practice!E15,Data!I:I)</f>
        <v>306789.66999999993</v>
      </c>
    </row>
    <row r="16" spans="1:6" x14ac:dyDescent="0.3">
      <c r="A16">
        <v>15</v>
      </c>
      <c r="B16" t="s">
        <v>255</v>
      </c>
      <c r="C16">
        <f>LEN(Data!C2)</f>
        <v>12</v>
      </c>
      <c r="E16" t="str">
        <v>North</v>
      </c>
      <c r="F16">
        <f>SUMIF(Data!D:D,Formula_Practice!E16,Data!I:I)</f>
        <v>362048.18999999994</v>
      </c>
    </row>
    <row r="17" spans="1:6" x14ac:dyDescent="0.3">
      <c r="A17">
        <v>16</v>
      </c>
      <c r="B17" t="s">
        <v>256</v>
      </c>
      <c r="C17" t="str">
        <f>_xlfn.TEXTJOIN(" | ",TRUE,Data!A2,Data!D2,Data!E2)</f>
        <v>ORD5001 | West | Grocery</v>
      </c>
      <c r="E17" t="str">
        <v>South</v>
      </c>
      <c r="F17">
        <f>SUMIF(Data!D:D,Formula_Practice!E17,Data!I:I)</f>
        <v>491254.65</v>
      </c>
    </row>
    <row r="18" spans="1:6" x14ac:dyDescent="0.3">
      <c r="A18">
        <v>17</v>
      </c>
      <c r="B18" t="s">
        <v>257</v>
      </c>
      <c r="C18" cm="1">
        <f t="array" ref="C18">COUNTA(_xlfn.UNIQUE(_xlfn._xlws.FILTER(Data!F2:F151,Data!E2:E151="Home","Empty")))</f>
        <v>5</v>
      </c>
      <c r="E18">
        <v>0</v>
      </c>
    </row>
    <row r="19" spans="1:6" x14ac:dyDescent="0.3">
      <c r="A19">
        <v>18</v>
      </c>
      <c r="B19" t="s">
        <v>258</v>
      </c>
      <c r="C19" s="5">
        <f>INDEX(Data!B:B,MATCH(MODE(Data!B:B),Data!B:B,0))</f>
        <v>45858</v>
      </c>
      <c r="D19">
        <f>COUNTIF(Data!B:B,Formula_Practice!C19)</f>
        <v>6</v>
      </c>
    </row>
    <row r="20" spans="1:6" x14ac:dyDescent="0.3">
      <c r="A20">
        <v>19</v>
      </c>
      <c r="B20" t="s">
        <v>259</v>
      </c>
      <c r="C20" t="str">
        <f>IF(SUM(Data!I:I)&gt;2000000,"Yes","No")</f>
        <v>No</v>
      </c>
    </row>
    <row r="21" spans="1:6" x14ac:dyDescent="0.3">
      <c r="A21">
        <v>20</v>
      </c>
      <c r="B21" t="s">
        <v>260</v>
      </c>
      <c r="C21" s="6" cm="1">
        <f t="array" ref="C21">SUMPRODUCT((Data!J2:J151&lt;&gt;"Credit Card")*(Data!J2:J151&lt;&gt;"Debit Card"))/COUNTA(Data!A2:A151)*100</f>
        <v>56.666666666666664</v>
      </c>
    </row>
    <row r="22" spans="1:6" x14ac:dyDescent="0.3">
      <c r="A22">
        <v>21</v>
      </c>
      <c r="B22" t="s">
        <v>261</v>
      </c>
      <c r="C22" cm="1">
        <f t="array" ref="C22">SUMPRODUCT((Data!D2:D151="West")*(Data!G2:G151&lt;=5)*(Data!I2:I151))</f>
        <v>143243.85</v>
      </c>
    </row>
    <row r="23" spans="1:6" x14ac:dyDescent="0.3">
      <c r="A23">
        <v>22</v>
      </c>
      <c r="B23" t="s">
        <v>262</v>
      </c>
      <c r="C23" s="7">
        <f>COUNTA(Data!A2:A151)/COUNTA(_xlfn.UNIQUE(Data!C2:C151))</f>
        <v>3.9473684210526314</v>
      </c>
    </row>
    <row r="24" spans="1:6" x14ac:dyDescent="0.3">
      <c r="A24">
        <v>23</v>
      </c>
      <c r="B24" t="s">
        <v>263</v>
      </c>
      <c r="C24">
        <f>SUMIF(Data!C:C,Formula_Practice!D24,Data!I:I)</f>
        <v>165051.50999999998</v>
      </c>
      <c r="D24" t="str" cm="1">
        <f t="array" ref="D24">INDEX(Data!C2:C151,MATCH(MAX(COUNTIF(Data!C2:C151,Data!C2:C151)),COUNTIF(Data!C2:C151,Data!C2:C151),0))</f>
        <v>Ira Verma</v>
      </c>
    </row>
    <row r="25" spans="1:6" x14ac:dyDescent="0.3">
      <c r="A25">
        <v>24</v>
      </c>
      <c r="B25" t="s">
        <v>264</v>
      </c>
      <c r="C25">
        <f>COUNTIF(Data!C:C,"*a")</f>
        <v>73</v>
      </c>
    </row>
    <row r="26" spans="1:6" x14ac:dyDescent="0.3">
      <c r="A26">
        <v>25</v>
      </c>
      <c r="B26" t="s">
        <v>265</v>
      </c>
      <c r="C26" t="s">
        <v>18</v>
      </c>
      <c r="E26" t="str" cm="1">
        <f t="array" ref="E26:E32">_xlfn.UNIQUE(Data!E:E)</f>
        <v>Category</v>
      </c>
    </row>
    <row r="27" spans="1:6" x14ac:dyDescent="0.3">
      <c r="E27" t="str">
        <v>Grocery</v>
      </c>
      <c r="F27">
        <f>AVERAGEIF(Data!E:E,Formula_Practice!E27,Data!H:H)</f>
        <v>2443.1020833333332</v>
      </c>
    </row>
    <row r="28" spans="1:6" x14ac:dyDescent="0.3">
      <c r="B28" s="3" t="s">
        <v>266</v>
      </c>
      <c r="E28" t="str">
        <v>Apparel</v>
      </c>
      <c r="F28">
        <f>AVERAGEIF(Data!E:E,Formula_Practice!E28,Data!H:H)</f>
        <v>2044.8417241379307</v>
      </c>
    </row>
    <row r="29" spans="1:6" x14ac:dyDescent="0.3">
      <c r="E29" t="str">
        <v>Electronics</v>
      </c>
      <c r="F29">
        <f>AVERAGEIF(Data!E:E,Formula_Practice!E29,Data!H:H)</f>
        <v>2609.5907692307687</v>
      </c>
    </row>
    <row r="30" spans="1:6" x14ac:dyDescent="0.3">
      <c r="E30" t="str">
        <v>Home</v>
      </c>
      <c r="F30">
        <f>AVERAGEIF(Data!E:E,Formula_Practice!E30,Data!H:H)</f>
        <v>2061.7432352941178</v>
      </c>
    </row>
    <row r="31" spans="1:6" x14ac:dyDescent="0.3">
      <c r="E31" t="str">
        <v>Stationery</v>
      </c>
      <c r="F31">
        <f>AVERAGEIF(Data!E:E,Formula_Practice!E31,Data!H:H)</f>
        <v>2861.6729729729736</v>
      </c>
    </row>
    <row r="32" spans="1:6" x14ac:dyDescent="0.3">
      <c r="E32">
        <v>0</v>
      </c>
      <c r="F32" t="e">
        <f>AVERAGEIF(Data!E:E,Formula_Practice!E32,Data!H:H)</f>
        <v>#DIV/0!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2026-07-05T04:08:03Z</dcterms:created>
  <dcterms:modified xsi:type="dcterms:W3CDTF">2026-07-05T06:31:40Z</dcterms:modified>
  <dc:language>en-US</dc:language>
</cp:coreProperties>
</file>