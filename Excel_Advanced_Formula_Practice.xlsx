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A0F45F8-A564-47D2-B530-065C227B06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les_Data" sheetId="1" r:id="rId1"/>
    <sheet name="Advanced_Formula_Ques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" i="1"/>
  <c r="G51" i="2"/>
  <c r="CI3" i="1" a="1"/>
  <c r="CI3" i="1"/>
  <c r="CI4" i="1" a="1"/>
  <c r="CI4" i="1"/>
  <c r="CI5" i="1" a="1"/>
  <c r="CI5" i="1"/>
  <c r="CI6" i="1" a="1"/>
  <c r="CI6" i="1"/>
  <c r="CI7" i="1" a="1"/>
  <c r="CI7" i="1"/>
  <c r="CI8" i="1" a="1"/>
  <c r="CI8" i="1"/>
  <c r="CI9" i="1" a="1"/>
  <c r="CI9" i="1"/>
  <c r="CI10" i="1" a="1"/>
  <c r="CI10" i="1"/>
  <c r="CI11" i="1" a="1"/>
  <c r="CI11" i="1"/>
  <c r="CI12" i="1" a="1"/>
  <c r="CI12" i="1"/>
  <c r="CI13" i="1" a="1"/>
  <c r="CI13" i="1"/>
  <c r="CI14" i="1" a="1"/>
  <c r="CI14" i="1"/>
  <c r="CI15" i="1" a="1"/>
  <c r="CI15" i="1"/>
  <c r="CI16" i="1" a="1"/>
  <c r="CI16" i="1"/>
  <c r="CI17" i="1" a="1"/>
  <c r="CI17" i="1"/>
  <c r="CI18" i="1" a="1"/>
  <c r="CI18" i="1"/>
  <c r="CI19" i="1" a="1"/>
  <c r="CI19" i="1"/>
  <c r="CI20" i="1" a="1"/>
  <c r="CI20" i="1"/>
  <c r="CI21" i="1" a="1"/>
  <c r="CI21" i="1"/>
  <c r="CI22" i="1" a="1"/>
  <c r="CI22" i="1"/>
  <c r="CI23" i="1" a="1"/>
  <c r="CI23" i="1"/>
  <c r="CI24" i="1" a="1"/>
  <c r="CI24" i="1"/>
  <c r="CI25" i="1" a="1"/>
  <c r="CI25" i="1"/>
  <c r="CI26" i="1" a="1"/>
  <c r="CI26" i="1"/>
  <c r="CI27" i="1" a="1"/>
  <c r="CI27" i="1"/>
  <c r="CI28" i="1" a="1"/>
  <c r="CI28" i="1"/>
  <c r="CI29" i="1" a="1"/>
  <c r="CI29" i="1"/>
  <c r="CI30" i="1" a="1"/>
  <c r="CI30" i="1"/>
  <c r="CI31" i="1" a="1"/>
  <c r="CI31" i="1"/>
  <c r="CI32" i="1" a="1"/>
  <c r="CI32" i="1"/>
  <c r="CI33" i="1" a="1"/>
  <c r="CI33" i="1"/>
  <c r="CI34" i="1" a="1"/>
  <c r="CI34" i="1"/>
  <c r="CI35" i="1" a="1"/>
  <c r="CI35" i="1"/>
  <c r="CI36" i="1" a="1"/>
  <c r="CI36" i="1"/>
  <c r="CI37" i="1" a="1"/>
  <c r="CI37" i="1"/>
  <c r="CI38" i="1" a="1"/>
  <c r="CI38" i="1"/>
  <c r="CI39" i="1" a="1"/>
  <c r="CI39" i="1"/>
  <c r="CI40" i="1" a="1"/>
  <c r="CI40" i="1"/>
  <c r="CI41" i="1" a="1"/>
  <c r="CI41" i="1"/>
  <c r="CI42" i="1" a="1"/>
  <c r="CI42" i="1"/>
  <c r="CI43" i="1" a="1"/>
  <c r="CI43" i="1"/>
  <c r="CI44" i="1" a="1"/>
  <c r="CI44" i="1"/>
  <c r="CI45" i="1" a="1"/>
  <c r="CI45" i="1"/>
  <c r="CI46" i="1" a="1"/>
  <c r="CI46" i="1"/>
  <c r="CI47" i="1" a="1"/>
  <c r="CI47" i="1"/>
  <c r="CI48" i="1" a="1"/>
  <c r="CI48" i="1"/>
  <c r="CI49" i="1" a="1"/>
  <c r="CI49" i="1"/>
  <c r="CI50" i="1" a="1"/>
  <c r="CI50" i="1"/>
  <c r="CI51" i="1" a="1"/>
  <c r="CI51" i="1"/>
  <c r="CI52" i="1" a="1"/>
  <c r="CI52" i="1"/>
  <c r="CI53" i="1" a="1"/>
  <c r="CI53" i="1"/>
  <c r="CI54" i="1" a="1"/>
  <c r="CI54" i="1"/>
  <c r="CI55" i="1" a="1"/>
  <c r="CI55" i="1"/>
  <c r="CI56" i="1" a="1"/>
  <c r="CI56" i="1"/>
  <c r="CI57" i="1" a="1"/>
  <c r="CI57" i="1"/>
  <c r="CI58" i="1" a="1"/>
  <c r="CI58" i="1"/>
  <c r="CI59" i="1" a="1"/>
  <c r="CI59" i="1"/>
  <c r="CI60" i="1" a="1"/>
  <c r="CI60" i="1"/>
  <c r="CI61" i="1" a="1"/>
  <c r="CI61" i="1"/>
  <c r="CI62" i="1" a="1"/>
  <c r="CI62" i="1"/>
  <c r="CI63" i="1" a="1"/>
  <c r="CI63" i="1"/>
  <c r="CI64" i="1" a="1"/>
  <c r="CI64" i="1"/>
  <c r="CI65" i="1" a="1"/>
  <c r="CI65" i="1"/>
  <c r="CI66" i="1" a="1"/>
  <c r="CI66" i="1"/>
  <c r="CI67" i="1" a="1"/>
  <c r="CI67" i="1"/>
  <c r="CI68" i="1" a="1"/>
  <c r="CI68" i="1"/>
  <c r="CI69" i="1" a="1"/>
  <c r="CI69" i="1"/>
  <c r="CI70" i="1" a="1"/>
  <c r="CI70" i="1"/>
  <c r="CI71" i="1" a="1"/>
  <c r="CI71" i="1"/>
  <c r="CI72" i="1" a="1"/>
  <c r="CI72" i="1"/>
  <c r="CI73" i="1" a="1"/>
  <c r="CI73" i="1"/>
  <c r="CI74" i="1" a="1"/>
  <c r="CI74" i="1"/>
  <c r="CI75" i="1" a="1"/>
  <c r="CI75" i="1"/>
  <c r="CI76" i="1" a="1"/>
  <c r="CI76" i="1"/>
  <c r="CI77" i="1" a="1"/>
  <c r="CI77" i="1"/>
  <c r="CI78" i="1" a="1"/>
  <c r="CI78" i="1"/>
  <c r="CI79" i="1" a="1"/>
  <c r="CI79" i="1"/>
  <c r="CI80" i="1" a="1"/>
  <c r="CI80" i="1"/>
  <c r="CI81" i="1" a="1"/>
  <c r="CI81" i="1"/>
  <c r="CI82" i="1" a="1"/>
  <c r="CI82" i="1"/>
  <c r="CI83" i="1" a="1"/>
  <c r="CI83" i="1"/>
  <c r="CI84" i="1" a="1"/>
  <c r="CI84" i="1"/>
  <c r="CI85" i="1" a="1"/>
  <c r="CI85" i="1"/>
  <c r="CI86" i="1" a="1"/>
  <c r="CI86" i="1"/>
  <c r="CI87" i="1" a="1"/>
  <c r="CI87" i="1"/>
  <c r="CI88" i="1" a="1"/>
  <c r="CI88" i="1"/>
  <c r="CI89" i="1" a="1"/>
  <c r="CI89" i="1"/>
  <c r="CI90" i="1" a="1"/>
  <c r="CI90" i="1"/>
  <c r="CI91" i="1" a="1"/>
  <c r="CI91" i="1"/>
  <c r="CI92" i="1" a="1"/>
  <c r="CI92" i="1"/>
  <c r="CI93" i="1" a="1"/>
  <c r="CI93" i="1"/>
  <c r="CI94" i="1" a="1"/>
  <c r="CI94" i="1"/>
  <c r="CI95" i="1" a="1"/>
  <c r="CI95" i="1"/>
  <c r="CI96" i="1" a="1"/>
  <c r="CI96" i="1"/>
  <c r="CI97" i="1" a="1"/>
  <c r="CI97" i="1"/>
  <c r="CI98" i="1" a="1"/>
  <c r="CI98" i="1"/>
  <c r="CI99" i="1" a="1"/>
  <c r="CI99" i="1"/>
  <c r="CI100" i="1" a="1"/>
  <c r="CI100" i="1"/>
  <c r="CI101" i="1" a="1"/>
  <c r="CI101" i="1"/>
  <c r="CI102" i="1" a="1"/>
  <c r="CI102" i="1"/>
  <c r="CI103" i="1" a="1"/>
  <c r="CI103" i="1"/>
  <c r="CI104" i="1" a="1"/>
  <c r="CI104" i="1"/>
  <c r="CI105" i="1" a="1"/>
  <c r="CI105" i="1"/>
  <c r="CI106" i="1" a="1"/>
  <c r="CI106" i="1"/>
  <c r="CI107" i="1" a="1"/>
  <c r="CI107" i="1"/>
  <c r="CI108" i="1" a="1"/>
  <c r="CI108" i="1"/>
  <c r="CI109" i="1" a="1"/>
  <c r="CI109" i="1"/>
  <c r="CI110" i="1" a="1"/>
  <c r="CI110" i="1"/>
  <c r="CI111" i="1" a="1"/>
  <c r="CI111" i="1"/>
  <c r="CI112" i="1" a="1"/>
  <c r="CI112" i="1"/>
  <c r="CI113" i="1" a="1"/>
  <c r="CI113" i="1"/>
  <c r="CI114" i="1" a="1"/>
  <c r="CI114" i="1"/>
  <c r="CI115" i="1" a="1"/>
  <c r="CI115" i="1"/>
  <c r="CI116" i="1" a="1"/>
  <c r="CI116" i="1"/>
  <c r="CI117" i="1" a="1"/>
  <c r="CI117" i="1"/>
  <c r="CI118" i="1" a="1"/>
  <c r="CI118" i="1"/>
  <c r="CI119" i="1" a="1"/>
  <c r="CI119" i="1"/>
  <c r="CI120" i="1" a="1"/>
  <c r="CI120" i="1"/>
  <c r="CI121" i="1" a="1"/>
  <c r="CI121" i="1"/>
  <c r="CI122" i="1" a="1"/>
  <c r="CI122" i="1"/>
  <c r="CI123" i="1" a="1"/>
  <c r="CI123" i="1"/>
  <c r="CI124" i="1" a="1"/>
  <c r="CI124" i="1"/>
  <c r="CI125" i="1" a="1"/>
  <c r="CI125" i="1"/>
  <c r="CI126" i="1" a="1"/>
  <c r="CI126" i="1"/>
  <c r="CI127" i="1" a="1"/>
  <c r="CI127" i="1"/>
  <c r="CI128" i="1" a="1"/>
  <c r="CI128" i="1"/>
  <c r="CI129" i="1" a="1"/>
  <c r="CI129" i="1"/>
  <c r="CI130" i="1" a="1"/>
  <c r="CI130" i="1"/>
  <c r="CI131" i="1" a="1"/>
  <c r="CI131" i="1"/>
  <c r="CI132" i="1" a="1"/>
  <c r="CI132" i="1"/>
  <c r="CI133" i="1" a="1"/>
  <c r="CI133" i="1"/>
  <c r="CI134" i="1" a="1"/>
  <c r="CI134" i="1"/>
  <c r="CI135" i="1" a="1"/>
  <c r="CI135" i="1"/>
  <c r="CI136" i="1" a="1"/>
  <c r="CI136" i="1"/>
  <c r="CI137" i="1" a="1"/>
  <c r="CI137" i="1"/>
  <c r="CI138" i="1" a="1"/>
  <c r="CI138" i="1"/>
  <c r="CI139" i="1" a="1"/>
  <c r="CI139" i="1"/>
  <c r="CI140" i="1" a="1"/>
  <c r="CI140" i="1"/>
  <c r="CI141" i="1" a="1"/>
  <c r="CI141" i="1"/>
  <c r="CI142" i="1" a="1"/>
  <c r="CI142" i="1"/>
  <c r="CI143" i="1" a="1"/>
  <c r="CI143" i="1"/>
  <c r="CI144" i="1" a="1"/>
  <c r="CI144" i="1"/>
  <c r="CI145" i="1" a="1"/>
  <c r="CI145" i="1"/>
  <c r="CI146" i="1" a="1"/>
  <c r="CI146" i="1"/>
  <c r="CI147" i="1" a="1"/>
  <c r="CI147" i="1"/>
  <c r="CI148" i="1" a="1"/>
  <c r="CI148" i="1"/>
  <c r="CI149" i="1" a="1"/>
  <c r="CI149" i="1"/>
  <c r="CI150" i="1" a="1"/>
  <c r="CI150" i="1"/>
  <c r="CI151" i="1" a="1"/>
  <c r="CI151" i="1"/>
  <c r="CI152" i="1" a="1"/>
  <c r="CI152" i="1"/>
  <c r="CI153" i="1" a="1"/>
  <c r="CI153" i="1"/>
  <c r="CI154" i="1" a="1"/>
  <c r="CI154" i="1"/>
  <c r="CI155" i="1" a="1"/>
  <c r="CI155" i="1"/>
  <c r="CI156" i="1" a="1"/>
  <c r="CI156" i="1"/>
  <c r="CI157" i="1" a="1"/>
  <c r="CI157" i="1"/>
  <c r="CI158" i="1" a="1"/>
  <c r="CI158" i="1"/>
  <c r="CI159" i="1" a="1"/>
  <c r="CI159" i="1"/>
  <c r="CI160" i="1" a="1"/>
  <c r="CI160" i="1"/>
  <c r="CI161" i="1" a="1"/>
  <c r="CI161" i="1"/>
  <c r="CI162" i="1" a="1"/>
  <c r="CI162" i="1"/>
  <c r="CI163" i="1" a="1"/>
  <c r="CI163" i="1"/>
  <c r="CI164" i="1" a="1"/>
  <c r="CI164" i="1"/>
  <c r="CI165" i="1" a="1"/>
  <c r="CI165" i="1"/>
  <c r="CI166" i="1" a="1"/>
  <c r="CI166" i="1"/>
  <c r="CI167" i="1" a="1"/>
  <c r="CI167" i="1"/>
  <c r="CI168" i="1" a="1"/>
  <c r="CI168" i="1"/>
  <c r="CI169" i="1" a="1"/>
  <c r="CI169" i="1"/>
  <c r="CI170" i="1" a="1"/>
  <c r="CI170" i="1"/>
  <c r="CI171" i="1" a="1"/>
  <c r="CI171" i="1"/>
  <c r="CI172" i="1" a="1"/>
  <c r="CI172" i="1"/>
  <c r="CI173" i="1" a="1"/>
  <c r="CI173" i="1"/>
  <c r="CI174" i="1" a="1"/>
  <c r="CI174" i="1"/>
  <c r="CI175" i="1" a="1"/>
  <c r="CI175" i="1"/>
  <c r="CI176" i="1" a="1"/>
  <c r="CI176" i="1"/>
  <c r="CI177" i="1" a="1"/>
  <c r="CI177" i="1"/>
  <c r="CI178" i="1" a="1"/>
  <c r="CI178" i="1"/>
  <c r="CI179" i="1" a="1"/>
  <c r="CI179" i="1"/>
  <c r="CI180" i="1" a="1"/>
  <c r="CI180" i="1"/>
  <c r="CI181" i="1" a="1"/>
  <c r="CI181" i="1"/>
  <c r="CI182" i="1" a="1"/>
  <c r="CI182" i="1"/>
  <c r="CI183" i="1" a="1"/>
  <c r="CI183" i="1"/>
  <c r="CI184" i="1" a="1"/>
  <c r="CI184" i="1"/>
  <c r="CI185" i="1" a="1"/>
  <c r="CI185" i="1"/>
  <c r="CI186" i="1" a="1"/>
  <c r="CI186" i="1"/>
  <c r="CI187" i="1" a="1"/>
  <c r="CI187" i="1"/>
  <c r="CI188" i="1" a="1"/>
  <c r="CI188" i="1"/>
  <c r="CI189" i="1" a="1"/>
  <c r="CI189" i="1"/>
  <c r="CI190" i="1" a="1"/>
  <c r="CI190" i="1"/>
  <c r="CI191" i="1" a="1"/>
  <c r="CI191" i="1"/>
  <c r="CI192" i="1" a="1"/>
  <c r="CI192" i="1"/>
  <c r="CI193" i="1" a="1"/>
  <c r="CI193" i="1"/>
  <c r="CI194" i="1" a="1"/>
  <c r="CI194" i="1"/>
  <c r="CI195" i="1" a="1"/>
  <c r="CI195" i="1"/>
  <c r="CI196" i="1" a="1"/>
  <c r="CI196" i="1"/>
  <c r="CI197" i="1" a="1"/>
  <c r="CI197" i="1"/>
  <c r="CI198" i="1" a="1"/>
  <c r="CI198" i="1"/>
  <c r="CI199" i="1" a="1"/>
  <c r="CI199" i="1"/>
  <c r="CI200" i="1" a="1"/>
  <c r="CI200" i="1"/>
  <c r="CI201" i="1" a="1"/>
  <c r="CI201" i="1"/>
  <c r="CI202" i="1" a="1"/>
  <c r="CI202" i="1"/>
  <c r="CI2" i="1" a="1"/>
  <c r="CI2" i="1" s="1"/>
  <c r="CH3" i="1" a="1"/>
  <c r="CH3" i="1" s="1"/>
  <c r="CH4" i="1" a="1"/>
  <c r="CH4" i="1"/>
  <c r="CH5" i="1" a="1"/>
  <c r="CH5" i="1" s="1"/>
  <c r="CH6" i="1" a="1"/>
  <c r="CH6" i="1"/>
  <c r="CH7" i="1" a="1"/>
  <c r="CH7" i="1" s="1"/>
  <c r="CH8" i="1" a="1"/>
  <c r="CH8" i="1"/>
  <c r="CH9" i="1" a="1"/>
  <c r="CH9" i="1" s="1"/>
  <c r="CH10" i="1" a="1"/>
  <c r="CH10" i="1"/>
  <c r="CH11" i="1" a="1"/>
  <c r="CH11" i="1" s="1"/>
  <c r="CH12" i="1" a="1"/>
  <c r="CH12" i="1" s="1"/>
  <c r="CH13" i="1" a="1"/>
  <c r="CH13" i="1" s="1"/>
  <c r="CH14" i="1" a="1"/>
  <c r="CH14" i="1" s="1"/>
  <c r="CH15" i="1" a="1"/>
  <c r="CH15" i="1" s="1"/>
  <c r="CH16" i="1" a="1"/>
  <c r="CH16" i="1" s="1"/>
  <c r="CH17" i="1" a="1"/>
  <c r="CH17" i="1" s="1"/>
  <c r="CH18" i="1" a="1"/>
  <c r="CH18" i="1"/>
  <c r="CH19" i="1" a="1"/>
  <c r="CH19" i="1" s="1"/>
  <c r="CH20" i="1" a="1"/>
  <c r="CH20" i="1" s="1"/>
  <c r="CH21" i="1" a="1"/>
  <c r="CH21" i="1" s="1"/>
  <c r="CH22" i="1" a="1"/>
  <c r="CH22" i="1" s="1"/>
  <c r="CH23" i="1" a="1"/>
  <c r="CH23" i="1" s="1"/>
  <c r="CH24" i="1" a="1"/>
  <c r="CH24" i="1" s="1"/>
  <c r="CH25" i="1" a="1"/>
  <c r="CH25" i="1" s="1"/>
  <c r="CH26" i="1" a="1"/>
  <c r="CH26" i="1"/>
  <c r="CH27" i="1" a="1"/>
  <c r="CH27" i="1" s="1"/>
  <c r="CH28" i="1" a="1"/>
  <c r="CH28" i="1" s="1"/>
  <c r="CH29" i="1" a="1"/>
  <c r="CH29" i="1" s="1"/>
  <c r="CH30" i="1" a="1"/>
  <c r="CH30" i="1" s="1"/>
  <c r="CH31" i="1" a="1"/>
  <c r="CH31" i="1" s="1"/>
  <c r="CH32" i="1" a="1"/>
  <c r="CH32" i="1" s="1"/>
  <c r="CH33" i="1" a="1"/>
  <c r="CH33" i="1" s="1"/>
  <c r="CH34" i="1" a="1"/>
  <c r="CH34" i="1"/>
  <c r="CH35" i="1" a="1"/>
  <c r="CH35" i="1" s="1"/>
  <c r="CH36" i="1" a="1"/>
  <c r="CH36" i="1" s="1"/>
  <c r="CH37" i="1" a="1"/>
  <c r="CH37" i="1" s="1"/>
  <c r="CH38" i="1" a="1"/>
  <c r="CH38" i="1" s="1"/>
  <c r="CH39" i="1" a="1"/>
  <c r="CH39" i="1" s="1"/>
  <c r="CH40" i="1" a="1"/>
  <c r="CH40" i="1" s="1"/>
  <c r="CH41" i="1" a="1"/>
  <c r="CH41" i="1" s="1"/>
  <c r="CH42" i="1" a="1"/>
  <c r="CH42" i="1"/>
  <c r="CH43" i="1" a="1"/>
  <c r="CH43" i="1" s="1"/>
  <c r="CH44" i="1" a="1"/>
  <c r="CH44" i="1" s="1"/>
  <c r="CH45" i="1" a="1"/>
  <c r="CH45" i="1" s="1"/>
  <c r="CH46" i="1" a="1"/>
  <c r="CH46" i="1" s="1"/>
  <c r="CH47" i="1" a="1"/>
  <c r="CH47" i="1" s="1"/>
  <c r="CH48" i="1" a="1"/>
  <c r="CH48" i="1" s="1"/>
  <c r="CH49" i="1" a="1"/>
  <c r="CH49" i="1" s="1"/>
  <c r="CH50" i="1" a="1"/>
  <c r="CH50" i="1"/>
  <c r="CH51" i="1" a="1"/>
  <c r="CH51" i="1" s="1"/>
  <c r="CH52" i="1" a="1"/>
  <c r="CH52" i="1" s="1"/>
  <c r="CH53" i="1" a="1"/>
  <c r="CH53" i="1" s="1"/>
  <c r="CH54" i="1" a="1"/>
  <c r="CH54" i="1" s="1"/>
  <c r="CH55" i="1" a="1"/>
  <c r="CH55" i="1" s="1"/>
  <c r="CH56" i="1" a="1"/>
  <c r="CH56" i="1" s="1"/>
  <c r="CH57" i="1" a="1"/>
  <c r="CH57" i="1" s="1"/>
  <c r="CH58" i="1" a="1"/>
  <c r="CH58" i="1"/>
  <c r="CH59" i="1" a="1"/>
  <c r="CH59" i="1" s="1"/>
  <c r="CH60" i="1" a="1"/>
  <c r="CH60" i="1" s="1"/>
  <c r="CH61" i="1" a="1"/>
  <c r="CH61" i="1" s="1"/>
  <c r="CH62" i="1" a="1"/>
  <c r="CH62" i="1" s="1"/>
  <c r="CH63" i="1" a="1"/>
  <c r="CH63" i="1" s="1"/>
  <c r="CH64" i="1" a="1"/>
  <c r="CH64" i="1" s="1"/>
  <c r="CH65" i="1" a="1"/>
  <c r="CH65" i="1" s="1"/>
  <c r="CH66" i="1" a="1"/>
  <c r="CH66" i="1"/>
  <c r="CH67" i="1" a="1"/>
  <c r="CH67" i="1" s="1"/>
  <c r="CH68" i="1" a="1"/>
  <c r="CH68" i="1" s="1"/>
  <c r="CH69" i="1" a="1"/>
  <c r="CH69" i="1" s="1"/>
  <c r="CH70" i="1" a="1"/>
  <c r="CH70" i="1" s="1"/>
  <c r="CH71" i="1" a="1"/>
  <c r="CH71" i="1" s="1"/>
  <c r="CH72" i="1" a="1"/>
  <c r="CH72" i="1" s="1"/>
  <c r="CH73" i="1" a="1"/>
  <c r="CH73" i="1" s="1"/>
  <c r="CH74" i="1" a="1"/>
  <c r="CH74" i="1"/>
  <c r="CH75" i="1" a="1"/>
  <c r="CH75" i="1" s="1"/>
  <c r="CH76" i="1" a="1"/>
  <c r="CH76" i="1" s="1"/>
  <c r="CH77" i="1" a="1"/>
  <c r="CH77" i="1" s="1"/>
  <c r="CH78" i="1" a="1"/>
  <c r="CH78" i="1" s="1"/>
  <c r="CH79" i="1" a="1"/>
  <c r="CH79" i="1" s="1"/>
  <c r="CH80" i="1" a="1"/>
  <c r="CH80" i="1" s="1"/>
  <c r="CH81" i="1" a="1"/>
  <c r="CH81" i="1" s="1"/>
  <c r="CH82" i="1" a="1"/>
  <c r="CH82" i="1"/>
  <c r="CH83" i="1" a="1"/>
  <c r="CH83" i="1" s="1"/>
  <c r="CH84" i="1" a="1"/>
  <c r="CH84" i="1" s="1"/>
  <c r="CH85" i="1" a="1"/>
  <c r="CH85" i="1" s="1"/>
  <c r="CH86" i="1" a="1"/>
  <c r="CH86" i="1" s="1"/>
  <c r="CH87" i="1" a="1"/>
  <c r="CH87" i="1" s="1"/>
  <c r="CH88" i="1" a="1"/>
  <c r="CH88" i="1" s="1"/>
  <c r="CH89" i="1" a="1"/>
  <c r="CH89" i="1" s="1"/>
  <c r="CH90" i="1" a="1"/>
  <c r="CH90" i="1"/>
  <c r="CH91" i="1" a="1"/>
  <c r="CH91" i="1" s="1"/>
  <c r="CH92" i="1" a="1"/>
  <c r="CH92" i="1" s="1"/>
  <c r="CH93" i="1" a="1"/>
  <c r="CH93" i="1" s="1"/>
  <c r="CH94" i="1" a="1"/>
  <c r="CH94" i="1" s="1"/>
  <c r="CH95" i="1" a="1"/>
  <c r="CH95" i="1" s="1"/>
  <c r="CH96" i="1" a="1"/>
  <c r="CH96" i="1" s="1"/>
  <c r="CH97" i="1" a="1"/>
  <c r="CH97" i="1" s="1"/>
  <c r="CH98" i="1" a="1"/>
  <c r="CH98" i="1"/>
  <c r="CH99" i="1" a="1"/>
  <c r="CH99" i="1" s="1"/>
  <c r="CH100" i="1" a="1"/>
  <c r="CH100" i="1" s="1"/>
  <c r="CH101" i="1" a="1"/>
  <c r="CH101" i="1" s="1"/>
  <c r="CH102" i="1" a="1"/>
  <c r="CH102" i="1" s="1"/>
  <c r="CH103" i="1" a="1"/>
  <c r="CH103" i="1" s="1"/>
  <c r="CH104" i="1" a="1"/>
  <c r="CH104" i="1" s="1"/>
  <c r="CH105" i="1" a="1"/>
  <c r="CH105" i="1" s="1"/>
  <c r="CH106" i="1" a="1"/>
  <c r="CH106" i="1"/>
  <c r="CH107" i="1" a="1"/>
  <c r="CH107" i="1" s="1"/>
  <c r="CH108" i="1" a="1"/>
  <c r="CH108" i="1" s="1"/>
  <c r="CH109" i="1" a="1"/>
  <c r="CH109" i="1" s="1"/>
  <c r="CH110" i="1" a="1"/>
  <c r="CH110" i="1" s="1"/>
  <c r="CH111" i="1" a="1"/>
  <c r="CH111" i="1" s="1"/>
  <c r="CH112" i="1" a="1"/>
  <c r="CH112" i="1" s="1"/>
  <c r="CH113" i="1" a="1"/>
  <c r="CH113" i="1" s="1"/>
  <c r="CH114" i="1" a="1"/>
  <c r="CH114" i="1"/>
  <c r="CH115" i="1" a="1"/>
  <c r="CH115" i="1" s="1"/>
  <c r="CH116" i="1" a="1"/>
  <c r="CH116" i="1" s="1"/>
  <c r="CH117" i="1" a="1"/>
  <c r="CH117" i="1" s="1"/>
  <c r="CH118" i="1" a="1"/>
  <c r="CH118" i="1" s="1"/>
  <c r="CH119" i="1" a="1"/>
  <c r="CH119" i="1" s="1"/>
  <c r="CH120" i="1" a="1"/>
  <c r="CH120" i="1" s="1"/>
  <c r="CH121" i="1" a="1"/>
  <c r="CH121" i="1" s="1"/>
  <c r="CH122" i="1" a="1"/>
  <c r="CH122" i="1"/>
  <c r="CH123" i="1" a="1"/>
  <c r="CH123" i="1" s="1"/>
  <c r="CH124" i="1" a="1"/>
  <c r="CH124" i="1" s="1"/>
  <c r="CH125" i="1" a="1"/>
  <c r="CH125" i="1" s="1"/>
  <c r="CH126" i="1" a="1"/>
  <c r="CH126" i="1" s="1"/>
  <c r="CH127" i="1" a="1"/>
  <c r="CH127" i="1" s="1"/>
  <c r="CH128" i="1" a="1"/>
  <c r="CH128" i="1" s="1"/>
  <c r="CH129" i="1" a="1"/>
  <c r="CH129" i="1" s="1"/>
  <c r="CH130" i="1" a="1"/>
  <c r="CH130" i="1"/>
  <c r="CH131" i="1" a="1"/>
  <c r="CH131" i="1" s="1"/>
  <c r="CH132" i="1" a="1"/>
  <c r="CH132" i="1" s="1"/>
  <c r="CH133" i="1" a="1"/>
  <c r="CH133" i="1" s="1"/>
  <c r="CH134" i="1" a="1"/>
  <c r="CH134" i="1" s="1"/>
  <c r="CH135" i="1" a="1"/>
  <c r="CH135" i="1" s="1"/>
  <c r="CH136" i="1" a="1"/>
  <c r="CH136" i="1" s="1"/>
  <c r="CH137" i="1" a="1"/>
  <c r="CH137" i="1" s="1"/>
  <c r="CH138" i="1" a="1"/>
  <c r="CH138" i="1"/>
  <c r="CH139" i="1" a="1"/>
  <c r="CH139" i="1" s="1"/>
  <c r="CH140" i="1" a="1"/>
  <c r="CH140" i="1"/>
  <c r="CH141" i="1" a="1"/>
  <c r="CH141" i="1" s="1"/>
  <c r="CH142" i="1" a="1"/>
  <c r="CH142" i="1" s="1"/>
  <c r="CH143" i="1" a="1"/>
  <c r="CH143" i="1" s="1"/>
  <c r="CH144" i="1" a="1"/>
  <c r="CH144" i="1" s="1"/>
  <c r="CH145" i="1" a="1"/>
  <c r="CH145" i="1" s="1"/>
  <c r="CH146" i="1" a="1"/>
  <c r="CH146" i="1"/>
  <c r="CH147" i="1" a="1"/>
  <c r="CH147" i="1" s="1"/>
  <c r="CH148" i="1" a="1"/>
  <c r="CH148" i="1" s="1"/>
  <c r="CH149" i="1" a="1"/>
  <c r="CH149" i="1" s="1"/>
  <c r="CH150" i="1" a="1"/>
  <c r="CH150" i="1" s="1"/>
  <c r="CH151" i="1" a="1"/>
  <c r="CH151" i="1" s="1"/>
  <c r="CH152" i="1" a="1"/>
  <c r="CH152" i="1" s="1"/>
  <c r="CH153" i="1" a="1"/>
  <c r="CH153" i="1" s="1"/>
  <c r="CH154" i="1" a="1"/>
  <c r="CH154" i="1"/>
  <c r="CH155" i="1" a="1"/>
  <c r="CH155" i="1" s="1"/>
  <c r="CH156" i="1" a="1"/>
  <c r="CH156" i="1" s="1"/>
  <c r="CH157" i="1" a="1"/>
  <c r="CH157" i="1" s="1"/>
  <c r="CH158" i="1" a="1"/>
  <c r="CH158" i="1" s="1"/>
  <c r="CH159" i="1" a="1"/>
  <c r="CH159" i="1" s="1"/>
  <c r="CH160" i="1" a="1"/>
  <c r="CH160" i="1" s="1"/>
  <c r="CH161" i="1" a="1"/>
  <c r="CH161" i="1" s="1"/>
  <c r="CH162" i="1" a="1"/>
  <c r="CH162" i="1"/>
  <c r="CH163" i="1" a="1"/>
  <c r="CH163" i="1" s="1"/>
  <c r="CH164" i="1" a="1"/>
  <c r="CH164" i="1" s="1"/>
  <c r="CH165" i="1" a="1"/>
  <c r="CH165" i="1" s="1"/>
  <c r="CH166" i="1" a="1"/>
  <c r="CH166" i="1" s="1"/>
  <c r="CH167" i="1" a="1"/>
  <c r="CH167" i="1" s="1"/>
  <c r="CH168" i="1" a="1"/>
  <c r="CH168" i="1" s="1"/>
  <c r="CH169" i="1" a="1"/>
  <c r="CH169" i="1" s="1"/>
  <c r="CH170" i="1" a="1"/>
  <c r="CH170" i="1"/>
  <c r="CH171" i="1" a="1"/>
  <c r="CH171" i="1" s="1"/>
  <c r="CH172" i="1" a="1"/>
  <c r="CH172" i="1" s="1"/>
  <c r="CH173" i="1" a="1"/>
  <c r="CH173" i="1" s="1"/>
  <c r="CH174" i="1" a="1"/>
  <c r="CH174" i="1" s="1"/>
  <c r="CH175" i="1" a="1"/>
  <c r="CH175" i="1" s="1"/>
  <c r="CH176" i="1" a="1"/>
  <c r="CH176" i="1" s="1"/>
  <c r="CH177" i="1" a="1"/>
  <c r="CH177" i="1" s="1"/>
  <c r="CH178" i="1" a="1"/>
  <c r="CH178" i="1" s="1"/>
  <c r="CH179" i="1" a="1"/>
  <c r="CH179" i="1" s="1"/>
  <c r="CH180" i="1" a="1"/>
  <c r="CH180" i="1" s="1"/>
  <c r="CH181" i="1" a="1"/>
  <c r="CH181" i="1" s="1"/>
  <c r="CH182" i="1" a="1"/>
  <c r="CH182" i="1" s="1"/>
  <c r="CH183" i="1" a="1"/>
  <c r="CH183" i="1" s="1"/>
  <c r="CH184" i="1" a="1"/>
  <c r="CH184" i="1" s="1"/>
  <c r="CH185" i="1" a="1"/>
  <c r="CH185" i="1" s="1"/>
  <c r="CH186" i="1" a="1"/>
  <c r="CH186" i="1" s="1"/>
  <c r="CH187" i="1" a="1"/>
  <c r="CH187" i="1" s="1"/>
  <c r="CH188" i="1" a="1"/>
  <c r="CH188" i="1" s="1"/>
  <c r="CH189" i="1" a="1"/>
  <c r="CH189" i="1" s="1"/>
  <c r="CH190" i="1" a="1"/>
  <c r="CH190" i="1" s="1"/>
  <c r="CH191" i="1" a="1"/>
  <c r="CH191" i="1" s="1"/>
  <c r="CH192" i="1" a="1"/>
  <c r="CH192" i="1" s="1"/>
  <c r="CH193" i="1" a="1"/>
  <c r="CH193" i="1" s="1"/>
  <c r="CH194" i="1" a="1"/>
  <c r="CH194" i="1" s="1"/>
  <c r="CH195" i="1" a="1"/>
  <c r="CH195" i="1" s="1"/>
  <c r="CH196" i="1" a="1"/>
  <c r="CH196" i="1" s="1"/>
  <c r="CH197" i="1" a="1"/>
  <c r="CH197" i="1" s="1"/>
  <c r="CH198" i="1" a="1"/>
  <c r="CH198" i="1" s="1"/>
  <c r="CH199" i="1" a="1"/>
  <c r="CH199" i="1" s="1"/>
  <c r="CH200" i="1" a="1"/>
  <c r="CH200" i="1" s="1"/>
  <c r="CH201" i="1" a="1"/>
  <c r="CH201" i="1" s="1"/>
  <c r="CH202" i="1" a="1"/>
  <c r="CH202" i="1" s="1"/>
  <c r="CH2" i="1" a="1"/>
  <c r="CH2" i="1"/>
  <c r="CG2" i="1"/>
  <c r="CG3" i="1"/>
  <c r="CG4" i="1"/>
  <c r="CG5" i="1"/>
  <c r="CG6" i="1"/>
  <c r="CG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63" i="1"/>
  <c r="CG64" i="1"/>
  <c r="CG65" i="1"/>
  <c r="CG66" i="1"/>
  <c r="CG67" i="1"/>
  <c r="CG68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83" i="1"/>
  <c r="CG84" i="1"/>
  <c r="CG85" i="1"/>
  <c r="CG86" i="1"/>
  <c r="CG87" i="1"/>
  <c r="CG88" i="1"/>
  <c r="CG89" i="1"/>
  <c r="CG90" i="1"/>
  <c r="CG91" i="1"/>
  <c r="CG92" i="1"/>
  <c r="CG93" i="1"/>
  <c r="CG94" i="1"/>
  <c r="CG95" i="1"/>
  <c r="CG96" i="1"/>
  <c r="CG97" i="1"/>
  <c r="CG98" i="1"/>
  <c r="CG99" i="1"/>
  <c r="CG100" i="1"/>
  <c r="CG101" i="1"/>
  <c r="CG102" i="1"/>
  <c r="CG103" i="1"/>
  <c r="CG104" i="1"/>
  <c r="CG105" i="1"/>
  <c r="CG106" i="1"/>
  <c r="CG107" i="1"/>
  <c r="CG108" i="1"/>
  <c r="CG109" i="1"/>
  <c r="CG110" i="1"/>
  <c r="CG111" i="1"/>
  <c r="CG112" i="1"/>
  <c r="CG113" i="1"/>
  <c r="CG114" i="1"/>
  <c r="CG115" i="1"/>
  <c r="CG116" i="1"/>
  <c r="CG117" i="1"/>
  <c r="CG118" i="1"/>
  <c r="CG119" i="1"/>
  <c r="CG120" i="1"/>
  <c r="CG121" i="1"/>
  <c r="CG122" i="1"/>
  <c r="CG123" i="1"/>
  <c r="CG124" i="1"/>
  <c r="CG125" i="1"/>
  <c r="CG126" i="1"/>
  <c r="CG127" i="1"/>
  <c r="CG128" i="1"/>
  <c r="CG129" i="1"/>
  <c r="CG130" i="1"/>
  <c r="CG131" i="1"/>
  <c r="CG132" i="1"/>
  <c r="CG133" i="1"/>
  <c r="CG134" i="1"/>
  <c r="CG135" i="1"/>
  <c r="CG136" i="1"/>
  <c r="CG137" i="1"/>
  <c r="CG138" i="1"/>
  <c r="CG139" i="1"/>
  <c r="CG140" i="1"/>
  <c r="CG141" i="1"/>
  <c r="CG142" i="1"/>
  <c r="CG143" i="1"/>
  <c r="CG144" i="1"/>
  <c r="CG145" i="1"/>
  <c r="CG146" i="1"/>
  <c r="CG147" i="1"/>
  <c r="CG148" i="1"/>
  <c r="CG149" i="1"/>
  <c r="CG150" i="1"/>
  <c r="CG151" i="1"/>
  <c r="CG152" i="1"/>
  <c r="CG153" i="1"/>
  <c r="CG154" i="1"/>
  <c r="CG155" i="1"/>
  <c r="CG156" i="1"/>
  <c r="CG157" i="1"/>
  <c r="CG158" i="1"/>
  <c r="CG159" i="1"/>
  <c r="CG160" i="1"/>
  <c r="CG161" i="1"/>
  <c r="CG162" i="1"/>
  <c r="CG163" i="1"/>
  <c r="CG164" i="1"/>
  <c r="CG165" i="1"/>
  <c r="CG166" i="1"/>
  <c r="CG167" i="1"/>
  <c r="CG168" i="1"/>
  <c r="CG169" i="1"/>
  <c r="CG170" i="1"/>
  <c r="CG171" i="1"/>
  <c r="CG172" i="1"/>
  <c r="CG173" i="1"/>
  <c r="CG174" i="1"/>
  <c r="CG175" i="1"/>
  <c r="CG176" i="1"/>
  <c r="CG177" i="1"/>
  <c r="CG178" i="1"/>
  <c r="CG179" i="1"/>
  <c r="CG180" i="1"/>
  <c r="CG181" i="1"/>
  <c r="CG182" i="1"/>
  <c r="CG183" i="1"/>
  <c r="CG184" i="1"/>
  <c r="CG185" i="1"/>
  <c r="CG186" i="1"/>
  <c r="CG187" i="1"/>
  <c r="CG188" i="1"/>
  <c r="CG189" i="1"/>
  <c r="CG190" i="1"/>
  <c r="CG191" i="1"/>
  <c r="CG192" i="1"/>
  <c r="CG193" i="1"/>
  <c r="CG194" i="1"/>
  <c r="CG195" i="1"/>
  <c r="CG196" i="1"/>
  <c r="CG197" i="1"/>
  <c r="CG198" i="1"/>
  <c r="CG199" i="1"/>
  <c r="CG200" i="1"/>
  <c r="CG201" i="1"/>
  <c r="CG202" i="1"/>
  <c r="CF3" i="1"/>
  <c r="CF4" i="1"/>
  <c r="CF5" i="1"/>
  <c r="CF6" i="1"/>
  <c r="CF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F30" i="1"/>
  <c r="CF31" i="1"/>
  <c r="CF32" i="1"/>
  <c r="CF33" i="1"/>
  <c r="CF34" i="1"/>
  <c r="CF35" i="1"/>
  <c r="CF36" i="1"/>
  <c r="CF37" i="1"/>
  <c r="CF38" i="1"/>
  <c r="CF39" i="1"/>
  <c r="CF40" i="1"/>
  <c r="CF41" i="1"/>
  <c r="CF42" i="1"/>
  <c r="CF43" i="1"/>
  <c r="CF44" i="1"/>
  <c r="CF45" i="1"/>
  <c r="CF46" i="1"/>
  <c r="CF47" i="1"/>
  <c r="CF48" i="1"/>
  <c r="CF49" i="1"/>
  <c r="CF50" i="1"/>
  <c r="CF51" i="1"/>
  <c r="CF52" i="1"/>
  <c r="CF53" i="1"/>
  <c r="CF54" i="1"/>
  <c r="CF55" i="1"/>
  <c r="CF56" i="1"/>
  <c r="CF57" i="1"/>
  <c r="CF58" i="1"/>
  <c r="CF59" i="1"/>
  <c r="CF60" i="1"/>
  <c r="CF61" i="1"/>
  <c r="CF62" i="1"/>
  <c r="CF63" i="1"/>
  <c r="CF64" i="1"/>
  <c r="CF65" i="1"/>
  <c r="CF66" i="1"/>
  <c r="CF67" i="1"/>
  <c r="CF68" i="1"/>
  <c r="CF69" i="1"/>
  <c r="CF70" i="1"/>
  <c r="CF71" i="1"/>
  <c r="CF72" i="1"/>
  <c r="CF73" i="1"/>
  <c r="CF74" i="1"/>
  <c r="CF75" i="1"/>
  <c r="CF76" i="1"/>
  <c r="CF77" i="1"/>
  <c r="CF78" i="1"/>
  <c r="CF79" i="1"/>
  <c r="CF80" i="1"/>
  <c r="CF81" i="1"/>
  <c r="CF82" i="1"/>
  <c r="CF83" i="1"/>
  <c r="CF84" i="1"/>
  <c r="CF85" i="1"/>
  <c r="CF86" i="1"/>
  <c r="CF87" i="1"/>
  <c r="CF88" i="1"/>
  <c r="CF89" i="1"/>
  <c r="CF90" i="1"/>
  <c r="CF91" i="1"/>
  <c r="CF92" i="1"/>
  <c r="CF93" i="1"/>
  <c r="CF94" i="1"/>
  <c r="CF95" i="1"/>
  <c r="CF96" i="1"/>
  <c r="CF97" i="1"/>
  <c r="CF98" i="1"/>
  <c r="CF99" i="1"/>
  <c r="CF100" i="1"/>
  <c r="CF101" i="1"/>
  <c r="CF102" i="1"/>
  <c r="CF103" i="1"/>
  <c r="CF104" i="1"/>
  <c r="CF105" i="1"/>
  <c r="CF106" i="1"/>
  <c r="CF107" i="1"/>
  <c r="CF108" i="1"/>
  <c r="CF109" i="1"/>
  <c r="CF110" i="1"/>
  <c r="CF111" i="1"/>
  <c r="CF112" i="1"/>
  <c r="CF113" i="1"/>
  <c r="CF114" i="1"/>
  <c r="CF115" i="1"/>
  <c r="CF116" i="1"/>
  <c r="CF117" i="1"/>
  <c r="CF118" i="1"/>
  <c r="CF119" i="1"/>
  <c r="CF120" i="1"/>
  <c r="CF121" i="1"/>
  <c r="CF122" i="1"/>
  <c r="CF123" i="1"/>
  <c r="CF124" i="1"/>
  <c r="CF125" i="1"/>
  <c r="CF126" i="1"/>
  <c r="CF127" i="1"/>
  <c r="CF128" i="1"/>
  <c r="CF129" i="1"/>
  <c r="CF130" i="1"/>
  <c r="CF131" i="1"/>
  <c r="CF132" i="1"/>
  <c r="CF133" i="1"/>
  <c r="CF134" i="1"/>
  <c r="CF135" i="1"/>
  <c r="CF136" i="1"/>
  <c r="CF137" i="1"/>
  <c r="CF138" i="1"/>
  <c r="CF139" i="1"/>
  <c r="CF140" i="1"/>
  <c r="CF141" i="1"/>
  <c r="CF142" i="1"/>
  <c r="CF143" i="1"/>
  <c r="CF144" i="1"/>
  <c r="CF145" i="1"/>
  <c r="CF146" i="1"/>
  <c r="CF147" i="1"/>
  <c r="CF148" i="1"/>
  <c r="CF149" i="1"/>
  <c r="CF150" i="1"/>
  <c r="CF151" i="1"/>
  <c r="CF152" i="1"/>
  <c r="CF153" i="1"/>
  <c r="CF154" i="1"/>
  <c r="CF155" i="1"/>
  <c r="CF156" i="1"/>
  <c r="CF157" i="1"/>
  <c r="CF158" i="1"/>
  <c r="CF159" i="1"/>
  <c r="CF160" i="1"/>
  <c r="CF161" i="1"/>
  <c r="CF162" i="1"/>
  <c r="CF163" i="1"/>
  <c r="CF164" i="1"/>
  <c r="CF165" i="1"/>
  <c r="CF166" i="1"/>
  <c r="CF167" i="1"/>
  <c r="CF168" i="1"/>
  <c r="CF169" i="1"/>
  <c r="CF170" i="1"/>
  <c r="CF171" i="1"/>
  <c r="CF172" i="1"/>
  <c r="CF173" i="1"/>
  <c r="CF174" i="1"/>
  <c r="CF175" i="1"/>
  <c r="CF176" i="1"/>
  <c r="CF177" i="1"/>
  <c r="CF178" i="1"/>
  <c r="CF179" i="1"/>
  <c r="CF180" i="1"/>
  <c r="CF181" i="1"/>
  <c r="CF182" i="1"/>
  <c r="CF183" i="1"/>
  <c r="CF184" i="1"/>
  <c r="CF185" i="1"/>
  <c r="CF186" i="1"/>
  <c r="CF187" i="1"/>
  <c r="CF188" i="1"/>
  <c r="CF189" i="1"/>
  <c r="CF190" i="1"/>
  <c r="CF191" i="1"/>
  <c r="CF192" i="1"/>
  <c r="CF193" i="1"/>
  <c r="CF194" i="1"/>
  <c r="CF195" i="1"/>
  <c r="CF196" i="1"/>
  <c r="CF197" i="1"/>
  <c r="CF198" i="1"/>
  <c r="CF199" i="1"/>
  <c r="CF200" i="1"/>
  <c r="CF201" i="1"/>
  <c r="CF202" i="1"/>
  <c r="CF2" i="1"/>
  <c r="M52" i="2"/>
  <c r="M56" i="2"/>
  <c r="M60" i="2"/>
  <c r="L50" i="2" a="1"/>
  <c r="L50" i="2" s="1"/>
  <c r="M50" i="2" s="1"/>
  <c r="J50" i="2" a="1"/>
  <c r="J50" i="2" s="1"/>
  <c r="CE3" i="1"/>
  <c r="CE4" i="1"/>
  <c r="CE5" i="1"/>
  <c r="CE6" i="1"/>
  <c r="CE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79" i="1"/>
  <c r="CE80" i="1"/>
  <c r="CE81" i="1"/>
  <c r="CE82" i="1"/>
  <c r="CE83" i="1"/>
  <c r="CE84" i="1"/>
  <c r="CE85" i="1"/>
  <c r="CE86" i="1"/>
  <c r="CE87" i="1"/>
  <c r="CE88" i="1"/>
  <c r="CE89" i="1"/>
  <c r="CE90" i="1"/>
  <c r="CE91" i="1"/>
  <c r="CE92" i="1"/>
  <c r="CE93" i="1"/>
  <c r="CE94" i="1"/>
  <c r="CE95" i="1"/>
  <c r="CE96" i="1"/>
  <c r="CE97" i="1"/>
  <c r="CE98" i="1"/>
  <c r="CE99" i="1"/>
  <c r="CE100" i="1"/>
  <c r="CE101" i="1"/>
  <c r="CE102" i="1"/>
  <c r="CE103" i="1"/>
  <c r="CE104" i="1"/>
  <c r="CE105" i="1"/>
  <c r="CE106" i="1"/>
  <c r="CE107" i="1"/>
  <c r="CE108" i="1"/>
  <c r="CE109" i="1"/>
  <c r="CE110" i="1"/>
  <c r="CE111" i="1"/>
  <c r="CE112" i="1"/>
  <c r="CE113" i="1"/>
  <c r="CE114" i="1"/>
  <c r="CE115" i="1"/>
  <c r="CE116" i="1"/>
  <c r="CE117" i="1"/>
  <c r="CE118" i="1"/>
  <c r="CE119" i="1"/>
  <c r="CE120" i="1"/>
  <c r="CE121" i="1"/>
  <c r="CE122" i="1"/>
  <c r="CE123" i="1"/>
  <c r="CE124" i="1"/>
  <c r="CE125" i="1"/>
  <c r="CE126" i="1"/>
  <c r="CE127" i="1"/>
  <c r="CE128" i="1"/>
  <c r="CE129" i="1"/>
  <c r="CE130" i="1"/>
  <c r="CE131" i="1"/>
  <c r="CE132" i="1"/>
  <c r="CE133" i="1"/>
  <c r="CE134" i="1"/>
  <c r="CE135" i="1"/>
  <c r="CE136" i="1"/>
  <c r="CE137" i="1"/>
  <c r="CE138" i="1"/>
  <c r="CE139" i="1"/>
  <c r="CE140" i="1"/>
  <c r="CE141" i="1"/>
  <c r="CE142" i="1"/>
  <c r="CE143" i="1"/>
  <c r="CE144" i="1"/>
  <c r="CE145" i="1"/>
  <c r="CE146" i="1"/>
  <c r="CE147" i="1"/>
  <c r="CE148" i="1"/>
  <c r="CE149" i="1"/>
  <c r="CE150" i="1"/>
  <c r="CE151" i="1"/>
  <c r="CE152" i="1"/>
  <c r="CE153" i="1"/>
  <c r="CE154" i="1"/>
  <c r="CE155" i="1"/>
  <c r="CE156" i="1"/>
  <c r="CE157" i="1"/>
  <c r="CE158" i="1"/>
  <c r="CE159" i="1"/>
  <c r="CE160" i="1"/>
  <c r="CE161" i="1"/>
  <c r="CE162" i="1"/>
  <c r="CE163" i="1"/>
  <c r="CE164" i="1"/>
  <c r="CE165" i="1"/>
  <c r="CE166" i="1"/>
  <c r="CE167" i="1"/>
  <c r="CE168" i="1"/>
  <c r="CE169" i="1"/>
  <c r="CE170" i="1"/>
  <c r="CE171" i="1"/>
  <c r="CE172" i="1"/>
  <c r="CE173" i="1"/>
  <c r="CE174" i="1"/>
  <c r="CE175" i="1"/>
  <c r="CE176" i="1"/>
  <c r="CE177" i="1"/>
  <c r="CE178" i="1"/>
  <c r="CE179" i="1"/>
  <c r="CE180" i="1"/>
  <c r="CE181" i="1"/>
  <c r="CE182" i="1"/>
  <c r="CE183" i="1"/>
  <c r="CE184" i="1"/>
  <c r="CE185" i="1"/>
  <c r="CE186" i="1"/>
  <c r="CE187" i="1"/>
  <c r="CE188" i="1"/>
  <c r="CE189" i="1"/>
  <c r="CE190" i="1"/>
  <c r="CE191" i="1"/>
  <c r="CE192" i="1"/>
  <c r="CE193" i="1"/>
  <c r="CE194" i="1"/>
  <c r="CE195" i="1"/>
  <c r="CE196" i="1"/>
  <c r="CE197" i="1"/>
  <c r="CE198" i="1"/>
  <c r="CE199" i="1"/>
  <c r="CE200" i="1"/>
  <c r="CE201" i="1"/>
  <c r="CE202" i="1"/>
  <c r="CE2" i="1"/>
  <c r="G44" i="2"/>
  <c r="CD3" i="1"/>
  <c r="CD4" i="1"/>
  <c r="CD5" i="1"/>
  <c r="CD6" i="1"/>
  <c r="CD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2" i="1"/>
  <c r="CD133" i="1"/>
  <c r="CD134" i="1"/>
  <c r="CD135" i="1"/>
  <c r="CD136" i="1"/>
  <c r="CD137" i="1"/>
  <c r="CD138" i="1"/>
  <c r="CD139" i="1"/>
  <c r="CD140" i="1"/>
  <c r="CD141" i="1"/>
  <c r="CD142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D164" i="1"/>
  <c r="CD165" i="1"/>
  <c r="CD166" i="1"/>
  <c r="CD167" i="1"/>
  <c r="CD168" i="1"/>
  <c r="CD169" i="1"/>
  <c r="CD170" i="1"/>
  <c r="CD171" i="1"/>
  <c r="CD172" i="1"/>
  <c r="CD173" i="1"/>
  <c r="CD174" i="1"/>
  <c r="CD175" i="1"/>
  <c r="CD176" i="1"/>
  <c r="CD177" i="1"/>
  <c r="CD178" i="1"/>
  <c r="CD179" i="1"/>
  <c r="CD180" i="1"/>
  <c r="CD181" i="1"/>
  <c r="CD182" i="1"/>
  <c r="CD183" i="1"/>
  <c r="CD184" i="1"/>
  <c r="CD185" i="1"/>
  <c r="CD186" i="1"/>
  <c r="CD187" i="1"/>
  <c r="CD188" i="1"/>
  <c r="CD189" i="1"/>
  <c r="CD190" i="1"/>
  <c r="CD191" i="1"/>
  <c r="CD192" i="1"/>
  <c r="CD193" i="1"/>
  <c r="CD194" i="1"/>
  <c r="CD195" i="1"/>
  <c r="CD196" i="1"/>
  <c r="CD197" i="1"/>
  <c r="CD198" i="1"/>
  <c r="CD199" i="1"/>
  <c r="CD200" i="1"/>
  <c r="CD201" i="1"/>
  <c r="CD202" i="1"/>
  <c r="CD2" i="1"/>
  <c r="G40" i="2"/>
  <c r="G39" i="2"/>
  <c r="G38" i="2"/>
  <c r="J38" i="2" a="1"/>
  <c r="J38" i="2" s="1"/>
  <c r="K32" i="2"/>
  <c r="J31" i="2" a="1"/>
  <c r="J31" i="2" s="1"/>
  <c r="G35" i="2"/>
  <c r="BN2" i="1" a="1"/>
  <c r="BN2" i="1" s="1"/>
  <c r="BM3" i="1"/>
  <c r="BM4" i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176" i="1"/>
  <c r="BM177" i="1"/>
  <c r="BM178" i="1"/>
  <c r="BM179" i="1"/>
  <c r="BM180" i="1"/>
  <c r="BM181" i="1"/>
  <c r="BM182" i="1"/>
  <c r="BM183" i="1"/>
  <c r="BM184" i="1"/>
  <c r="BM185" i="1"/>
  <c r="BM186" i="1"/>
  <c r="BM187" i="1"/>
  <c r="BM188" i="1"/>
  <c r="BM189" i="1"/>
  <c r="BM190" i="1"/>
  <c r="BM191" i="1"/>
  <c r="BM192" i="1"/>
  <c r="BM193" i="1"/>
  <c r="BM194" i="1"/>
  <c r="BM195" i="1"/>
  <c r="BM196" i="1"/>
  <c r="BM197" i="1"/>
  <c r="BM198" i="1"/>
  <c r="BM199" i="1"/>
  <c r="BM200" i="1"/>
  <c r="BM201" i="1"/>
  <c r="BM202" i="1"/>
  <c r="BM2" i="1"/>
  <c r="BL3" i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176" i="1"/>
  <c r="BL177" i="1"/>
  <c r="BL178" i="1"/>
  <c r="BL179" i="1"/>
  <c r="BL180" i="1"/>
  <c r="BL181" i="1"/>
  <c r="BL182" i="1"/>
  <c r="BL183" i="1"/>
  <c r="BL184" i="1"/>
  <c r="BL185" i="1"/>
  <c r="BL186" i="1"/>
  <c r="BL187" i="1"/>
  <c r="BL188" i="1"/>
  <c r="BL189" i="1"/>
  <c r="BL190" i="1"/>
  <c r="BL191" i="1"/>
  <c r="BL192" i="1"/>
  <c r="BL193" i="1"/>
  <c r="BL194" i="1"/>
  <c r="BL195" i="1"/>
  <c r="BL196" i="1"/>
  <c r="BL197" i="1"/>
  <c r="BL198" i="1"/>
  <c r="BL199" i="1"/>
  <c r="BL200" i="1"/>
  <c r="BL201" i="1"/>
  <c r="BL202" i="1"/>
  <c r="BL2" i="1"/>
  <c r="G31" i="2"/>
  <c r="G30" i="2"/>
  <c r="BK3" i="1"/>
  <c r="BK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169" i="1"/>
  <c r="BK170" i="1"/>
  <c r="BK171" i="1"/>
  <c r="BK172" i="1"/>
  <c r="BK173" i="1"/>
  <c r="BK174" i="1"/>
  <c r="BK175" i="1"/>
  <c r="BK176" i="1"/>
  <c r="BK177" i="1"/>
  <c r="BK178" i="1"/>
  <c r="BK179" i="1"/>
  <c r="BK180" i="1"/>
  <c r="BK181" i="1"/>
  <c r="BK182" i="1"/>
  <c r="BK183" i="1"/>
  <c r="BK184" i="1"/>
  <c r="BK185" i="1"/>
  <c r="BK186" i="1"/>
  <c r="BK187" i="1"/>
  <c r="BK188" i="1"/>
  <c r="BK189" i="1"/>
  <c r="BK190" i="1"/>
  <c r="BK191" i="1"/>
  <c r="BK192" i="1"/>
  <c r="BK193" i="1"/>
  <c r="BK194" i="1"/>
  <c r="BK195" i="1"/>
  <c r="BK196" i="1"/>
  <c r="BK197" i="1"/>
  <c r="BK198" i="1"/>
  <c r="BK199" i="1"/>
  <c r="BK200" i="1"/>
  <c r="BK201" i="1"/>
  <c r="BK202" i="1"/>
  <c r="BK2" i="1"/>
  <c r="BJ3" i="1"/>
  <c r="BJ4" i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J175" i="1"/>
  <c r="BJ176" i="1"/>
  <c r="BJ177" i="1"/>
  <c r="BJ178" i="1"/>
  <c r="BJ179" i="1"/>
  <c r="BJ180" i="1"/>
  <c r="BJ181" i="1"/>
  <c r="BJ182" i="1"/>
  <c r="BJ183" i="1"/>
  <c r="BJ184" i="1"/>
  <c r="BJ185" i="1"/>
  <c r="BJ186" i="1"/>
  <c r="BJ187" i="1"/>
  <c r="BJ188" i="1"/>
  <c r="BJ189" i="1"/>
  <c r="BJ190" i="1"/>
  <c r="BJ191" i="1"/>
  <c r="BJ192" i="1"/>
  <c r="BJ193" i="1"/>
  <c r="BJ194" i="1"/>
  <c r="BJ195" i="1"/>
  <c r="BJ196" i="1"/>
  <c r="BJ197" i="1"/>
  <c r="BJ198" i="1"/>
  <c r="BJ199" i="1"/>
  <c r="BJ200" i="1"/>
  <c r="BJ201" i="1"/>
  <c r="BJ202" i="1"/>
  <c r="BJ2" i="1"/>
  <c r="BI3" i="1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103" i="1"/>
  <c r="BI104" i="1"/>
  <c r="BI105" i="1"/>
  <c r="BI106" i="1"/>
  <c r="BI107" i="1"/>
  <c r="BI108" i="1"/>
  <c r="BI109" i="1"/>
  <c r="BI110" i="1"/>
  <c r="BI111" i="1"/>
  <c r="BI112" i="1"/>
  <c r="BI113" i="1"/>
  <c r="BI114" i="1"/>
  <c r="BI115" i="1"/>
  <c r="BI116" i="1"/>
  <c r="BI117" i="1"/>
  <c r="BI118" i="1"/>
  <c r="BI119" i="1"/>
  <c r="BI120" i="1"/>
  <c r="BI121" i="1"/>
  <c r="BI122" i="1"/>
  <c r="BI123" i="1"/>
  <c r="BI124" i="1"/>
  <c r="BI125" i="1"/>
  <c r="BI126" i="1"/>
  <c r="BI127" i="1"/>
  <c r="BI128" i="1"/>
  <c r="BI129" i="1"/>
  <c r="BI130" i="1"/>
  <c r="BI131" i="1"/>
  <c r="BI132" i="1"/>
  <c r="BI133" i="1"/>
  <c r="BI134" i="1"/>
  <c r="BI135" i="1"/>
  <c r="BI136" i="1"/>
  <c r="BI137" i="1"/>
  <c r="BI138" i="1"/>
  <c r="BI139" i="1"/>
  <c r="BI140" i="1"/>
  <c r="BI141" i="1"/>
  <c r="BI142" i="1"/>
  <c r="BI143" i="1"/>
  <c r="BI144" i="1"/>
  <c r="BI145" i="1"/>
  <c r="BI146" i="1"/>
  <c r="BI147" i="1"/>
  <c r="BI148" i="1"/>
  <c r="BI149" i="1"/>
  <c r="BI150" i="1"/>
  <c r="BI151" i="1"/>
  <c r="BI152" i="1"/>
  <c r="BI153" i="1"/>
  <c r="BI154" i="1"/>
  <c r="BI155" i="1"/>
  <c r="BI156" i="1"/>
  <c r="BI157" i="1"/>
  <c r="BI158" i="1"/>
  <c r="BI159" i="1"/>
  <c r="BI160" i="1"/>
  <c r="BI161" i="1"/>
  <c r="BI162" i="1"/>
  <c r="BI163" i="1"/>
  <c r="BI164" i="1"/>
  <c r="BI165" i="1"/>
  <c r="BI166" i="1"/>
  <c r="BI167" i="1"/>
  <c r="BI168" i="1"/>
  <c r="BI169" i="1"/>
  <c r="BI170" i="1"/>
  <c r="BI171" i="1"/>
  <c r="BI172" i="1"/>
  <c r="BI173" i="1"/>
  <c r="BI174" i="1"/>
  <c r="BI175" i="1"/>
  <c r="BI176" i="1"/>
  <c r="BI177" i="1"/>
  <c r="BI178" i="1"/>
  <c r="BI179" i="1"/>
  <c r="BI180" i="1"/>
  <c r="BI181" i="1"/>
  <c r="BI182" i="1"/>
  <c r="BI183" i="1"/>
  <c r="BI184" i="1"/>
  <c r="BI185" i="1"/>
  <c r="BI186" i="1"/>
  <c r="BI187" i="1"/>
  <c r="BI188" i="1"/>
  <c r="BI189" i="1"/>
  <c r="BI190" i="1"/>
  <c r="BI191" i="1"/>
  <c r="BI192" i="1"/>
  <c r="BI193" i="1"/>
  <c r="BI194" i="1"/>
  <c r="BI195" i="1"/>
  <c r="BI196" i="1"/>
  <c r="BI197" i="1"/>
  <c r="BI198" i="1"/>
  <c r="BI199" i="1"/>
  <c r="BI200" i="1"/>
  <c r="BI201" i="1"/>
  <c r="BI202" i="1"/>
  <c r="BI2" i="1"/>
  <c r="BH3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" i="1"/>
  <c r="BG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" i="1"/>
  <c r="BF2" i="1" a="1"/>
  <c r="BF2" i="1" s="1"/>
  <c r="L21" i="2" a="1"/>
  <c r="L21" i="2" s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75" i="1"/>
  <c r="BE176" i="1"/>
  <c r="BE177" i="1"/>
  <c r="BE178" i="1"/>
  <c r="BE179" i="1"/>
  <c r="BE180" i="1"/>
  <c r="BE181" i="1"/>
  <c r="BE182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8" i="1"/>
  <c r="BE199" i="1"/>
  <c r="BE200" i="1"/>
  <c r="BE201" i="1"/>
  <c r="BE202" i="1"/>
  <c r="BE2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BD176" i="1"/>
  <c r="BD177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" i="1"/>
  <c r="G19" i="2"/>
  <c r="G18" i="2"/>
  <c r="G17" i="2"/>
  <c r="J21" i="2" a="1"/>
  <c r="J21" i="2" s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BC175" i="1"/>
  <c r="BC176" i="1"/>
  <c r="BC177" i="1"/>
  <c r="BC178" i="1"/>
  <c r="BC179" i="1"/>
  <c r="BC180" i="1"/>
  <c r="BC181" i="1"/>
  <c r="BC182" i="1"/>
  <c r="BC183" i="1"/>
  <c r="BC184" i="1"/>
  <c r="BC185" i="1"/>
  <c r="BC186" i="1"/>
  <c r="BC187" i="1"/>
  <c r="BC188" i="1"/>
  <c r="BC189" i="1"/>
  <c r="BC190" i="1"/>
  <c r="BC191" i="1"/>
  <c r="BC192" i="1"/>
  <c r="BC193" i="1"/>
  <c r="BC194" i="1"/>
  <c r="BC195" i="1"/>
  <c r="BC196" i="1"/>
  <c r="BC197" i="1"/>
  <c r="BC198" i="1"/>
  <c r="BC199" i="1"/>
  <c r="BC200" i="1"/>
  <c r="BC201" i="1"/>
  <c r="BC202" i="1"/>
  <c r="BC2" i="1"/>
  <c r="J15" i="2" a="1"/>
  <c r="J15" i="2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" i="1"/>
  <c r="T2" i="1" s="1" a="1"/>
  <c r="T2" i="1" s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AK2" i="1" s="1" a="1"/>
  <c r="AK2" i="1" s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G7" i="2"/>
  <c r="G6" i="2"/>
  <c r="G5" i="2"/>
  <c r="G4" i="2"/>
  <c r="J9" i="2" a="1"/>
  <c r="J9" i="2" s="1"/>
  <c r="J2" i="2" a="1"/>
  <c r="J2" i="2" s="1"/>
  <c r="M59" i="2" l="1"/>
  <c r="M55" i="2"/>
  <c r="M51" i="2"/>
  <c r="M58" i="2"/>
  <c r="M54" i="2"/>
  <c r="M61" i="2"/>
  <c r="M57" i="2"/>
  <c r="M53" i="2"/>
  <c r="K45" i="2"/>
  <c r="K41" i="2"/>
  <c r="K35" i="2"/>
  <c r="K39" i="2"/>
  <c r="K44" i="2"/>
  <c r="K40" i="2"/>
  <c r="K34" i="2"/>
  <c r="K47" i="2"/>
  <c r="K43" i="2"/>
  <c r="K33" i="2"/>
  <c r="K46" i="2"/>
  <c r="K42" i="2"/>
  <c r="K6" i="2"/>
  <c r="K10" i="2"/>
  <c r="K5" i="2"/>
  <c r="K12" i="2"/>
  <c r="K4" i="2"/>
  <c r="K11" i="2"/>
  <c r="K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<sst xmlns="http://schemas.openxmlformats.org/spreadsheetml/2006/main" count="1304" uniqueCount="178">
  <si>
    <t>Order_ID</t>
  </si>
  <si>
    <t>Order_Date</t>
  </si>
  <si>
    <t>Region</t>
  </si>
  <si>
    <t>Salesperson</t>
  </si>
  <si>
    <t>Customer</t>
  </si>
  <si>
    <t>Category</t>
  </si>
  <si>
    <t>Product</t>
  </si>
  <si>
    <t>Units</t>
  </si>
  <si>
    <t>Unit_Price</t>
  </si>
  <si>
    <t>Discount_%</t>
  </si>
  <si>
    <t>Sales</t>
  </si>
  <si>
    <t>Cost</t>
  </si>
  <si>
    <t>Profit</t>
  </si>
  <si>
    <t>Payment_Mode</t>
  </si>
  <si>
    <t>Delivery_Days</t>
  </si>
  <si>
    <t>Customer_Rating</t>
  </si>
  <si>
    <t>West</t>
  </si>
  <si>
    <t>Rohan</t>
  </si>
  <si>
    <t>Customer_46</t>
  </si>
  <si>
    <t>Electronics</t>
  </si>
  <si>
    <t>Phone</t>
  </si>
  <si>
    <t>Card</t>
  </si>
  <si>
    <t>South</t>
  </si>
  <si>
    <t>Karan</t>
  </si>
  <si>
    <t>Customer_49</t>
  </si>
  <si>
    <t>Office Supplies</t>
  </si>
  <si>
    <t>Keyboard</t>
  </si>
  <si>
    <t>UPI</t>
  </si>
  <si>
    <t>Arjun</t>
  </si>
  <si>
    <t>Customer_24</t>
  </si>
  <si>
    <t>Desk</t>
  </si>
  <si>
    <t>Neha</t>
  </si>
  <si>
    <t>Customer_6</t>
  </si>
  <si>
    <t>East</t>
  </si>
  <si>
    <t>Customer_36</t>
  </si>
  <si>
    <t>Furniture</t>
  </si>
  <si>
    <t>Laptop</t>
  </si>
  <si>
    <t>Cash</t>
  </si>
  <si>
    <t>Customer_12</t>
  </si>
  <si>
    <t>Sneha</t>
  </si>
  <si>
    <t>Customer_30</t>
  </si>
  <si>
    <t>Chair</t>
  </si>
  <si>
    <t>Priya</t>
  </si>
  <si>
    <t>Customer_9</t>
  </si>
  <si>
    <t>Printer</t>
  </si>
  <si>
    <t>Customer_47</t>
  </si>
  <si>
    <t>Customer_20</t>
  </si>
  <si>
    <t>Monitor</t>
  </si>
  <si>
    <t>NetBanking</t>
  </si>
  <si>
    <t>Customer_44</t>
  </si>
  <si>
    <t>North</t>
  </si>
  <si>
    <t>Aman</t>
  </si>
  <si>
    <t>Customer_28</t>
  </si>
  <si>
    <t>Customer_10</t>
  </si>
  <si>
    <t>Customer_25</t>
  </si>
  <si>
    <t>Customer_40</t>
  </si>
  <si>
    <t>Customer_29</t>
  </si>
  <si>
    <t>Megha</t>
  </si>
  <si>
    <t>Customer_42</t>
  </si>
  <si>
    <t>Customer_18</t>
  </si>
  <si>
    <t>Customer_2</t>
  </si>
  <si>
    <t>Customer_11</t>
  </si>
  <si>
    <t>Customer_43</t>
  </si>
  <si>
    <t>Customer_13</t>
  </si>
  <si>
    <t>Customer_26</t>
  </si>
  <si>
    <t>Mouse</t>
  </si>
  <si>
    <t>Customer_15</t>
  </si>
  <si>
    <t>Customer_14</t>
  </si>
  <si>
    <t>Customer_5</t>
  </si>
  <si>
    <t>Customer_38</t>
  </si>
  <si>
    <t>Customer_35</t>
  </si>
  <si>
    <t>Customer_22</t>
  </si>
  <si>
    <t>Customer_1</t>
  </si>
  <si>
    <t>Customer_45</t>
  </si>
  <si>
    <t>Customer_34</t>
  </si>
  <si>
    <t>Customer_8</t>
  </si>
  <si>
    <t>Customer_37</t>
  </si>
  <si>
    <t>Customer_19</t>
  </si>
  <si>
    <t>Customer_4</t>
  </si>
  <si>
    <t>Customer_33</t>
  </si>
  <si>
    <t>Customer_41</t>
  </si>
  <si>
    <t>Customer_21</t>
  </si>
  <si>
    <t>Customer_7</t>
  </si>
  <si>
    <t>Customer_3</t>
  </si>
  <si>
    <t>Customer_16</t>
  </si>
  <si>
    <t>Customer_17</t>
  </si>
  <si>
    <t>Customer_48</t>
  </si>
  <si>
    <t>Customer_39</t>
  </si>
  <si>
    <t>Customer_50</t>
  </si>
  <si>
    <t>Customer_23</t>
  </si>
  <si>
    <t>Customer_27</t>
  </si>
  <si>
    <t>Customer_32</t>
  </si>
  <si>
    <t>Customer_31</t>
  </si>
  <si>
    <t>50 Business Scenario Questions</t>
  </si>
  <si>
    <t>1. Calculate total sales for each Region using SUMIFS.</t>
  </si>
  <si>
    <t>2. Calculate total profit for each Category.</t>
  </si>
  <si>
    <t>3. Find average Sales for Electronics using AVERAGEIFS.</t>
  </si>
  <si>
    <t>4. Count orders with Discount &gt;=10% using COUNTIFS.</t>
  </si>
  <si>
    <t>5. Find highest Profit using MAX.</t>
  </si>
  <si>
    <t>6. Find lowest Delivery Days using MIN.</t>
  </si>
  <si>
    <t>7. Rank all sales by Profit using RANK.</t>
  </si>
  <si>
    <t>8. Return Product for a given Order_ID using XLOOKUP.</t>
  </si>
  <si>
    <t>9. Return Salesperson using INDEX-MATCH.</t>
  </si>
  <si>
    <t>10. Find orders with Sales above overall average using FILTER.</t>
  </si>
  <si>
    <t>11. List unique Categories using UNIQUE.</t>
  </si>
  <si>
    <t>12. Sort products by Profit descending using SORT.</t>
  </si>
  <si>
    <t>13. Calculate monthly sales using EOMONTH and SUMIFS.</t>
  </si>
  <si>
    <t>14. Calculate quarter from Order_Date.</t>
  </si>
  <si>
    <t>15. Find top 5 Profits using LARGE.</t>
  </si>
  <si>
    <t>16. Find 3rd highest Sales.</t>
  </si>
  <si>
    <t>17. Calculate median Sales.</t>
  </si>
  <si>
    <t>18. Calculate standard deviation of Profit.</t>
  </si>
  <si>
    <t>19. Create bonus IF Profit&gt;100000.</t>
  </si>
  <si>
    <t>20. Nested IF for performance bands.</t>
  </si>
  <si>
    <t>21. Use LET to simplify profit margin calculation.</t>
  </si>
  <si>
    <t>22. Find unique Salespersons.</t>
  </si>
  <si>
    <t>23. Sort customers alphabetically.</t>
  </si>
  <si>
    <t>24. Textjoin Region &amp; Product.</t>
  </si>
  <si>
    <t>25. Extract year from Order_Date.</t>
  </si>
  <si>
    <t>26. Extract month name.</t>
  </si>
  <si>
    <t>27. Working days from Order_Date to today.</t>
  </si>
  <si>
    <t>28. Calculate profit margin %.</t>
  </si>
  <si>
    <t>29. Count Card payments.</t>
  </si>
  <si>
    <t>30. Sum Cash sales.</t>
  </si>
  <si>
    <t>31. Lookup Unit Price from Product table (assume lookup).</t>
  </si>
  <si>
    <t>32. Use XMATCH to locate Customer.</t>
  </si>
  <si>
    <t>33. Return entire matching row with FILTER.</t>
  </si>
  <si>
    <t>34. Count high-rated customers (&gt;4.5).</t>
  </si>
  <si>
    <t>35. Average delivery by Region.</t>
  </si>
  <si>
    <t>36. Highest sales by Salesperson.</t>
  </si>
  <si>
    <t>37. Lowest cost product.</t>
  </si>
  <si>
    <t>38. Use AGGREGATE to ignore errors.</t>
  </si>
  <si>
    <t>39. Use SUBTOTAL after filtering.</t>
  </si>
  <si>
    <t>40. Dynamic Top 10 using SORT.</t>
  </si>
  <si>
    <t>41. Find duplicate Customers.</t>
  </si>
  <si>
    <t>42. Use TEXTBEFORE/TEXTAFTER on Product codes.</t>
  </si>
  <si>
    <t>43. Calculate running total.</t>
  </si>
  <si>
    <t>44. Create dynamic dropdown source with UNIQUE.</t>
  </si>
  <si>
    <t>45. Count orders by month.</t>
  </si>
  <si>
    <t>46. Revenue after 15% hypothetical increase.</t>
  </si>
  <si>
    <t>47. Use CHOOSE to map Regions.</t>
  </si>
  <si>
    <t>48. Use SWITCH for payment labels.</t>
  </si>
  <si>
    <t>49. Use IFS for discount categories.</t>
  </si>
  <si>
    <t>50. Return last order using XLOOKUP search mode.</t>
  </si>
  <si>
    <t>ans 1</t>
  </si>
  <si>
    <t>ans2</t>
  </si>
  <si>
    <t>rank</t>
  </si>
  <si>
    <t>product</t>
  </si>
  <si>
    <t>doubt</t>
  </si>
  <si>
    <t>ans9</t>
  </si>
  <si>
    <t>ans10</t>
  </si>
  <si>
    <t>ans11</t>
  </si>
  <si>
    <t>ans12</t>
  </si>
  <si>
    <t>ans14</t>
  </si>
  <si>
    <t>ans15</t>
  </si>
  <si>
    <t>ans19</t>
  </si>
  <si>
    <t>ans21</t>
  </si>
  <si>
    <t>ans22</t>
  </si>
  <si>
    <t>ans23</t>
  </si>
  <si>
    <t>ans24</t>
  </si>
  <si>
    <t>ans25</t>
  </si>
  <si>
    <t>ans26</t>
  </si>
  <si>
    <t>ans27</t>
  </si>
  <si>
    <t>ans28</t>
  </si>
  <si>
    <t>ans31</t>
  </si>
  <si>
    <t>ans32</t>
  </si>
  <si>
    <t>ans33</t>
  </si>
  <si>
    <t>ans35</t>
  </si>
  <si>
    <t>ans36</t>
  </si>
  <si>
    <t>ans41</t>
  </si>
  <si>
    <t>NA</t>
  </si>
  <si>
    <t>ans43</t>
  </si>
  <si>
    <t>ans 44</t>
  </si>
  <si>
    <t>ans45</t>
  </si>
  <si>
    <t>ans46</t>
  </si>
  <si>
    <t>ans47</t>
  </si>
  <si>
    <t>ans48</t>
  </si>
  <si>
    <t>ans49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</si>
</sst>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1" fontId="0" fillId="0" borderId="0" xfId="0" applyNumberFormat="1"/>
    <xf numFmtId="9" fontId="0" fillId="3" borderId="0" xfId="1" applyFont="1" applyFill="1"/>
    <xf numFmtId="9" fontId="0" fillId="0" borderId="0" xfId="1" applyFont="1"/>
    <xf numFmtId="0" fontId="0" fillId="3" borderId="0" xfId="0" applyFill="1" applyAlignme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02"/>
  <sheetViews>
    <sheetView tabSelected="1" topLeftCell="AW1" zoomScaleNormal="100" workbookViewId="0">
      <selection activeCell="BE11" sqref="BE11"/>
    </sheetView>
  </sheetViews>
  <sheetFormatPr defaultRowHeight="14.4" x14ac:dyDescent="0.3"/>
  <cols>
    <col min="1" max="1" width="8.5546875" bestFit="1" customWidth="1"/>
    <col min="2" max="2" width="10.6640625" bestFit="1" customWidth="1"/>
    <col min="3" max="3" width="6.77734375" bestFit="1" customWidth="1"/>
    <col min="4" max="4" width="11" bestFit="1" customWidth="1"/>
    <col min="5" max="5" width="11.88671875" bestFit="1" customWidth="1"/>
    <col min="6" max="6" width="13.109375" bestFit="1" customWidth="1"/>
    <col min="7" max="7" width="8.6640625" bestFit="1" customWidth="1"/>
    <col min="8" max="8" width="5.33203125" bestFit="1" customWidth="1"/>
    <col min="9" max="9" width="9.6640625" bestFit="1" customWidth="1"/>
    <col min="10" max="10" width="10.77734375" bestFit="1" customWidth="1"/>
    <col min="11" max="13" width="10" bestFit="1" customWidth="1"/>
    <col min="14" max="14" width="14.6640625" bestFit="1" customWidth="1"/>
    <col min="15" max="15" width="12.77734375" bestFit="1" customWidth="1"/>
    <col min="16" max="16" width="15.5546875" bestFit="1" customWidth="1"/>
    <col min="19" max="19" width="14" customWidth="1"/>
    <col min="20" max="20" width="8.109375" bestFit="1" customWidth="1"/>
    <col min="55" max="55" width="10.33203125" bestFit="1" customWidth="1"/>
    <col min="57" max="57" width="16.77734375" style="8" customWidth="1"/>
    <col min="58" max="58" width="11.88671875" bestFit="1" customWidth="1"/>
    <col min="59" max="59" width="14.21875" bestFit="1" customWidth="1"/>
    <col min="63" max="63" width="8.88671875" style="8"/>
    <col min="81" max="81" width="15.109375" bestFit="1" customWidth="1"/>
    <col min="83" max="83" width="12" bestFit="1" customWidth="1"/>
    <col min="86" max="86" width="18.109375" bestFit="1" customWidth="1"/>
  </cols>
  <sheetData>
    <row r="1" spans="1:8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146</v>
      </c>
      <c r="R1" s="4" t="s">
        <v>147</v>
      </c>
      <c r="S1" s="4" t="s">
        <v>149</v>
      </c>
      <c r="T1" s="4" t="s">
        <v>150</v>
      </c>
      <c r="AK1" s="5" t="s">
        <v>152</v>
      </c>
      <c r="BC1" s="5" t="s">
        <v>153</v>
      </c>
      <c r="BD1" s="5" t="s">
        <v>155</v>
      </c>
      <c r="BE1" s="7" t="s">
        <v>156</v>
      </c>
      <c r="BF1" s="5" t="s">
        <v>158</v>
      </c>
      <c r="BG1" s="5" t="s">
        <v>159</v>
      </c>
      <c r="BH1" s="5" t="s">
        <v>160</v>
      </c>
      <c r="BI1" s="5" t="s">
        <v>161</v>
      </c>
      <c r="BJ1" s="5" t="s">
        <v>162</v>
      </c>
      <c r="BK1" s="7" t="s">
        <v>163</v>
      </c>
      <c r="BL1" s="5" t="s">
        <v>164</v>
      </c>
      <c r="BM1" s="5" t="s">
        <v>165</v>
      </c>
      <c r="BN1" s="5" t="s">
        <v>166</v>
      </c>
      <c r="CD1" s="5" t="s">
        <v>169</v>
      </c>
      <c r="CE1" s="9" t="s">
        <v>171</v>
      </c>
      <c r="CF1" s="9" t="s">
        <v>174</v>
      </c>
      <c r="CG1" s="9" t="s">
        <v>175</v>
      </c>
      <c r="CH1" s="9" t="s">
        <v>176</v>
      </c>
      <c r="CI1" s="9" t="s">
        <v>177</v>
      </c>
    </row>
    <row r="2" spans="1:87" x14ac:dyDescent="0.3">
      <c r="A2">
        <v>1002</v>
      </c>
      <c r="B2" s="1">
        <v>45533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18</v>
      </c>
      <c r="I2">
        <v>33295</v>
      </c>
      <c r="J2">
        <v>20</v>
      </c>
      <c r="K2">
        <v>479448</v>
      </c>
      <c r="L2">
        <v>300270</v>
      </c>
      <c r="M2">
        <v>179178</v>
      </c>
      <c r="N2" t="s">
        <v>21</v>
      </c>
      <c r="O2">
        <v>7</v>
      </c>
      <c r="P2">
        <v>4.3</v>
      </c>
      <c r="Q2">
        <f>RANK(M2,$M$2:$M$1000)</f>
        <v>15</v>
      </c>
      <c r="R2" t="str">
        <f>_xlfn.XLOOKUP(A2,A:A,G:G,"")</f>
        <v>Phone</v>
      </c>
      <c r="S2" t="e">
        <f>INDEX(D:D,MATCH($T$1,A:A,0))</f>
        <v>#N/A</v>
      </c>
      <c r="T2" cm="1">
        <f t="array" ref="T2:AJ89">_xlfn._xlws.FILTER(B2:R201,K2:K201&gt;AVERAGE(K2:K201))</f>
        <v>45533</v>
      </c>
      <c r="U2" t="str">
        <v>West</v>
      </c>
      <c r="V2" t="str">
        <v>Rohan</v>
      </c>
      <c r="W2" t="str">
        <v>Customer_46</v>
      </c>
      <c r="X2" t="str">
        <v>Electronics</v>
      </c>
      <c r="Y2" t="str">
        <v>Phone</v>
      </c>
      <c r="Z2">
        <v>18</v>
      </c>
      <c r="AA2">
        <v>33295</v>
      </c>
      <c r="AB2">
        <v>20</v>
      </c>
      <c r="AC2">
        <v>479448</v>
      </c>
      <c r="AD2">
        <v>300270</v>
      </c>
      <c r="AE2">
        <v>179178</v>
      </c>
      <c r="AF2" t="str">
        <v>Card</v>
      </c>
      <c r="AG2">
        <v>7</v>
      </c>
      <c r="AH2">
        <v>4.3</v>
      </c>
      <c r="AI2">
        <v>15</v>
      </c>
      <c r="AJ2" t="str">
        <v>Phone</v>
      </c>
      <c r="AK2" t="str" cm="1">
        <f t="array" ref="AK2:BB202">_xlfn._xlws.SORT(Sales_Data!A1:R201,13,-1)</f>
        <v>Order_ID</v>
      </c>
      <c r="AL2" t="str">
        <v>Order_Date</v>
      </c>
      <c r="AM2" t="str">
        <v>Region</v>
      </c>
      <c r="AN2" t="str">
        <v>Salesperson</v>
      </c>
      <c r="AO2" t="str">
        <v>Customer</v>
      </c>
      <c r="AP2" t="str">
        <v>Category</v>
      </c>
      <c r="AQ2" t="str">
        <v>Product</v>
      </c>
      <c r="AR2" t="str">
        <v>Units</v>
      </c>
      <c r="AS2" t="str">
        <v>Unit_Price</v>
      </c>
      <c r="AT2" t="str">
        <v>Discount_%</v>
      </c>
      <c r="AU2" t="str">
        <v>Sales</v>
      </c>
      <c r="AV2" t="str">
        <v>Cost</v>
      </c>
      <c r="AW2" t="str">
        <v>Profit</v>
      </c>
      <c r="AX2" t="str">
        <v>Payment_Mode</v>
      </c>
      <c r="AY2" t="str">
        <v>Delivery_Days</v>
      </c>
      <c r="AZ2" t="str">
        <v>Customer_Rating</v>
      </c>
      <c r="BA2" t="str">
        <v>rank</v>
      </c>
      <c r="BB2" t="str">
        <v>product</v>
      </c>
      <c r="BC2" s="6">
        <f>ROUND(MONTH(B2)/3,0)</f>
        <v>3</v>
      </c>
      <c r="BD2" t="str">
        <f>IF(M2&gt;100000,"Bonus!","")</f>
        <v>Bonus!</v>
      </c>
      <c r="BE2" s="8">
        <f>_xlfn.LET(_xlpm.profit,M2,_xlpm.sales,K2,_xlpm.profit/_xlpm.sales)</f>
        <v>0.37371727486609602</v>
      </c>
      <c r="BF2" t="str" cm="1">
        <f t="array" ref="BF2:BF201">_xlfn._xlws.SORT(E2:E201,1,1)</f>
        <v>Customer_1</v>
      </c>
      <c r="BG2" t="str">
        <f>_xlfn.TEXTJOIN("-",TRUE,C2,G2)</f>
        <v>West-Phone</v>
      </c>
      <c r="BH2">
        <f>YEAR(B2)</f>
        <v>2024</v>
      </c>
      <c r="BI2" t="str">
        <f>TEXT(B2,"mmmm")</f>
        <v>August</v>
      </c>
      <c r="BJ2">
        <f t="shared" ref="BJ2:BJ65" ca="1" si="0">NETWORKDAYS(B2,TODAY())</f>
        <v>480</v>
      </c>
      <c r="BK2" s="8">
        <f>M2/K2</f>
        <v>0.37371727486609602</v>
      </c>
      <c r="BL2">
        <f>_xlfn.XLOOKUP(G2,G:G,I:I,"",0)</f>
        <v>33295</v>
      </c>
      <c r="BM2">
        <f>_xlfn.XMATCH(E2,E:E,0)</f>
        <v>2</v>
      </c>
      <c r="BN2" t="str" cm="1">
        <f t="array" ref="BN2:CC202">_xlfn._xlws.FILTER(A1:P201,A1:A201&lt;&gt;"")</f>
        <v>Order_ID</v>
      </c>
      <c r="BO2" t="str">
        <v>Order_Date</v>
      </c>
      <c r="BP2" t="str">
        <v>Region</v>
      </c>
      <c r="BQ2" t="str">
        <v>Salesperson</v>
      </c>
      <c r="BR2" t="str">
        <v>Customer</v>
      </c>
      <c r="BS2" t="str">
        <v>Category</v>
      </c>
      <c r="BT2" t="str">
        <v>Product</v>
      </c>
      <c r="BU2" t="str">
        <v>Units</v>
      </c>
      <c r="BV2" t="str">
        <v>Unit_Price</v>
      </c>
      <c r="BW2" t="str">
        <v>Discount_%</v>
      </c>
      <c r="BX2" t="str">
        <v>Sales</v>
      </c>
      <c r="BY2" t="str">
        <v>Cost</v>
      </c>
      <c r="BZ2" t="str">
        <v>Profit</v>
      </c>
      <c r="CA2" t="str">
        <v>Payment_Mode</v>
      </c>
      <c r="CB2" t="str">
        <v>Delivery_Days</v>
      </c>
      <c r="CC2" t="str">
        <v>Customer_Rating</v>
      </c>
      <c r="CD2" t="b">
        <f>COUNTIF(Sales_Data!E:E,Sales_Data!E2)&gt;1</f>
        <v>1</v>
      </c>
      <c r="CE2">
        <f>SUM(Sales_Data!$K$2:'Sales_Data'!K2)</f>
        <v>479448</v>
      </c>
      <c r="CF2">
        <f>K2*1.15</f>
        <v>551365.19999999995</v>
      </c>
      <c r="CG2" t="str">
        <f>CHOOSE(MATCH(C2,{"North","West","South","East"},0),"Zone 1","Zone 2","Zone 3","Zone 4")</f>
        <v>Zone 2</v>
      </c>
      <c r="CH2" t="str" cm="1">
        <f t="array" ref="CH2">_xlfn.SWITCH(N2,"Card","Card Payment","UPI", "UPI Payment","Cash","Cash Payment","NetBanking", "NetBanking Payment", "Unknown")</f>
        <v>Card Payment</v>
      </c>
      <c r="CI2" t="str" cm="1">
        <f t="array" ref="CI2">_xlfn.IFS(Sales_Data!J2&lt;=5,"Low",Sales_Data!J2&lt;=10,"Medium",Sales_Data!J2&gt;10,"High")</f>
        <v>High</v>
      </c>
    </row>
    <row r="3" spans="1:87" x14ac:dyDescent="0.3">
      <c r="A3">
        <v>1003</v>
      </c>
      <c r="B3" s="1">
        <v>45298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11</v>
      </c>
      <c r="I3">
        <v>23829</v>
      </c>
      <c r="J3">
        <v>5</v>
      </c>
      <c r="K3">
        <v>249013.05</v>
      </c>
      <c r="L3">
        <v>170899.83</v>
      </c>
      <c r="M3">
        <v>78113.22</v>
      </c>
      <c r="N3" t="s">
        <v>27</v>
      </c>
      <c r="O3">
        <v>3</v>
      </c>
      <c r="P3">
        <v>4.7</v>
      </c>
      <c r="Q3">
        <f t="shared" ref="Q3:Q66" si="1">RANK(M3,$M$2:$M$1000)</f>
        <v>78</v>
      </c>
      <c r="R3" t="str">
        <f t="shared" ref="R3:R66" si="2">_xlfn.XLOOKUP(A3,A:A,G:G,"")</f>
        <v>Keyboard</v>
      </c>
      <c r="S3" t="e">
        <f t="shared" ref="S3:S66" si="3">INDEX(D:D,MATCH($T$1,A:A,0))</f>
        <v>#N/A</v>
      </c>
      <c r="T3">
        <v>45298</v>
      </c>
      <c r="U3" t="str">
        <v>South</v>
      </c>
      <c r="V3" t="str">
        <v>Karan</v>
      </c>
      <c r="W3" t="str">
        <v>Customer_49</v>
      </c>
      <c r="X3" t="str">
        <v>Office Supplies</v>
      </c>
      <c r="Y3" t="str">
        <v>Keyboard</v>
      </c>
      <c r="Z3">
        <v>11</v>
      </c>
      <c r="AA3">
        <v>23829</v>
      </c>
      <c r="AB3">
        <v>5</v>
      </c>
      <c r="AC3">
        <v>249013.05</v>
      </c>
      <c r="AD3">
        <v>170899.83</v>
      </c>
      <c r="AE3">
        <v>78113.22</v>
      </c>
      <c r="AF3" t="str">
        <v>UPI</v>
      </c>
      <c r="AG3">
        <v>3</v>
      </c>
      <c r="AH3">
        <v>4.7</v>
      </c>
      <c r="AI3">
        <v>78</v>
      </c>
      <c r="AJ3" t="str">
        <v>Keyboard</v>
      </c>
      <c r="AK3">
        <v>1071</v>
      </c>
      <c r="AL3">
        <v>45607</v>
      </c>
      <c r="AM3" t="str">
        <v>North</v>
      </c>
      <c r="AN3" t="str">
        <v>Megha</v>
      </c>
      <c r="AO3" t="str">
        <v>Customer_30</v>
      </c>
      <c r="AP3" t="str">
        <v>Electronics</v>
      </c>
      <c r="AQ3" t="str">
        <v>Keyboard</v>
      </c>
      <c r="AR3">
        <v>20</v>
      </c>
      <c r="AS3">
        <v>38353</v>
      </c>
      <c r="AT3">
        <v>10</v>
      </c>
      <c r="AU3">
        <v>690354</v>
      </c>
      <c r="AV3">
        <v>395833.99</v>
      </c>
      <c r="AW3">
        <v>294520.01</v>
      </c>
      <c r="AX3" t="str">
        <v>Cash</v>
      </c>
      <c r="AY3">
        <v>8</v>
      </c>
      <c r="AZ3">
        <v>4.5</v>
      </c>
      <c r="BA3">
        <v>1</v>
      </c>
      <c r="BB3" t="str">
        <v>Keyboard</v>
      </c>
      <c r="BC3" s="6">
        <f t="shared" ref="BC3:BC66" si="4">ROUND(MONTH(B3)/3,0)</f>
        <v>0</v>
      </c>
      <c r="BD3" t="str">
        <f t="shared" ref="BD3:BD66" si="5">IF(M3&gt;100000,"Bonus!","")</f>
        <v/>
      </c>
      <c r="BE3" s="8">
        <f t="shared" ref="BE3:BE66" si="6">_xlfn.LET(_xlpm.profit,M3,_xlpm.sales,K3,_xlpm.profit/_xlpm.sales)</f>
        <v>0.3136912703972744</v>
      </c>
      <c r="BF3" t="str">
        <v>Customer_1</v>
      </c>
      <c r="BG3" t="str">
        <f t="shared" ref="BG3:BG66" si="7">_xlfn.TEXTJOIN("-",TRUE,C3,G3)</f>
        <v>South-Keyboard</v>
      </c>
      <c r="BH3">
        <f t="shared" ref="BH3:BH66" si="8">YEAR(B3)</f>
        <v>2024</v>
      </c>
      <c r="BI3" t="str">
        <f t="shared" ref="BI3:BI66" si="9">TEXT(B3,"mmmm")</f>
        <v>January</v>
      </c>
      <c r="BJ3">
        <f t="shared" ca="1" si="0"/>
        <v>648</v>
      </c>
      <c r="BK3" s="8">
        <f t="shared" ref="BK3:BK66" si="10">M3/K3</f>
        <v>0.3136912703972744</v>
      </c>
      <c r="BL3">
        <f t="shared" ref="BL3:BL66" si="11">_xlfn.XLOOKUP(G3,G:G,I:I,"",0)</f>
        <v>23829</v>
      </c>
      <c r="BM3">
        <f t="shared" ref="BM3:BM66" si="12">_xlfn.XMATCH(E3,E:E,0)</f>
        <v>3</v>
      </c>
      <c r="BN3">
        <v>1002</v>
      </c>
      <c r="BO3">
        <v>45533</v>
      </c>
      <c r="BP3" t="str">
        <v>West</v>
      </c>
      <c r="BQ3" t="str">
        <v>Rohan</v>
      </c>
      <c r="BR3" t="str">
        <v>Customer_46</v>
      </c>
      <c r="BS3" t="str">
        <v>Electronics</v>
      </c>
      <c r="BT3" t="str">
        <v>Phone</v>
      </c>
      <c r="BU3">
        <v>18</v>
      </c>
      <c r="BV3">
        <v>33295</v>
      </c>
      <c r="BW3">
        <v>20</v>
      </c>
      <c r="BX3">
        <v>479448</v>
      </c>
      <c r="BY3">
        <v>300270</v>
      </c>
      <c r="BZ3">
        <v>179178</v>
      </c>
      <c r="CA3" t="str">
        <v>Card</v>
      </c>
      <c r="CB3">
        <v>7</v>
      </c>
      <c r="CC3">
        <v>4.3</v>
      </c>
      <c r="CD3" t="b">
        <f>COUNTIF(Sales_Data!E:E,Sales_Data!E3)&gt;1</f>
        <v>1</v>
      </c>
      <c r="CE3">
        <f>SUM(Sales_Data!$K$2:'Sales_Data'!K3)</f>
        <v>728461.05</v>
      </c>
      <c r="CF3">
        <f t="shared" ref="CF3:CF66" si="13">K3*1.15</f>
        <v>286365.00749999995</v>
      </c>
      <c r="CG3" t="str">
        <f>CHOOSE(MATCH(C3,{"North","West","South","East"},0),"Zone 1","Zone 2","Zone 3","Zone 4")</f>
        <v>Zone 3</v>
      </c>
      <c r="CH3" t="str" cm="1">
        <f t="array" ref="CH3">_xlfn.SWITCH(N3,"Card","Card Payment","UPI", "UPI Payment","Cash","Cash Payment","NetBanking", "NetBanking Payment", "Unknown")</f>
        <v>UPI Payment</v>
      </c>
      <c r="CI3" t="str" cm="1">
        <f t="array" ref="CI3">_xlfn.IFS(Sales_Data!J3&lt;=5,"Low",Sales_Data!J3&lt;=10,"Medium",Sales_Data!J3&gt;10,"High")</f>
        <v>Low</v>
      </c>
    </row>
    <row r="4" spans="1:87" x14ac:dyDescent="0.3">
      <c r="A4">
        <v>1004</v>
      </c>
      <c r="B4" s="1">
        <v>45442</v>
      </c>
      <c r="C4" t="s">
        <v>22</v>
      </c>
      <c r="D4" t="s">
        <v>28</v>
      </c>
      <c r="E4" t="s">
        <v>29</v>
      </c>
      <c r="F4" t="s">
        <v>25</v>
      </c>
      <c r="G4" t="s">
        <v>30</v>
      </c>
      <c r="H4">
        <v>20</v>
      </c>
      <c r="I4">
        <v>13233</v>
      </c>
      <c r="J4">
        <v>20</v>
      </c>
      <c r="K4">
        <v>211728</v>
      </c>
      <c r="L4">
        <v>178596.79</v>
      </c>
      <c r="M4">
        <v>33131.21</v>
      </c>
      <c r="N4" t="s">
        <v>27</v>
      </c>
      <c r="O4">
        <v>10</v>
      </c>
      <c r="P4">
        <v>3.2</v>
      </c>
      <c r="Q4">
        <f t="shared" si="1"/>
        <v>127</v>
      </c>
      <c r="R4" t="str">
        <f t="shared" si="2"/>
        <v>Desk</v>
      </c>
      <c r="S4" t="e">
        <f t="shared" si="3"/>
        <v>#N/A</v>
      </c>
      <c r="T4">
        <v>45677</v>
      </c>
      <c r="U4" t="str">
        <v>South</v>
      </c>
      <c r="V4" t="str">
        <v>Neha</v>
      </c>
      <c r="W4" t="str">
        <v>Customer_6</v>
      </c>
      <c r="X4" t="str">
        <v>Electronics</v>
      </c>
      <c r="Y4" t="str">
        <v>Phone</v>
      </c>
      <c r="Z4">
        <v>14</v>
      </c>
      <c r="AA4">
        <v>44162</v>
      </c>
      <c r="AB4">
        <v>15</v>
      </c>
      <c r="AC4">
        <v>525527.80000000005</v>
      </c>
      <c r="AD4">
        <v>431802.75</v>
      </c>
      <c r="AE4">
        <v>93725.05</v>
      </c>
      <c r="AF4" t="str">
        <v>UPI</v>
      </c>
      <c r="AG4">
        <v>3</v>
      </c>
      <c r="AH4">
        <v>5</v>
      </c>
      <c r="AI4">
        <v>63</v>
      </c>
      <c r="AJ4" t="str">
        <v>Phone</v>
      </c>
      <c r="AK4">
        <v>1079</v>
      </c>
      <c r="AL4">
        <v>45526</v>
      </c>
      <c r="AM4" t="str">
        <v>North</v>
      </c>
      <c r="AN4" t="str">
        <v>Arjun</v>
      </c>
      <c r="AO4" t="str">
        <v>Customer_7</v>
      </c>
      <c r="AP4" t="str">
        <v>Furniture</v>
      </c>
      <c r="AQ4" t="str">
        <v>Printer</v>
      </c>
      <c r="AR4">
        <v>20</v>
      </c>
      <c r="AS4">
        <v>49976</v>
      </c>
      <c r="AT4">
        <v>0</v>
      </c>
      <c r="AU4">
        <v>999520</v>
      </c>
      <c r="AV4">
        <v>718924.05</v>
      </c>
      <c r="AW4">
        <v>280595.95</v>
      </c>
      <c r="AX4" t="str">
        <v>UPI</v>
      </c>
      <c r="AY4">
        <v>1</v>
      </c>
      <c r="AZ4">
        <v>3.1</v>
      </c>
      <c r="BA4">
        <v>2</v>
      </c>
      <c r="BB4" t="str">
        <v>Printer</v>
      </c>
      <c r="BC4" s="6">
        <f t="shared" si="4"/>
        <v>2</v>
      </c>
      <c r="BD4" t="str">
        <f t="shared" si="5"/>
        <v/>
      </c>
      <c r="BE4" s="8">
        <f t="shared" si="6"/>
        <v>0.15648005932139347</v>
      </c>
      <c r="BF4" t="str">
        <v>Customer_10</v>
      </c>
      <c r="BG4" t="str">
        <f t="shared" si="7"/>
        <v>South-Desk</v>
      </c>
      <c r="BH4">
        <f t="shared" si="8"/>
        <v>2024</v>
      </c>
      <c r="BI4" t="str">
        <f t="shared" si="9"/>
        <v>May</v>
      </c>
      <c r="BJ4">
        <f t="shared" ca="1" si="0"/>
        <v>545</v>
      </c>
      <c r="BK4" s="8">
        <f t="shared" si="10"/>
        <v>0.15648005932139347</v>
      </c>
      <c r="BL4">
        <f t="shared" si="11"/>
        <v>13233</v>
      </c>
      <c r="BM4">
        <f t="shared" si="12"/>
        <v>4</v>
      </c>
      <c r="BN4">
        <v>1003</v>
      </c>
      <c r="BO4">
        <v>45298</v>
      </c>
      <c r="BP4" t="str">
        <v>South</v>
      </c>
      <c r="BQ4" t="str">
        <v>Karan</v>
      </c>
      <c r="BR4" t="str">
        <v>Customer_49</v>
      </c>
      <c r="BS4" t="str">
        <v>Office Supplies</v>
      </c>
      <c r="BT4" t="str">
        <v>Keyboard</v>
      </c>
      <c r="BU4">
        <v>11</v>
      </c>
      <c r="BV4">
        <v>23829</v>
      </c>
      <c r="BW4">
        <v>5</v>
      </c>
      <c r="BX4">
        <v>249013.05</v>
      </c>
      <c r="BY4">
        <v>170899.83</v>
      </c>
      <c r="BZ4">
        <v>78113.22</v>
      </c>
      <c r="CA4" t="str">
        <v>UPI</v>
      </c>
      <c r="CB4">
        <v>3</v>
      </c>
      <c r="CC4">
        <v>4.7</v>
      </c>
      <c r="CD4" t="b">
        <f>COUNTIF(Sales_Data!E:E,Sales_Data!E4)&gt;1</f>
        <v>0</v>
      </c>
      <c r="CE4">
        <f>SUM(Sales_Data!$K$2:'Sales_Data'!K4)</f>
        <v>940189.05</v>
      </c>
      <c r="CF4">
        <f t="shared" si="13"/>
        <v>243487.19999999998</v>
      </c>
      <c r="CG4" t="str">
        <f>CHOOSE(MATCH(C4,{"North","West","South","East"},0),"Zone 1","Zone 2","Zone 3","Zone 4")</f>
        <v>Zone 3</v>
      </c>
      <c r="CH4" t="str" cm="1">
        <f t="array" ref="CH4">_xlfn.SWITCH(N4,"Card","Card Payment","UPI", "UPI Payment","Cash","Cash Payment","NetBanking", "NetBanking Payment", "Unknown")</f>
        <v>UPI Payment</v>
      </c>
      <c r="CI4" t="str" cm="1">
        <f t="array" ref="CI4">_xlfn.IFS(Sales_Data!J4&lt;=5,"Low",Sales_Data!J4&lt;=10,"Medium",Sales_Data!J4&gt;10,"High")</f>
        <v>High</v>
      </c>
    </row>
    <row r="5" spans="1:87" x14ac:dyDescent="0.3">
      <c r="A5">
        <v>1005</v>
      </c>
      <c r="B5" s="1">
        <v>45677</v>
      </c>
      <c r="C5" t="s">
        <v>22</v>
      </c>
      <c r="D5" t="s">
        <v>31</v>
      </c>
      <c r="E5" t="s">
        <v>32</v>
      </c>
      <c r="F5" t="s">
        <v>19</v>
      </c>
      <c r="G5" t="s">
        <v>20</v>
      </c>
      <c r="H5">
        <v>14</v>
      </c>
      <c r="I5">
        <v>44162</v>
      </c>
      <c r="J5">
        <v>15</v>
      </c>
      <c r="K5">
        <v>525527.80000000005</v>
      </c>
      <c r="L5">
        <v>431802.75</v>
      </c>
      <c r="M5">
        <v>93725.05</v>
      </c>
      <c r="N5" t="s">
        <v>27</v>
      </c>
      <c r="O5">
        <v>3</v>
      </c>
      <c r="P5">
        <v>5</v>
      </c>
      <c r="Q5">
        <f t="shared" si="1"/>
        <v>63</v>
      </c>
      <c r="R5" t="str">
        <f t="shared" si="2"/>
        <v>Phone</v>
      </c>
      <c r="S5" t="e">
        <f t="shared" si="3"/>
        <v>#N/A</v>
      </c>
      <c r="T5">
        <v>45384</v>
      </c>
      <c r="U5" t="str">
        <v>East</v>
      </c>
      <c r="V5" t="str">
        <v>Rohan</v>
      </c>
      <c r="W5" t="str">
        <v>Customer_36</v>
      </c>
      <c r="X5" t="str">
        <v>Furniture</v>
      </c>
      <c r="Y5" t="str">
        <v>Laptop</v>
      </c>
      <c r="Z5">
        <v>9</v>
      </c>
      <c r="AA5">
        <v>30283</v>
      </c>
      <c r="AB5">
        <v>10</v>
      </c>
      <c r="AC5">
        <v>245292.3</v>
      </c>
      <c r="AD5">
        <v>149179.91</v>
      </c>
      <c r="AE5">
        <v>96112.39</v>
      </c>
      <c r="AF5" t="str">
        <v>Cash</v>
      </c>
      <c r="AG5">
        <v>10</v>
      </c>
      <c r="AH5">
        <v>2.8</v>
      </c>
      <c r="AI5">
        <v>61</v>
      </c>
      <c r="AJ5" t="str">
        <v>Laptop</v>
      </c>
      <c r="AK5">
        <v>1078</v>
      </c>
      <c r="AL5">
        <v>45547</v>
      </c>
      <c r="AM5" t="str">
        <v>North</v>
      </c>
      <c r="AN5" t="str">
        <v>Arjun</v>
      </c>
      <c r="AO5" t="str">
        <v>Customer_21</v>
      </c>
      <c r="AP5" t="str">
        <v>Furniture</v>
      </c>
      <c r="AQ5" t="str">
        <v>Keyboard</v>
      </c>
      <c r="AR5">
        <v>17</v>
      </c>
      <c r="AS5">
        <v>47832</v>
      </c>
      <c r="AT5">
        <v>15</v>
      </c>
      <c r="AU5">
        <v>691172.4</v>
      </c>
      <c r="AV5">
        <v>411242.55</v>
      </c>
      <c r="AW5">
        <v>279929.84999999998</v>
      </c>
      <c r="AX5" t="str">
        <v>Card</v>
      </c>
      <c r="AY5">
        <v>2</v>
      </c>
      <c r="AZ5">
        <v>3.2</v>
      </c>
      <c r="BA5">
        <v>3</v>
      </c>
      <c r="BB5" t="str">
        <v>Keyboard</v>
      </c>
      <c r="BC5" s="6">
        <f t="shared" si="4"/>
        <v>0</v>
      </c>
      <c r="BD5" t="str">
        <f t="shared" si="5"/>
        <v/>
      </c>
      <c r="BE5" s="8">
        <f t="shared" si="6"/>
        <v>0.17834460898167517</v>
      </c>
      <c r="BF5" t="str">
        <v>Customer_10</v>
      </c>
      <c r="BG5" t="str">
        <f t="shared" si="7"/>
        <v>South-Phone</v>
      </c>
      <c r="BH5">
        <f t="shared" si="8"/>
        <v>2025</v>
      </c>
      <c r="BI5" t="str">
        <f t="shared" si="9"/>
        <v>January</v>
      </c>
      <c r="BJ5">
        <f t="shared" ca="1" si="0"/>
        <v>378</v>
      </c>
      <c r="BK5" s="8">
        <f t="shared" si="10"/>
        <v>0.17834460898167517</v>
      </c>
      <c r="BL5">
        <f t="shared" si="11"/>
        <v>33295</v>
      </c>
      <c r="BM5">
        <f t="shared" si="12"/>
        <v>5</v>
      </c>
      <c r="BN5">
        <v>1004</v>
      </c>
      <c r="BO5">
        <v>45442</v>
      </c>
      <c r="BP5" t="str">
        <v>South</v>
      </c>
      <c r="BQ5" t="str">
        <v>Arjun</v>
      </c>
      <c r="BR5" t="str">
        <v>Customer_24</v>
      </c>
      <c r="BS5" t="str">
        <v>Office Supplies</v>
      </c>
      <c r="BT5" t="str">
        <v>Desk</v>
      </c>
      <c r="BU5">
        <v>20</v>
      </c>
      <c r="BV5">
        <v>13233</v>
      </c>
      <c r="BW5">
        <v>20</v>
      </c>
      <c r="BX5">
        <v>211728</v>
      </c>
      <c r="BY5">
        <v>178596.79</v>
      </c>
      <c r="BZ5">
        <v>33131.21</v>
      </c>
      <c r="CA5" t="str">
        <v>UPI</v>
      </c>
      <c r="CB5">
        <v>10</v>
      </c>
      <c r="CC5">
        <v>3.2</v>
      </c>
      <c r="CD5" t="b">
        <f>COUNTIF(Sales_Data!E:E,Sales_Data!E5)&gt;1</f>
        <v>1</v>
      </c>
      <c r="CE5">
        <f>SUM(Sales_Data!$K$2:'Sales_Data'!K5)</f>
        <v>1465716.85</v>
      </c>
      <c r="CF5">
        <f t="shared" si="13"/>
        <v>604356.97</v>
      </c>
      <c r="CG5" t="str">
        <f>CHOOSE(MATCH(C5,{"North","West","South","East"},0),"Zone 1","Zone 2","Zone 3","Zone 4")</f>
        <v>Zone 3</v>
      </c>
      <c r="CH5" t="str" cm="1">
        <f t="array" ref="CH5">_xlfn.SWITCH(N5,"Card","Card Payment","UPI", "UPI Payment","Cash","Cash Payment","NetBanking", "NetBanking Payment", "Unknown")</f>
        <v>UPI Payment</v>
      </c>
      <c r="CI5" t="str" cm="1">
        <f t="array" ref="CI5">_xlfn.IFS(Sales_Data!J5&lt;=5,"Low",Sales_Data!J5&lt;=10,"Medium",Sales_Data!J5&gt;10,"High")</f>
        <v>High</v>
      </c>
    </row>
    <row r="6" spans="1:87" x14ac:dyDescent="0.3">
      <c r="A6">
        <v>1006</v>
      </c>
      <c r="B6" s="1">
        <v>45384</v>
      </c>
      <c r="C6" t="s">
        <v>33</v>
      </c>
      <c r="D6" t="s">
        <v>17</v>
      </c>
      <c r="E6" t="s">
        <v>34</v>
      </c>
      <c r="F6" t="s">
        <v>35</v>
      </c>
      <c r="G6" t="s">
        <v>36</v>
      </c>
      <c r="H6">
        <v>9</v>
      </c>
      <c r="I6">
        <v>30283</v>
      </c>
      <c r="J6">
        <v>10</v>
      </c>
      <c r="K6">
        <v>245292.3</v>
      </c>
      <c r="L6">
        <v>149179.91</v>
      </c>
      <c r="M6">
        <v>96112.39</v>
      </c>
      <c r="N6" t="s">
        <v>37</v>
      </c>
      <c r="O6">
        <v>10</v>
      </c>
      <c r="P6">
        <v>2.8</v>
      </c>
      <c r="Q6">
        <f t="shared" si="1"/>
        <v>61</v>
      </c>
      <c r="R6" t="str">
        <f t="shared" si="2"/>
        <v>Laptop</v>
      </c>
      <c r="S6" t="e">
        <f t="shared" si="3"/>
        <v>#N/A</v>
      </c>
      <c r="T6">
        <v>45496</v>
      </c>
      <c r="U6" t="str">
        <v>East</v>
      </c>
      <c r="V6" t="str">
        <v>Karan</v>
      </c>
      <c r="W6" t="str">
        <v>Customer_46</v>
      </c>
      <c r="X6" t="str">
        <v>Electronics</v>
      </c>
      <c r="Y6" t="str">
        <v>Keyboard</v>
      </c>
      <c r="Z6">
        <v>18</v>
      </c>
      <c r="AA6">
        <v>22848</v>
      </c>
      <c r="AB6">
        <v>5</v>
      </c>
      <c r="AC6">
        <v>390700.79999999999</v>
      </c>
      <c r="AD6">
        <v>234134.57</v>
      </c>
      <c r="AE6">
        <v>156566.23000000001</v>
      </c>
      <c r="AF6" t="str">
        <v>UPI</v>
      </c>
      <c r="AG6">
        <v>4</v>
      </c>
      <c r="AH6">
        <v>3.9</v>
      </c>
      <c r="AI6">
        <v>23</v>
      </c>
      <c r="AJ6" t="str">
        <v>Keyboard</v>
      </c>
      <c r="AK6">
        <v>1157</v>
      </c>
      <c r="AL6">
        <v>45336</v>
      </c>
      <c r="AM6" t="str">
        <v>North</v>
      </c>
      <c r="AN6" t="str">
        <v>Neha</v>
      </c>
      <c r="AO6" t="str">
        <v>Customer_47</v>
      </c>
      <c r="AP6" t="str">
        <v>Furniture</v>
      </c>
      <c r="AQ6" t="str">
        <v>Monitor</v>
      </c>
      <c r="AR6">
        <v>20</v>
      </c>
      <c r="AS6">
        <v>43635</v>
      </c>
      <c r="AT6">
        <v>5</v>
      </c>
      <c r="AU6">
        <v>829065</v>
      </c>
      <c r="AV6">
        <v>563160.05000000005</v>
      </c>
      <c r="AW6">
        <v>265904.95</v>
      </c>
      <c r="AX6" t="str">
        <v>UPI</v>
      </c>
      <c r="AY6">
        <v>1</v>
      </c>
      <c r="AZ6">
        <v>4.8</v>
      </c>
      <c r="BA6">
        <v>4</v>
      </c>
      <c r="BB6" t="str">
        <v>Monitor</v>
      </c>
      <c r="BC6" s="6">
        <f t="shared" si="4"/>
        <v>1</v>
      </c>
      <c r="BD6" t="str">
        <f t="shared" si="5"/>
        <v/>
      </c>
      <c r="BE6" s="8">
        <f t="shared" si="6"/>
        <v>0.39182799460072737</v>
      </c>
      <c r="BF6" t="str">
        <v>Customer_10</v>
      </c>
      <c r="BG6" t="str">
        <f t="shared" si="7"/>
        <v>East-Laptop</v>
      </c>
      <c r="BH6">
        <f t="shared" si="8"/>
        <v>2024</v>
      </c>
      <c r="BI6" t="str">
        <f t="shared" si="9"/>
        <v>April</v>
      </c>
      <c r="BJ6">
        <f t="shared" ca="1" si="0"/>
        <v>587</v>
      </c>
      <c r="BK6" s="8">
        <f t="shared" si="10"/>
        <v>0.39182799460072737</v>
      </c>
      <c r="BL6">
        <f t="shared" si="11"/>
        <v>30283</v>
      </c>
      <c r="BM6">
        <f t="shared" si="12"/>
        <v>6</v>
      </c>
      <c r="BN6">
        <v>1005</v>
      </c>
      <c r="BO6">
        <v>45677</v>
      </c>
      <c r="BP6" t="str">
        <v>South</v>
      </c>
      <c r="BQ6" t="str">
        <v>Neha</v>
      </c>
      <c r="BR6" t="str">
        <v>Customer_6</v>
      </c>
      <c r="BS6" t="str">
        <v>Electronics</v>
      </c>
      <c r="BT6" t="str">
        <v>Phone</v>
      </c>
      <c r="BU6">
        <v>14</v>
      </c>
      <c r="BV6">
        <v>44162</v>
      </c>
      <c r="BW6">
        <v>15</v>
      </c>
      <c r="BX6">
        <v>525527.80000000005</v>
      </c>
      <c r="BY6">
        <v>431802.75</v>
      </c>
      <c r="BZ6">
        <v>93725.05</v>
      </c>
      <c r="CA6" t="str">
        <v>UPI</v>
      </c>
      <c r="CB6">
        <v>3</v>
      </c>
      <c r="CC6">
        <v>5</v>
      </c>
      <c r="CD6" t="b">
        <f>COUNTIF(Sales_Data!E:E,Sales_Data!E6)&gt;1</f>
        <v>1</v>
      </c>
      <c r="CE6">
        <f>SUM(Sales_Data!$K$2:'Sales_Data'!K6)</f>
        <v>1711009.1500000001</v>
      </c>
      <c r="CF6">
        <f t="shared" si="13"/>
        <v>282086.14499999996</v>
      </c>
      <c r="CG6" t="str">
        <f>CHOOSE(MATCH(C6,{"North","West","South","East"},0),"Zone 1","Zone 2","Zone 3","Zone 4")</f>
        <v>Zone 4</v>
      </c>
      <c r="CH6" t="str" cm="1">
        <f t="array" ref="CH6">_xlfn.SWITCH(N6,"Card","Card Payment","UPI", "UPI Payment","Cash","Cash Payment","NetBanking", "NetBanking Payment", "Unknown")</f>
        <v>Cash Payment</v>
      </c>
      <c r="CI6" t="str" cm="1">
        <f t="array" ref="CI6">_xlfn.IFS(Sales_Data!J6&lt;=5,"Low",Sales_Data!J6&lt;=10,"Medium",Sales_Data!J6&gt;10,"High")</f>
        <v>Medium</v>
      </c>
    </row>
    <row r="7" spans="1:87" x14ac:dyDescent="0.3">
      <c r="A7">
        <v>1007</v>
      </c>
      <c r="B7" s="1">
        <v>45551</v>
      </c>
      <c r="C7" t="s">
        <v>22</v>
      </c>
      <c r="D7" t="s">
        <v>31</v>
      </c>
      <c r="E7" t="s">
        <v>38</v>
      </c>
      <c r="F7" t="s">
        <v>35</v>
      </c>
      <c r="G7" t="s">
        <v>26</v>
      </c>
      <c r="H7">
        <v>8</v>
      </c>
      <c r="I7">
        <v>24791</v>
      </c>
      <c r="J7">
        <v>5</v>
      </c>
      <c r="K7">
        <v>188411.6</v>
      </c>
      <c r="L7">
        <v>136789.64000000001</v>
      </c>
      <c r="M7">
        <v>51621.96</v>
      </c>
      <c r="N7" t="s">
        <v>27</v>
      </c>
      <c r="O7">
        <v>2</v>
      </c>
      <c r="P7">
        <v>2.7</v>
      </c>
      <c r="Q7">
        <f t="shared" si="1"/>
        <v>106</v>
      </c>
      <c r="R7" t="str">
        <f t="shared" si="2"/>
        <v>Keyboard</v>
      </c>
      <c r="S7" t="e">
        <f t="shared" si="3"/>
        <v>#N/A</v>
      </c>
      <c r="T7">
        <v>45297</v>
      </c>
      <c r="U7" t="str">
        <v>East</v>
      </c>
      <c r="V7" t="str">
        <v>Rohan</v>
      </c>
      <c r="W7" t="str">
        <v>Customer_20</v>
      </c>
      <c r="X7" t="str">
        <v>Office Supplies</v>
      </c>
      <c r="Y7" t="str">
        <v>Monitor</v>
      </c>
      <c r="Z7">
        <v>18</v>
      </c>
      <c r="AA7">
        <v>26687</v>
      </c>
      <c r="AB7">
        <v>0</v>
      </c>
      <c r="AC7">
        <v>480366</v>
      </c>
      <c r="AD7">
        <v>387524.91</v>
      </c>
      <c r="AE7">
        <v>92841.09</v>
      </c>
      <c r="AF7" t="str">
        <v>NetBanking</v>
      </c>
      <c r="AG7">
        <v>8</v>
      </c>
      <c r="AH7">
        <v>4.8</v>
      </c>
      <c r="AI7">
        <v>64</v>
      </c>
      <c r="AJ7" t="str">
        <v>Monitor</v>
      </c>
      <c r="AK7">
        <v>1063</v>
      </c>
      <c r="AL7">
        <v>45597</v>
      </c>
      <c r="AM7" t="str">
        <v>East</v>
      </c>
      <c r="AN7" t="str">
        <v>Rohan</v>
      </c>
      <c r="AO7" t="str">
        <v>Customer_37</v>
      </c>
      <c r="AP7" t="str">
        <v>Office Supplies</v>
      </c>
      <c r="AQ7" t="str">
        <v>Phone</v>
      </c>
      <c r="AR7">
        <v>14</v>
      </c>
      <c r="AS7">
        <v>43915</v>
      </c>
      <c r="AT7">
        <v>10</v>
      </c>
      <c r="AU7">
        <v>553329</v>
      </c>
      <c r="AV7">
        <v>308406.03999999998</v>
      </c>
      <c r="AW7">
        <v>244922.96</v>
      </c>
      <c r="AX7" t="str">
        <v>Cash</v>
      </c>
      <c r="AY7">
        <v>10</v>
      </c>
      <c r="AZ7">
        <v>3</v>
      </c>
      <c r="BA7">
        <v>5</v>
      </c>
      <c r="BB7" t="str">
        <v>Phone</v>
      </c>
      <c r="BC7" s="6">
        <f t="shared" si="4"/>
        <v>3</v>
      </c>
      <c r="BD7" t="str">
        <f t="shared" si="5"/>
        <v/>
      </c>
      <c r="BE7" s="8">
        <f t="shared" si="6"/>
        <v>0.27398504126072915</v>
      </c>
      <c r="BF7" t="str">
        <v>Customer_10</v>
      </c>
      <c r="BG7" t="str">
        <f t="shared" si="7"/>
        <v>South-Keyboard</v>
      </c>
      <c r="BH7">
        <f t="shared" si="8"/>
        <v>2024</v>
      </c>
      <c r="BI7" t="str">
        <f t="shared" si="9"/>
        <v>September</v>
      </c>
      <c r="BJ7">
        <f t="shared" ca="1" si="0"/>
        <v>468</v>
      </c>
      <c r="BK7" s="8">
        <f t="shared" si="10"/>
        <v>0.27398504126072915</v>
      </c>
      <c r="BL7">
        <f t="shared" si="11"/>
        <v>23829</v>
      </c>
      <c r="BM7">
        <f t="shared" si="12"/>
        <v>7</v>
      </c>
      <c r="BN7">
        <v>1006</v>
      </c>
      <c r="BO7">
        <v>45384</v>
      </c>
      <c r="BP7" t="str">
        <v>East</v>
      </c>
      <c r="BQ7" t="str">
        <v>Rohan</v>
      </c>
      <c r="BR7" t="str">
        <v>Customer_36</v>
      </c>
      <c r="BS7" t="str">
        <v>Furniture</v>
      </c>
      <c r="BT7" t="str">
        <v>Laptop</v>
      </c>
      <c r="BU7">
        <v>9</v>
      </c>
      <c r="BV7">
        <v>30283</v>
      </c>
      <c r="BW7">
        <v>10</v>
      </c>
      <c r="BX7">
        <v>245292.3</v>
      </c>
      <c r="BY7">
        <v>149179.91</v>
      </c>
      <c r="BZ7">
        <v>96112.39</v>
      </c>
      <c r="CA7" t="str">
        <v>Cash</v>
      </c>
      <c r="CB7">
        <v>10</v>
      </c>
      <c r="CC7">
        <v>2.8</v>
      </c>
      <c r="CD7" t="b">
        <f>COUNTIF(Sales_Data!E:E,Sales_Data!E7)&gt;1</f>
        <v>1</v>
      </c>
      <c r="CE7">
        <f>SUM(Sales_Data!$K$2:'Sales_Data'!K7)</f>
        <v>1899420.7500000002</v>
      </c>
      <c r="CF7">
        <f t="shared" si="13"/>
        <v>216673.34</v>
      </c>
      <c r="CG7" t="str">
        <f>CHOOSE(MATCH(C7,{"North","West","South","East"},0),"Zone 1","Zone 2","Zone 3","Zone 4")</f>
        <v>Zone 3</v>
      </c>
      <c r="CH7" t="str" cm="1">
        <f t="array" ref="CH7">_xlfn.SWITCH(N7,"Card","Card Payment","UPI", "UPI Payment","Cash","Cash Payment","NetBanking", "NetBanking Payment", "Unknown")</f>
        <v>UPI Payment</v>
      </c>
      <c r="CI7" t="str" cm="1">
        <f t="array" ref="CI7">_xlfn.IFS(Sales_Data!J7&lt;=5,"Low",Sales_Data!J7&lt;=10,"Medium",Sales_Data!J7&gt;10,"High")</f>
        <v>Low</v>
      </c>
    </row>
    <row r="8" spans="1:87" x14ac:dyDescent="0.3">
      <c r="A8">
        <v>1008</v>
      </c>
      <c r="B8" s="1">
        <v>45643</v>
      </c>
      <c r="C8" t="s">
        <v>22</v>
      </c>
      <c r="D8" t="s">
        <v>39</v>
      </c>
      <c r="E8" t="s">
        <v>40</v>
      </c>
      <c r="F8" t="s">
        <v>35</v>
      </c>
      <c r="G8" t="s">
        <v>41</v>
      </c>
      <c r="H8">
        <v>16</v>
      </c>
      <c r="I8">
        <v>4972</v>
      </c>
      <c r="J8">
        <v>15</v>
      </c>
      <c r="K8">
        <v>67619.199999999997</v>
      </c>
      <c r="L8">
        <v>50347.29</v>
      </c>
      <c r="M8">
        <v>17271.91</v>
      </c>
      <c r="N8" t="s">
        <v>37</v>
      </c>
      <c r="O8">
        <v>10</v>
      </c>
      <c r="P8">
        <v>2.5</v>
      </c>
      <c r="Q8">
        <f t="shared" si="1"/>
        <v>153</v>
      </c>
      <c r="R8" t="str">
        <f t="shared" si="2"/>
        <v>Chair</v>
      </c>
      <c r="S8" t="e">
        <f t="shared" si="3"/>
        <v>#N/A</v>
      </c>
      <c r="T8">
        <v>45452</v>
      </c>
      <c r="U8" t="str">
        <v>South</v>
      </c>
      <c r="V8" t="str">
        <v>Sneha</v>
      </c>
      <c r="W8" t="str">
        <v>Customer_44</v>
      </c>
      <c r="X8" t="str">
        <v>Electronics</v>
      </c>
      <c r="Y8" t="str">
        <v>Monitor</v>
      </c>
      <c r="Z8">
        <v>16</v>
      </c>
      <c r="AA8">
        <v>28272</v>
      </c>
      <c r="AB8">
        <v>10</v>
      </c>
      <c r="AC8">
        <v>407116.79999999999</v>
      </c>
      <c r="AD8">
        <v>247249.79</v>
      </c>
      <c r="AE8">
        <v>159867.01</v>
      </c>
      <c r="AF8" t="str">
        <v>UPI</v>
      </c>
      <c r="AG8">
        <v>2</v>
      </c>
      <c r="AH8">
        <v>4.4000000000000004</v>
      </c>
      <c r="AI8">
        <v>21</v>
      </c>
      <c r="AJ8" t="str">
        <v>Monitor</v>
      </c>
      <c r="AK8">
        <v>1148</v>
      </c>
      <c r="AL8">
        <v>45569</v>
      </c>
      <c r="AM8" t="str">
        <v>West</v>
      </c>
      <c r="AN8" t="str">
        <v>Arjun</v>
      </c>
      <c r="AO8" t="str">
        <v>Customer_3</v>
      </c>
      <c r="AP8" t="str">
        <v>Electronics</v>
      </c>
      <c r="AQ8" t="str">
        <v>Chair</v>
      </c>
      <c r="AR8">
        <v>19</v>
      </c>
      <c r="AS8">
        <v>37146</v>
      </c>
      <c r="AT8">
        <v>10</v>
      </c>
      <c r="AU8">
        <v>635196.6</v>
      </c>
      <c r="AV8">
        <v>393954.8</v>
      </c>
      <c r="AW8">
        <v>241241.8</v>
      </c>
      <c r="AX8" t="str">
        <v>NetBanking</v>
      </c>
      <c r="AY8">
        <v>10</v>
      </c>
      <c r="AZ8">
        <v>3.5</v>
      </c>
      <c r="BA8">
        <v>6</v>
      </c>
      <c r="BB8" t="str">
        <v>Chair</v>
      </c>
      <c r="BC8" s="6">
        <f t="shared" si="4"/>
        <v>4</v>
      </c>
      <c r="BD8" t="str">
        <f t="shared" si="5"/>
        <v/>
      </c>
      <c r="BE8" s="8">
        <f t="shared" si="6"/>
        <v>0.25542907931475084</v>
      </c>
      <c r="BF8" t="str">
        <v>Customer_10</v>
      </c>
      <c r="BG8" t="str">
        <f t="shared" si="7"/>
        <v>South-Chair</v>
      </c>
      <c r="BH8">
        <f t="shared" si="8"/>
        <v>2024</v>
      </c>
      <c r="BI8" t="str">
        <f t="shared" si="9"/>
        <v>December</v>
      </c>
      <c r="BJ8">
        <f t="shared" ca="1" si="0"/>
        <v>402</v>
      </c>
      <c r="BK8" s="8">
        <f t="shared" si="10"/>
        <v>0.25542907931475084</v>
      </c>
      <c r="BL8">
        <f t="shared" si="11"/>
        <v>4972</v>
      </c>
      <c r="BM8">
        <f t="shared" si="12"/>
        <v>8</v>
      </c>
      <c r="BN8">
        <v>1007</v>
      </c>
      <c r="BO8">
        <v>45551</v>
      </c>
      <c r="BP8" t="str">
        <v>South</v>
      </c>
      <c r="BQ8" t="str">
        <v>Neha</v>
      </c>
      <c r="BR8" t="str">
        <v>Customer_12</v>
      </c>
      <c r="BS8" t="str">
        <v>Furniture</v>
      </c>
      <c r="BT8" t="str">
        <v>Keyboard</v>
      </c>
      <c r="BU8">
        <v>8</v>
      </c>
      <c r="BV8">
        <v>24791</v>
      </c>
      <c r="BW8">
        <v>5</v>
      </c>
      <c r="BX8">
        <v>188411.6</v>
      </c>
      <c r="BY8">
        <v>136789.64000000001</v>
      </c>
      <c r="BZ8">
        <v>51621.96</v>
      </c>
      <c r="CA8" t="str">
        <v>UPI</v>
      </c>
      <c r="CB8">
        <v>2</v>
      </c>
      <c r="CC8">
        <v>2.7</v>
      </c>
      <c r="CD8" t="b">
        <f>COUNTIF(Sales_Data!E:E,Sales_Data!E8)&gt;1</f>
        <v>1</v>
      </c>
      <c r="CE8">
        <f>SUM(Sales_Data!$K$2:'Sales_Data'!K8)</f>
        <v>1967039.9500000002</v>
      </c>
      <c r="CF8">
        <f t="shared" si="13"/>
        <v>77762.079999999987</v>
      </c>
      <c r="CG8" t="str">
        <f>CHOOSE(MATCH(C8,{"North","West","South","East"},0),"Zone 1","Zone 2","Zone 3","Zone 4")</f>
        <v>Zone 3</v>
      </c>
      <c r="CH8" t="str" cm="1">
        <f t="array" ref="CH8">_xlfn.SWITCH(N8,"Card","Card Payment","UPI", "UPI Payment","Cash","Cash Payment","NetBanking", "NetBanking Payment", "Unknown")</f>
        <v>Cash Payment</v>
      </c>
      <c r="CI8" t="str" cm="1">
        <f t="array" ref="CI8">_xlfn.IFS(Sales_Data!J8&lt;=5,"Low",Sales_Data!J8&lt;=10,"Medium",Sales_Data!J8&gt;10,"High")</f>
        <v>High</v>
      </c>
    </row>
    <row r="9" spans="1:87" x14ac:dyDescent="0.3">
      <c r="A9">
        <v>1009</v>
      </c>
      <c r="B9" s="1">
        <v>45454</v>
      </c>
      <c r="C9" t="s">
        <v>33</v>
      </c>
      <c r="D9" t="s">
        <v>42</v>
      </c>
      <c r="E9" t="s">
        <v>43</v>
      </c>
      <c r="F9" t="s">
        <v>25</v>
      </c>
      <c r="G9" t="s">
        <v>44</v>
      </c>
      <c r="H9">
        <v>11</v>
      </c>
      <c r="I9">
        <v>1561</v>
      </c>
      <c r="J9">
        <v>0</v>
      </c>
      <c r="K9">
        <v>17171</v>
      </c>
      <c r="L9">
        <v>10429.290000000001</v>
      </c>
      <c r="M9">
        <v>6741.71</v>
      </c>
      <c r="N9" t="s">
        <v>21</v>
      </c>
      <c r="O9">
        <v>10</v>
      </c>
      <c r="P9">
        <v>4.5999999999999996</v>
      </c>
      <c r="Q9">
        <f t="shared" si="1"/>
        <v>180</v>
      </c>
      <c r="R9" t="str">
        <f t="shared" si="2"/>
        <v>Printer</v>
      </c>
      <c r="S9" t="e">
        <f t="shared" si="3"/>
        <v>#N/A</v>
      </c>
      <c r="T9">
        <v>45437</v>
      </c>
      <c r="U9" t="str">
        <v>South</v>
      </c>
      <c r="V9" t="str">
        <v>Megha</v>
      </c>
      <c r="W9" t="str">
        <v>Customer_42</v>
      </c>
      <c r="X9" t="str">
        <v>Office Supplies</v>
      </c>
      <c r="Y9" t="str">
        <v>Laptop</v>
      </c>
      <c r="Z9">
        <v>20</v>
      </c>
      <c r="AA9">
        <v>35904</v>
      </c>
      <c r="AB9">
        <v>0</v>
      </c>
      <c r="AC9">
        <v>718080</v>
      </c>
      <c r="AD9">
        <v>608494.75</v>
      </c>
      <c r="AE9">
        <v>109585.25</v>
      </c>
      <c r="AF9" t="str">
        <v>Card</v>
      </c>
      <c r="AG9">
        <v>8</v>
      </c>
      <c r="AH9">
        <v>3</v>
      </c>
      <c r="AI9">
        <v>50</v>
      </c>
      <c r="AJ9" t="str">
        <v>Laptop</v>
      </c>
      <c r="AK9">
        <v>1116</v>
      </c>
      <c r="AL9">
        <v>45729</v>
      </c>
      <c r="AM9" t="str">
        <v>North</v>
      </c>
      <c r="AN9" t="str">
        <v>Aman</v>
      </c>
      <c r="AO9" t="str">
        <v>Customer_18</v>
      </c>
      <c r="AP9" t="str">
        <v>Furniture</v>
      </c>
      <c r="AQ9" t="str">
        <v>Phone</v>
      </c>
      <c r="AR9">
        <v>15</v>
      </c>
      <c r="AS9">
        <v>46801</v>
      </c>
      <c r="AT9">
        <v>10</v>
      </c>
      <c r="AU9">
        <v>631813.5</v>
      </c>
      <c r="AV9">
        <v>395768.98</v>
      </c>
      <c r="AW9">
        <v>236044.52</v>
      </c>
      <c r="AX9" t="str">
        <v>NetBanking</v>
      </c>
      <c r="AY9">
        <v>10</v>
      </c>
      <c r="AZ9">
        <v>4.5999999999999996</v>
      </c>
      <c r="BA9">
        <v>7</v>
      </c>
      <c r="BB9" t="str">
        <v>Phone</v>
      </c>
      <c r="BC9" s="6">
        <f t="shared" si="4"/>
        <v>2</v>
      </c>
      <c r="BD9" t="str">
        <f t="shared" si="5"/>
        <v/>
      </c>
      <c r="BE9" s="8">
        <f t="shared" si="6"/>
        <v>0.39262186244249025</v>
      </c>
      <c r="BF9" t="str">
        <v>Customer_10</v>
      </c>
      <c r="BG9" t="str">
        <f t="shared" si="7"/>
        <v>East-Printer</v>
      </c>
      <c r="BH9">
        <f t="shared" si="8"/>
        <v>2024</v>
      </c>
      <c r="BI9" t="str">
        <f t="shared" si="9"/>
        <v>June</v>
      </c>
      <c r="BJ9">
        <f t="shared" ca="1" si="0"/>
        <v>537</v>
      </c>
      <c r="BK9" s="8">
        <f t="shared" si="10"/>
        <v>0.39262186244249025</v>
      </c>
      <c r="BL9">
        <f t="shared" si="11"/>
        <v>1561</v>
      </c>
      <c r="BM9">
        <f t="shared" si="12"/>
        <v>9</v>
      </c>
      <c r="BN9">
        <v>1008</v>
      </c>
      <c r="BO9">
        <v>45643</v>
      </c>
      <c r="BP9" t="str">
        <v>South</v>
      </c>
      <c r="BQ9" t="str">
        <v>Sneha</v>
      </c>
      <c r="BR9" t="str">
        <v>Customer_30</v>
      </c>
      <c r="BS9" t="str">
        <v>Furniture</v>
      </c>
      <c r="BT9" t="str">
        <v>Chair</v>
      </c>
      <c r="BU9">
        <v>16</v>
      </c>
      <c r="BV9">
        <v>4972</v>
      </c>
      <c r="BW9">
        <v>15</v>
      </c>
      <c r="BX9">
        <v>67619.199999999997</v>
      </c>
      <c r="BY9">
        <v>50347.29</v>
      </c>
      <c r="BZ9">
        <v>17271.91</v>
      </c>
      <c r="CA9" t="str">
        <v>Cash</v>
      </c>
      <c r="CB9">
        <v>10</v>
      </c>
      <c r="CC9">
        <v>2.5</v>
      </c>
      <c r="CD9" t="b">
        <f>COUNTIF(Sales_Data!E:E,Sales_Data!E9)&gt;1</f>
        <v>1</v>
      </c>
      <c r="CE9">
        <f>SUM(Sales_Data!$K$2:'Sales_Data'!K9)</f>
        <v>1984210.9500000002</v>
      </c>
      <c r="CF9">
        <f t="shared" si="13"/>
        <v>19746.649999999998</v>
      </c>
      <c r="CG9" t="str">
        <f>CHOOSE(MATCH(C9,{"North","West","South","East"},0),"Zone 1","Zone 2","Zone 3","Zone 4")</f>
        <v>Zone 4</v>
      </c>
      <c r="CH9" t="str" cm="1">
        <f t="array" ref="CH9">_xlfn.SWITCH(N9,"Card","Card Payment","UPI", "UPI Payment","Cash","Cash Payment","NetBanking", "NetBanking Payment", "Unknown")</f>
        <v>Card Payment</v>
      </c>
      <c r="CI9" t="str" cm="1">
        <f t="array" ref="CI9">_xlfn.IFS(Sales_Data!J9&lt;=5,"Low",Sales_Data!J9&lt;=10,"Medium",Sales_Data!J9&gt;10,"High")</f>
        <v>Low</v>
      </c>
    </row>
    <row r="10" spans="1:87" x14ac:dyDescent="0.3">
      <c r="A10">
        <v>1010</v>
      </c>
      <c r="B10" s="1">
        <v>45678</v>
      </c>
      <c r="C10" t="s">
        <v>16</v>
      </c>
      <c r="D10" t="s">
        <v>39</v>
      </c>
      <c r="E10" t="s">
        <v>45</v>
      </c>
      <c r="F10" t="s">
        <v>19</v>
      </c>
      <c r="G10" t="s">
        <v>26</v>
      </c>
      <c r="H10">
        <v>3</v>
      </c>
      <c r="I10">
        <v>41396</v>
      </c>
      <c r="J10">
        <v>0</v>
      </c>
      <c r="K10">
        <v>124188</v>
      </c>
      <c r="L10">
        <v>101799.16</v>
      </c>
      <c r="M10">
        <v>22388.84</v>
      </c>
      <c r="N10" t="s">
        <v>27</v>
      </c>
      <c r="O10">
        <v>10</v>
      </c>
      <c r="P10">
        <v>3.2</v>
      </c>
      <c r="Q10">
        <f t="shared" si="1"/>
        <v>143</v>
      </c>
      <c r="R10" t="str">
        <f t="shared" si="2"/>
        <v>Keyboard</v>
      </c>
      <c r="S10" t="e">
        <f t="shared" si="3"/>
        <v>#N/A</v>
      </c>
      <c r="T10">
        <v>45641</v>
      </c>
      <c r="U10" t="str">
        <v>East</v>
      </c>
      <c r="V10" t="str">
        <v>Neha</v>
      </c>
      <c r="W10" t="str">
        <v>Customer_2</v>
      </c>
      <c r="X10" t="str">
        <v>Office Supplies</v>
      </c>
      <c r="Y10" t="str">
        <v>Desk</v>
      </c>
      <c r="Z10">
        <v>19</v>
      </c>
      <c r="AA10">
        <v>32255</v>
      </c>
      <c r="AB10">
        <v>15</v>
      </c>
      <c r="AC10">
        <v>520918.25</v>
      </c>
      <c r="AD10">
        <v>301104</v>
      </c>
      <c r="AE10">
        <v>219814.25</v>
      </c>
      <c r="AF10" t="str">
        <v>Card</v>
      </c>
      <c r="AG10">
        <v>2</v>
      </c>
      <c r="AH10">
        <v>3.6</v>
      </c>
      <c r="AI10">
        <v>9</v>
      </c>
      <c r="AJ10" t="str">
        <v>Desk</v>
      </c>
      <c r="AK10">
        <v>1158</v>
      </c>
      <c r="AL10">
        <v>45628</v>
      </c>
      <c r="AM10" t="str">
        <v>West</v>
      </c>
      <c r="AN10" t="str">
        <v>Neha</v>
      </c>
      <c r="AO10" t="str">
        <v>Customer_48</v>
      </c>
      <c r="AP10" t="str">
        <v>Office Supplies</v>
      </c>
      <c r="AQ10" t="str">
        <v>Keyboard</v>
      </c>
      <c r="AR10">
        <v>16</v>
      </c>
      <c r="AS10">
        <v>48750</v>
      </c>
      <c r="AT10">
        <v>15</v>
      </c>
      <c r="AU10">
        <v>663000</v>
      </c>
      <c r="AV10">
        <v>433762.21</v>
      </c>
      <c r="AW10">
        <v>229237.79</v>
      </c>
      <c r="AX10" t="str">
        <v>UPI</v>
      </c>
      <c r="AY10">
        <v>9</v>
      </c>
      <c r="AZ10">
        <v>2.9</v>
      </c>
      <c r="BA10">
        <v>8</v>
      </c>
      <c r="BB10" t="str">
        <v>Keyboard</v>
      </c>
      <c r="BC10" s="6">
        <f t="shared" si="4"/>
        <v>0</v>
      </c>
      <c r="BD10" t="str">
        <f t="shared" si="5"/>
        <v/>
      </c>
      <c r="BE10" s="8">
        <f t="shared" si="6"/>
        <v>0.18028183077269946</v>
      </c>
      <c r="BF10" t="str">
        <v>Customer_11</v>
      </c>
      <c r="BG10" t="str">
        <f t="shared" si="7"/>
        <v>West-Keyboard</v>
      </c>
      <c r="BH10">
        <f t="shared" si="8"/>
        <v>2025</v>
      </c>
      <c r="BI10" t="str">
        <f t="shared" si="9"/>
        <v>January</v>
      </c>
      <c r="BJ10">
        <f t="shared" ca="1" si="0"/>
        <v>377</v>
      </c>
      <c r="BK10" s="8">
        <f t="shared" si="10"/>
        <v>0.18028183077269946</v>
      </c>
      <c r="BL10">
        <f t="shared" si="11"/>
        <v>23829</v>
      </c>
      <c r="BM10">
        <f t="shared" si="12"/>
        <v>10</v>
      </c>
      <c r="BN10">
        <v>1009</v>
      </c>
      <c r="BO10">
        <v>45454</v>
      </c>
      <c r="BP10" t="str">
        <v>East</v>
      </c>
      <c r="BQ10" t="str">
        <v>Priya</v>
      </c>
      <c r="BR10" t="str">
        <v>Customer_9</v>
      </c>
      <c r="BS10" t="str">
        <v>Office Supplies</v>
      </c>
      <c r="BT10" t="str">
        <v>Printer</v>
      </c>
      <c r="BU10">
        <v>11</v>
      </c>
      <c r="BV10">
        <v>1561</v>
      </c>
      <c r="BW10">
        <v>0</v>
      </c>
      <c r="BX10">
        <v>17171</v>
      </c>
      <c r="BY10">
        <v>10429.290000000001</v>
      </c>
      <c r="BZ10">
        <v>6741.71</v>
      </c>
      <c r="CA10" t="str">
        <v>Card</v>
      </c>
      <c r="CB10">
        <v>10</v>
      </c>
      <c r="CC10">
        <v>4.5999999999999996</v>
      </c>
      <c r="CD10" t="b">
        <f>COUNTIF(Sales_Data!E:E,Sales_Data!E10)&gt;1</f>
        <v>1</v>
      </c>
      <c r="CE10">
        <f>SUM(Sales_Data!$K$2:'Sales_Data'!K10)</f>
        <v>2108398.9500000002</v>
      </c>
      <c r="CF10">
        <f t="shared" si="13"/>
        <v>142816.19999999998</v>
      </c>
      <c r="CG10" t="str">
        <f>CHOOSE(MATCH(C10,{"North","West","South","East"},0),"Zone 1","Zone 2","Zone 3","Zone 4")</f>
        <v>Zone 2</v>
      </c>
      <c r="CH10" t="str" cm="1">
        <f t="array" ref="CH10">_xlfn.SWITCH(N10,"Card","Card Payment","UPI", "UPI Payment","Cash","Cash Payment","NetBanking", "NetBanking Payment", "Unknown")</f>
        <v>UPI Payment</v>
      </c>
      <c r="CI10" t="str" cm="1">
        <f t="array" ref="CI10">_xlfn.IFS(Sales_Data!J10&lt;=5,"Low",Sales_Data!J10&lt;=10,"Medium",Sales_Data!J10&gt;10,"High")</f>
        <v>Low</v>
      </c>
    </row>
    <row r="11" spans="1:87" x14ac:dyDescent="0.3">
      <c r="A11">
        <v>1011</v>
      </c>
      <c r="B11" s="1">
        <v>45496</v>
      </c>
      <c r="C11" t="s">
        <v>33</v>
      </c>
      <c r="D11" t="s">
        <v>23</v>
      </c>
      <c r="E11" t="s">
        <v>18</v>
      </c>
      <c r="F11" t="s">
        <v>19</v>
      </c>
      <c r="G11" t="s">
        <v>26</v>
      </c>
      <c r="H11">
        <v>18</v>
      </c>
      <c r="I11">
        <v>22848</v>
      </c>
      <c r="J11">
        <v>5</v>
      </c>
      <c r="K11">
        <v>390700.79999999999</v>
      </c>
      <c r="L11">
        <v>234134.57</v>
      </c>
      <c r="M11">
        <v>156566.23000000001</v>
      </c>
      <c r="N11" t="s">
        <v>27</v>
      </c>
      <c r="O11">
        <v>4</v>
      </c>
      <c r="P11">
        <v>3.9</v>
      </c>
      <c r="Q11">
        <f t="shared" si="1"/>
        <v>23</v>
      </c>
      <c r="R11" t="str">
        <f t="shared" si="2"/>
        <v>Keyboard</v>
      </c>
      <c r="S11" t="e">
        <f t="shared" si="3"/>
        <v>#N/A</v>
      </c>
      <c r="T11">
        <v>45673</v>
      </c>
      <c r="U11" t="str">
        <v>North</v>
      </c>
      <c r="V11" t="str">
        <v>Karan</v>
      </c>
      <c r="W11" t="str">
        <v>Customer_9</v>
      </c>
      <c r="X11" t="str">
        <v>Office Supplies</v>
      </c>
      <c r="Y11" t="str">
        <v>Laptop</v>
      </c>
      <c r="Z11">
        <v>12</v>
      </c>
      <c r="AA11">
        <v>26572</v>
      </c>
      <c r="AB11">
        <v>10</v>
      </c>
      <c r="AC11">
        <v>286977.59999999998</v>
      </c>
      <c r="AD11">
        <v>173032.5</v>
      </c>
      <c r="AE11">
        <v>113945.1</v>
      </c>
      <c r="AF11" t="str">
        <v>UPI</v>
      </c>
      <c r="AG11">
        <v>2</v>
      </c>
      <c r="AH11">
        <v>3.3</v>
      </c>
      <c r="AI11">
        <v>44</v>
      </c>
      <c r="AJ11" t="str">
        <v>Laptop</v>
      </c>
      <c r="AK11">
        <v>1021</v>
      </c>
      <c r="AL11">
        <v>45641</v>
      </c>
      <c r="AM11" t="str">
        <v>East</v>
      </c>
      <c r="AN11" t="str">
        <v>Neha</v>
      </c>
      <c r="AO11" t="str">
        <v>Customer_2</v>
      </c>
      <c r="AP11" t="str">
        <v>Office Supplies</v>
      </c>
      <c r="AQ11" t="str">
        <v>Desk</v>
      </c>
      <c r="AR11">
        <v>19</v>
      </c>
      <c r="AS11">
        <v>32255</v>
      </c>
      <c r="AT11">
        <v>15</v>
      </c>
      <c r="AU11">
        <v>520918.25</v>
      </c>
      <c r="AV11">
        <v>301104</v>
      </c>
      <c r="AW11">
        <v>219814.25</v>
      </c>
      <c r="AX11" t="str">
        <v>Card</v>
      </c>
      <c r="AY11">
        <v>2</v>
      </c>
      <c r="AZ11">
        <v>3.6</v>
      </c>
      <c r="BA11">
        <v>9</v>
      </c>
      <c r="BB11" t="str">
        <v>Desk</v>
      </c>
      <c r="BC11" s="6">
        <f t="shared" si="4"/>
        <v>2</v>
      </c>
      <c r="BD11" t="str">
        <f t="shared" si="5"/>
        <v>Bonus!</v>
      </c>
      <c r="BE11" s="8">
        <f t="shared" si="6"/>
        <v>0.4007317875980802</v>
      </c>
      <c r="BF11" t="str">
        <v>Customer_11</v>
      </c>
      <c r="BG11" t="str">
        <f t="shared" si="7"/>
        <v>East-Keyboard</v>
      </c>
      <c r="BH11">
        <f t="shared" si="8"/>
        <v>2024</v>
      </c>
      <c r="BI11" t="str">
        <f t="shared" si="9"/>
        <v>July</v>
      </c>
      <c r="BJ11">
        <f t="shared" ca="1" si="0"/>
        <v>507</v>
      </c>
      <c r="BK11" s="8">
        <f t="shared" si="10"/>
        <v>0.4007317875980802</v>
      </c>
      <c r="BL11">
        <f t="shared" si="11"/>
        <v>23829</v>
      </c>
      <c r="BM11">
        <f t="shared" si="12"/>
        <v>2</v>
      </c>
      <c r="BN11">
        <v>1010</v>
      </c>
      <c r="BO11">
        <v>45678</v>
      </c>
      <c r="BP11" t="str">
        <v>West</v>
      </c>
      <c r="BQ11" t="str">
        <v>Sneha</v>
      </c>
      <c r="BR11" t="str">
        <v>Customer_47</v>
      </c>
      <c r="BS11" t="str">
        <v>Electronics</v>
      </c>
      <c r="BT11" t="str">
        <v>Keyboard</v>
      </c>
      <c r="BU11">
        <v>3</v>
      </c>
      <c r="BV11">
        <v>41396</v>
      </c>
      <c r="BW11">
        <v>0</v>
      </c>
      <c r="BX11">
        <v>124188</v>
      </c>
      <c r="BY11">
        <v>101799.16</v>
      </c>
      <c r="BZ11">
        <v>22388.84</v>
      </c>
      <c r="CA11" t="str">
        <v>UPI</v>
      </c>
      <c r="CB11">
        <v>10</v>
      </c>
      <c r="CC11">
        <v>3.2</v>
      </c>
      <c r="CD11" t="b">
        <f>COUNTIF(Sales_Data!E:E,Sales_Data!E11)&gt;1</f>
        <v>1</v>
      </c>
      <c r="CE11">
        <f>SUM(Sales_Data!$K$2:'Sales_Data'!K11)</f>
        <v>2499099.75</v>
      </c>
      <c r="CF11">
        <f t="shared" si="13"/>
        <v>449305.91999999993</v>
      </c>
      <c r="CG11" t="str">
        <f>CHOOSE(MATCH(C11,{"North","West","South","East"},0),"Zone 1","Zone 2","Zone 3","Zone 4")</f>
        <v>Zone 4</v>
      </c>
      <c r="CH11" t="str" cm="1">
        <f t="array" ref="CH11">_xlfn.SWITCH(N11,"Card","Card Payment","UPI", "UPI Payment","Cash","Cash Payment","NetBanking", "NetBanking Payment", "Unknown")</f>
        <v>UPI Payment</v>
      </c>
      <c r="CI11" t="str" cm="1">
        <f t="array" ref="CI11">_xlfn.IFS(Sales_Data!J11&lt;=5,"Low",Sales_Data!J11&lt;=10,"Medium",Sales_Data!J11&gt;10,"High")</f>
        <v>Low</v>
      </c>
    </row>
    <row r="12" spans="1:87" x14ac:dyDescent="0.3">
      <c r="A12">
        <v>1012</v>
      </c>
      <c r="B12" s="1">
        <v>45297</v>
      </c>
      <c r="C12" t="s">
        <v>33</v>
      </c>
      <c r="D12" t="s">
        <v>17</v>
      </c>
      <c r="E12" t="s">
        <v>46</v>
      </c>
      <c r="F12" t="s">
        <v>25</v>
      </c>
      <c r="G12" t="s">
        <v>47</v>
      </c>
      <c r="H12">
        <v>18</v>
      </c>
      <c r="I12">
        <v>26687</v>
      </c>
      <c r="J12">
        <v>0</v>
      </c>
      <c r="K12">
        <v>480366</v>
      </c>
      <c r="L12">
        <v>387524.91</v>
      </c>
      <c r="M12">
        <v>92841.09</v>
      </c>
      <c r="N12" t="s">
        <v>48</v>
      </c>
      <c r="O12">
        <v>8</v>
      </c>
      <c r="P12">
        <v>4.8</v>
      </c>
      <c r="Q12">
        <f t="shared" si="1"/>
        <v>64</v>
      </c>
      <c r="R12" t="str">
        <f t="shared" si="2"/>
        <v>Monitor</v>
      </c>
      <c r="S12" t="e">
        <f t="shared" si="3"/>
        <v>#N/A</v>
      </c>
      <c r="T12">
        <v>45659</v>
      </c>
      <c r="U12" t="str">
        <v>East</v>
      </c>
      <c r="V12" t="str">
        <v>Megha</v>
      </c>
      <c r="W12" t="str">
        <v>Customer_46</v>
      </c>
      <c r="X12" t="str">
        <v>Electronics</v>
      </c>
      <c r="Y12" t="str">
        <v>Monitor</v>
      </c>
      <c r="Z12">
        <v>19</v>
      </c>
      <c r="AA12">
        <v>15090</v>
      </c>
      <c r="AB12">
        <v>15</v>
      </c>
      <c r="AC12">
        <v>243703.5</v>
      </c>
      <c r="AD12">
        <v>165570.76</v>
      </c>
      <c r="AE12">
        <v>78132.740000000005</v>
      </c>
      <c r="AF12" t="str">
        <v>Cash</v>
      </c>
      <c r="AG12">
        <v>6</v>
      </c>
      <c r="AH12">
        <v>3.8</v>
      </c>
      <c r="AI12">
        <v>77</v>
      </c>
      <c r="AJ12" t="str">
        <v>Monitor</v>
      </c>
      <c r="AK12">
        <v>1196</v>
      </c>
      <c r="AL12">
        <v>45609</v>
      </c>
      <c r="AM12" t="str">
        <v>North</v>
      </c>
      <c r="AN12" t="str">
        <v>Sneha</v>
      </c>
      <c r="AO12" t="str">
        <v>Customer_29</v>
      </c>
      <c r="AP12" t="str">
        <v>Office Supplies</v>
      </c>
      <c r="AQ12" t="str">
        <v>Printer</v>
      </c>
      <c r="AR12">
        <v>19</v>
      </c>
      <c r="AS12">
        <v>28176</v>
      </c>
      <c r="AT12">
        <v>10</v>
      </c>
      <c r="AU12">
        <v>481809.6</v>
      </c>
      <c r="AV12">
        <v>270221.40999999997</v>
      </c>
      <c r="AW12">
        <v>211588.19</v>
      </c>
      <c r="AX12" t="str">
        <v>Card</v>
      </c>
      <c r="AY12">
        <v>1</v>
      </c>
      <c r="AZ12">
        <v>3.4</v>
      </c>
      <c r="BA12">
        <v>10</v>
      </c>
      <c r="BB12" t="str">
        <v>Printer</v>
      </c>
      <c r="BC12" s="6">
        <f t="shared" si="4"/>
        <v>0</v>
      </c>
      <c r="BD12" t="str">
        <f t="shared" si="5"/>
        <v/>
      </c>
      <c r="BE12" s="8">
        <f t="shared" si="6"/>
        <v>0.1932715679294538</v>
      </c>
      <c r="BF12" t="str">
        <v>Customer_11</v>
      </c>
      <c r="BG12" t="str">
        <f t="shared" si="7"/>
        <v>East-Monitor</v>
      </c>
      <c r="BH12">
        <f t="shared" si="8"/>
        <v>2024</v>
      </c>
      <c r="BI12" t="str">
        <f t="shared" si="9"/>
        <v>January</v>
      </c>
      <c r="BJ12">
        <f t="shared" ca="1" si="0"/>
        <v>648</v>
      </c>
      <c r="BK12" s="8">
        <f t="shared" si="10"/>
        <v>0.1932715679294538</v>
      </c>
      <c r="BL12">
        <f t="shared" si="11"/>
        <v>26687</v>
      </c>
      <c r="BM12">
        <f t="shared" si="12"/>
        <v>12</v>
      </c>
      <c r="BN12">
        <v>1011</v>
      </c>
      <c r="BO12">
        <v>45496</v>
      </c>
      <c r="BP12" t="str">
        <v>East</v>
      </c>
      <c r="BQ12" t="str">
        <v>Karan</v>
      </c>
      <c r="BR12" t="str">
        <v>Customer_46</v>
      </c>
      <c r="BS12" t="str">
        <v>Electronics</v>
      </c>
      <c r="BT12" t="str">
        <v>Keyboard</v>
      </c>
      <c r="BU12">
        <v>18</v>
      </c>
      <c r="BV12">
        <v>22848</v>
      </c>
      <c r="BW12">
        <v>5</v>
      </c>
      <c r="BX12">
        <v>390700.79999999999</v>
      </c>
      <c r="BY12">
        <v>234134.57</v>
      </c>
      <c r="BZ12">
        <v>156566.23000000001</v>
      </c>
      <c r="CA12" t="str">
        <v>UPI</v>
      </c>
      <c r="CB12">
        <v>4</v>
      </c>
      <c r="CC12">
        <v>3.9</v>
      </c>
      <c r="CD12" t="b">
        <f>COUNTIF(Sales_Data!E:E,Sales_Data!E12)&gt;1</f>
        <v>1</v>
      </c>
      <c r="CE12">
        <f>SUM(Sales_Data!$K$2:'Sales_Data'!K12)</f>
        <v>2979465.75</v>
      </c>
      <c r="CF12">
        <f t="shared" si="13"/>
        <v>552420.89999999991</v>
      </c>
      <c r="CG12" t="str">
        <f>CHOOSE(MATCH(C12,{"North","West","South","East"},0),"Zone 1","Zone 2","Zone 3","Zone 4")</f>
        <v>Zone 4</v>
      </c>
      <c r="CH12" t="str" cm="1">
        <f t="array" ref="CH12">_xlfn.SWITCH(N12,"Card","Card Payment","UPI", "UPI Payment","Cash","Cash Payment","NetBanking", "NetBanking Payment", "Unknown")</f>
        <v>NetBanking Payment</v>
      </c>
      <c r="CI12" t="str" cm="1">
        <f t="array" ref="CI12">_xlfn.IFS(Sales_Data!J12&lt;=5,"Low",Sales_Data!J12&lt;=10,"Medium",Sales_Data!J12&gt;10,"High")</f>
        <v>Low</v>
      </c>
    </row>
    <row r="13" spans="1:87" x14ac:dyDescent="0.3">
      <c r="A13">
        <v>1013</v>
      </c>
      <c r="B13" s="1">
        <v>45452</v>
      </c>
      <c r="C13" t="s">
        <v>22</v>
      </c>
      <c r="D13" t="s">
        <v>39</v>
      </c>
      <c r="E13" t="s">
        <v>49</v>
      </c>
      <c r="F13" t="s">
        <v>19</v>
      </c>
      <c r="G13" t="s">
        <v>47</v>
      </c>
      <c r="H13">
        <v>16</v>
      </c>
      <c r="I13">
        <v>28272</v>
      </c>
      <c r="J13">
        <v>10</v>
      </c>
      <c r="K13">
        <v>407116.79999999999</v>
      </c>
      <c r="L13">
        <v>247249.79</v>
      </c>
      <c r="M13">
        <v>159867.01</v>
      </c>
      <c r="N13" t="s">
        <v>27</v>
      </c>
      <c r="O13">
        <v>2</v>
      </c>
      <c r="P13">
        <v>4.4000000000000004</v>
      </c>
      <c r="Q13">
        <f t="shared" si="1"/>
        <v>21</v>
      </c>
      <c r="R13" t="str">
        <f t="shared" si="2"/>
        <v>Monitor</v>
      </c>
      <c r="S13" t="e">
        <f t="shared" si="3"/>
        <v>#N/A</v>
      </c>
      <c r="T13">
        <v>45472</v>
      </c>
      <c r="U13" t="str">
        <v>East</v>
      </c>
      <c r="V13" t="str">
        <v>Megha</v>
      </c>
      <c r="W13" t="str">
        <v>Customer_43</v>
      </c>
      <c r="X13" t="str">
        <v>Office Supplies</v>
      </c>
      <c r="Y13" t="str">
        <v>Printer</v>
      </c>
      <c r="Z13">
        <v>7</v>
      </c>
      <c r="AA13">
        <v>42639</v>
      </c>
      <c r="AB13">
        <v>15</v>
      </c>
      <c r="AC13">
        <v>253702.05</v>
      </c>
      <c r="AD13">
        <v>153492.84</v>
      </c>
      <c r="AE13">
        <v>100209.21</v>
      </c>
      <c r="AF13" t="str">
        <v>UPI</v>
      </c>
      <c r="AG13">
        <v>1</v>
      </c>
      <c r="AH13">
        <v>2.8</v>
      </c>
      <c r="AI13">
        <v>58</v>
      </c>
      <c r="AJ13" t="str">
        <v>Printer</v>
      </c>
      <c r="AK13">
        <v>1051</v>
      </c>
      <c r="AL13">
        <v>45336</v>
      </c>
      <c r="AM13" t="str">
        <v>West</v>
      </c>
      <c r="AN13" t="str">
        <v>Arjun</v>
      </c>
      <c r="AO13" t="str">
        <v>Customer_49</v>
      </c>
      <c r="AP13" t="str">
        <v>Furniture</v>
      </c>
      <c r="AQ13" t="str">
        <v>Desk</v>
      </c>
      <c r="AR13">
        <v>14</v>
      </c>
      <c r="AS13">
        <v>42463</v>
      </c>
      <c r="AT13">
        <v>0</v>
      </c>
      <c r="AU13">
        <v>594482</v>
      </c>
      <c r="AV13">
        <v>387207.02</v>
      </c>
      <c r="AW13">
        <v>207274.98</v>
      </c>
      <c r="AX13" t="str">
        <v>Card</v>
      </c>
      <c r="AY13">
        <v>10</v>
      </c>
      <c r="AZ13">
        <v>4.2</v>
      </c>
      <c r="BA13">
        <v>11</v>
      </c>
      <c r="BB13" t="str">
        <v>Desk</v>
      </c>
      <c r="BC13" s="6">
        <f t="shared" si="4"/>
        <v>2</v>
      </c>
      <c r="BD13" t="str">
        <f t="shared" si="5"/>
        <v>Bonus!</v>
      </c>
      <c r="BE13" s="8">
        <f t="shared" si="6"/>
        <v>0.39268094561560718</v>
      </c>
      <c r="BF13" t="str">
        <v>Customer_11</v>
      </c>
      <c r="BG13" t="str">
        <f t="shared" si="7"/>
        <v>South-Monitor</v>
      </c>
      <c r="BH13">
        <f t="shared" si="8"/>
        <v>2024</v>
      </c>
      <c r="BI13" t="str">
        <f t="shared" si="9"/>
        <v>June</v>
      </c>
      <c r="BJ13">
        <f t="shared" ca="1" si="0"/>
        <v>538</v>
      </c>
      <c r="BK13" s="8">
        <f t="shared" si="10"/>
        <v>0.39268094561560718</v>
      </c>
      <c r="BL13">
        <f t="shared" si="11"/>
        <v>26687</v>
      </c>
      <c r="BM13">
        <f t="shared" si="12"/>
        <v>13</v>
      </c>
      <c r="BN13">
        <v>1012</v>
      </c>
      <c r="BO13">
        <v>45297</v>
      </c>
      <c r="BP13" t="str">
        <v>East</v>
      </c>
      <c r="BQ13" t="str">
        <v>Rohan</v>
      </c>
      <c r="BR13" t="str">
        <v>Customer_20</v>
      </c>
      <c r="BS13" t="str">
        <v>Office Supplies</v>
      </c>
      <c r="BT13" t="str">
        <v>Monitor</v>
      </c>
      <c r="BU13">
        <v>18</v>
      </c>
      <c r="BV13">
        <v>26687</v>
      </c>
      <c r="BW13">
        <v>0</v>
      </c>
      <c r="BX13">
        <v>480366</v>
      </c>
      <c r="BY13">
        <v>387524.91</v>
      </c>
      <c r="BZ13">
        <v>92841.09</v>
      </c>
      <c r="CA13" t="str">
        <v>NetBanking</v>
      </c>
      <c r="CB13">
        <v>8</v>
      </c>
      <c r="CC13">
        <v>4.8</v>
      </c>
      <c r="CD13" t="b">
        <f>COUNTIF(Sales_Data!E:E,Sales_Data!E13)&gt;1</f>
        <v>1</v>
      </c>
      <c r="CE13">
        <f>SUM(Sales_Data!$K$2:'Sales_Data'!K13)</f>
        <v>3386582.55</v>
      </c>
      <c r="CF13">
        <f t="shared" si="13"/>
        <v>468184.31999999995</v>
      </c>
      <c r="CG13" t="str">
        <f>CHOOSE(MATCH(C13,{"North","West","South","East"},0),"Zone 1","Zone 2","Zone 3","Zone 4")</f>
        <v>Zone 3</v>
      </c>
      <c r="CH13" t="str" cm="1">
        <f t="array" ref="CH13">_xlfn.SWITCH(N13,"Card","Card Payment","UPI", "UPI Payment","Cash","Cash Payment","NetBanking", "NetBanking Payment", "Unknown")</f>
        <v>UPI Payment</v>
      </c>
      <c r="CI13" t="str" cm="1">
        <f t="array" ref="CI13">_xlfn.IFS(Sales_Data!J13&lt;=5,"Low",Sales_Data!J13&lt;=10,"Medium",Sales_Data!J13&gt;10,"High")</f>
        <v>Medium</v>
      </c>
    </row>
    <row r="14" spans="1:87" x14ac:dyDescent="0.3">
      <c r="A14">
        <v>1014</v>
      </c>
      <c r="B14" s="1">
        <v>45596</v>
      </c>
      <c r="C14" t="s">
        <v>50</v>
      </c>
      <c r="D14" t="s">
        <v>51</v>
      </c>
      <c r="E14" t="s">
        <v>52</v>
      </c>
      <c r="F14" t="s">
        <v>19</v>
      </c>
      <c r="G14" t="s">
        <v>41</v>
      </c>
      <c r="H14">
        <v>14</v>
      </c>
      <c r="I14">
        <v>4749</v>
      </c>
      <c r="J14">
        <v>0</v>
      </c>
      <c r="K14">
        <v>66486</v>
      </c>
      <c r="L14">
        <v>48246.49</v>
      </c>
      <c r="M14">
        <v>18239.509999999998</v>
      </c>
      <c r="N14" t="s">
        <v>48</v>
      </c>
      <c r="O14">
        <v>9</v>
      </c>
      <c r="P14">
        <v>3.9</v>
      </c>
      <c r="Q14">
        <f t="shared" si="1"/>
        <v>152</v>
      </c>
      <c r="R14" t="str">
        <f t="shared" si="2"/>
        <v>Chair</v>
      </c>
      <c r="S14" t="e">
        <f t="shared" si="3"/>
        <v>#N/A</v>
      </c>
      <c r="T14">
        <v>45632</v>
      </c>
      <c r="U14" t="str">
        <v>South</v>
      </c>
      <c r="V14" t="str">
        <v>Priya</v>
      </c>
      <c r="W14" t="str">
        <v>Customer_29</v>
      </c>
      <c r="X14" t="str">
        <v>Electronics</v>
      </c>
      <c r="Y14" t="str">
        <v>Mouse</v>
      </c>
      <c r="Z14">
        <v>17</v>
      </c>
      <c r="AA14">
        <v>41775</v>
      </c>
      <c r="AB14">
        <v>20</v>
      </c>
      <c r="AC14">
        <v>568140</v>
      </c>
      <c r="AD14">
        <v>366802.83</v>
      </c>
      <c r="AE14">
        <v>201337.17</v>
      </c>
      <c r="AF14" t="str">
        <v>NetBanking</v>
      </c>
      <c r="AG14">
        <v>10</v>
      </c>
      <c r="AH14">
        <v>2.9</v>
      </c>
      <c r="AI14">
        <v>12</v>
      </c>
      <c r="AJ14" t="str">
        <v>Mouse</v>
      </c>
      <c r="AK14">
        <v>1029</v>
      </c>
      <c r="AL14">
        <v>45632</v>
      </c>
      <c r="AM14" t="str">
        <v>South</v>
      </c>
      <c r="AN14" t="str">
        <v>Priya</v>
      </c>
      <c r="AO14" t="str">
        <v>Customer_29</v>
      </c>
      <c r="AP14" t="str">
        <v>Electronics</v>
      </c>
      <c r="AQ14" t="str">
        <v>Mouse</v>
      </c>
      <c r="AR14">
        <v>17</v>
      </c>
      <c r="AS14">
        <v>41775</v>
      </c>
      <c r="AT14">
        <v>20</v>
      </c>
      <c r="AU14">
        <v>568140</v>
      </c>
      <c r="AV14">
        <v>366802.83</v>
      </c>
      <c r="AW14">
        <v>201337.17</v>
      </c>
      <c r="AX14" t="str">
        <v>NetBanking</v>
      </c>
      <c r="AY14">
        <v>10</v>
      </c>
      <c r="AZ14">
        <v>2.9</v>
      </c>
      <c r="BA14">
        <v>12</v>
      </c>
      <c r="BB14" t="str">
        <v>Mouse</v>
      </c>
      <c r="BC14" s="6">
        <f t="shared" si="4"/>
        <v>3</v>
      </c>
      <c r="BD14" t="str">
        <f t="shared" si="5"/>
        <v/>
      </c>
      <c r="BE14" s="8">
        <f t="shared" si="6"/>
        <v>0.2743361008332581</v>
      </c>
      <c r="BF14" t="str">
        <v>Customer_11</v>
      </c>
      <c r="BG14" t="str">
        <f t="shared" si="7"/>
        <v>North-Chair</v>
      </c>
      <c r="BH14">
        <f t="shared" si="8"/>
        <v>2024</v>
      </c>
      <c r="BI14" t="str">
        <f t="shared" si="9"/>
        <v>October</v>
      </c>
      <c r="BJ14">
        <f t="shared" ca="1" si="0"/>
        <v>435</v>
      </c>
      <c r="BK14" s="8">
        <f t="shared" si="10"/>
        <v>0.2743361008332581</v>
      </c>
      <c r="BL14">
        <f t="shared" si="11"/>
        <v>4972</v>
      </c>
      <c r="BM14">
        <f t="shared" si="12"/>
        <v>14</v>
      </c>
      <c r="BN14">
        <v>1013</v>
      </c>
      <c r="BO14">
        <v>45452</v>
      </c>
      <c r="BP14" t="str">
        <v>South</v>
      </c>
      <c r="BQ14" t="str">
        <v>Sneha</v>
      </c>
      <c r="BR14" t="str">
        <v>Customer_44</v>
      </c>
      <c r="BS14" t="str">
        <v>Electronics</v>
      </c>
      <c r="BT14" t="str">
        <v>Monitor</v>
      </c>
      <c r="BU14">
        <v>16</v>
      </c>
      <c r="BV14">
        <v>28272</v>
      </c>
      <c r="BW14">
        <v>10</v>
      </c>
      <c r="BX14">
        <v>407116.79999999999</v>
      </c>
      <c r="BY14">
        <v>247249.79</v>
      </c>
      <c r="BZ14">
        <v>159867.01</v>
      </c>
      <c r="CA14" t="str">
        <v>UPI</v>
      </c>
      <c r="CB14">
        <v>2</v>
      </c>
      <c r="CC14">
        <v>4.4000000000000004</v>
      </c>
      <c r="CD14" t="b">
        <f>COUNTIF(Sales_Data!E:E,Sales_Data!E14)&gt;1</f>
        <v>1</v>
      </c>
      <c r="CE14">
        <f>SUM(Sales_Data!$K$2:'Sales_Data'!K14)</f>
        <v>3453068.55</v>
      </c>
      <c r="CF14">
        <f t="shared" si="13"/>
        <v>76458.899999999994</v>
      </c>
      <c r="CG14" t="str">
        <f>CHOOSE(MATCH(C14,{"North","West","South","East"},0),"Zone 1","Zone 2","Zone 3","Zone 4")</f>
        <v>Zone 1</v>
      </c>
      <c r="CH14" t="str" cm="1">
        <f t="array" ref="CH14">_xlfn.SWITCH(N14,"Card","Card Payment","UPI", "UPI Payment","Cash","Cash Payment","NetBanking", "NetBanking Payment", "Unknown")</f>
        <v>NetBanking Payment</v>
      </c>
      <c r="CI14" t="str" cm="1">
        <f t="array" ref="CI14">_xlfn.IFS(Sales_Data!J14&lt;=5,"Low",Sales_Data!J14&lt;=10,"Medium",Sales_Data!J14&gt;10,"High")</f>
        <v>Low</v>
      </c>
    </row>
    <row r="15" spans="1:87" x14ac:dyDescent="0.3">
      <c r="A15">
        <v>1015</v>
      </c>
      <c r="B15" s="1">
        <v>45670</v>
      </c>
      <c r="C15" t="s">
        <v>16</v>
      </c>
      <c r="D15" t="s">
        <v>51</v>
      </c>
      <c r="E15" t="s">
        <v>53</v>
      </c>
      <c r="F15" t="s">
        <v>35</v>
      </c>
      <c r="G15" t="s">
        <v>30</v>
      </c>
      <c r="H15">
        <v>1</v>
      </c>
      <c r="I15">
        <v>31974</v>
      </c>
      <c r="J15">
        <v>5</v>
      </c>
      <c r="K15">
        <v>30375.3</v>
      </c>
      <c r="L15">
        <v>22286.77</v>
      </c>
      <c r="M15">
        <v>8088.53</v>
      </c>
      <c r="N15" t="s">
        <v>27</v>
      </c>
      <c r="O15">
        <v>9</v>
      </c>
      <c r="P15">
        <v>3.3</v>
      </c>
      <c r="Q15">
        <f t="shared" si="1"/>
        <v>179</v>
      </c>
      <c r="R15" t="str">
        <f t="shared" si="2"/>
        <v>Desk</v>
      </c>
      <c r="S15" t="e">
        <f t="shared" si="3"/>
        <v>#N/A</v>
      </c>
      <c r="T15">
        <v>45752</v>
      </c>
      <c r="U15" t="str">
        <v>North</v>
      </c>
      <c r="V15" t="str">
        <v>Rohan</v>
      </c>
      <c r="W15" t="str">
        <v>Customer_43</v>
      </c>
      <c r="X15" t="str">
        <v>Furniture</v>
      </c>
      <c r="Y15" t="str">
        <v>Desk</v>
      </c>
      <c r="Z15">
        <v>15</v>
      </c>
      <c r="AA15">
        <v>49976</v>
      </c>
      <c r="AB15">
        <v>10</v>
      </c>
      <c r="AC15">
        <v>674676</v>
      </c>
      <c r="AD15">
        <v>531913.1</v>
      </c>
      <c r="AE15">
        <v>142762.9</v>
      </c>
      <c r="AF15" t="str">
        <v>NetBanking</v>
      </c>
      <c r="AG15">
        <v>7</v>
      </c>
      <c r="AH15">
        <v>3.2</v>
      </c>
      <c r="AI15">
        <v>28</v>
      </c>
      <c r="AJ15" t="str">
        <v>Desk</v>
      </c>
      <c r="AK15">
        <v>1184</v>
      </c>
      <c r="AL15">
        <v>45437</v>
      </c>
      <c r="AM15" t="str">
        <v>West</v>
      </c>
      <c r="AN15" t="str">
        <v>Sneha</v>
      </c>
      <c r="AO15" t="str">
        <v>Customer_37</v>
      </c>
      <c r="AP15" t="str">
        <v>Furniture</v>
      </c>
      <c r="AQ15" t="str">
        <v>Printer</v>
      </c>
      <c r="AR15">
        <v>16</v>
      </c>
      <c r="AS15">
        <v>43648</v>
      </c>
      <c r="AT15">
        <v>15</v>
      </c>
      <c r="AU15">
        <v>593612.80000000005</v>
      </c>
      <c r="AV15">
        <v>392653.62</v>
      </c>
      <c r="AW15">
        <v>200959.18</v>
      </c>
      <c r="AX15" t="str">
        <v>NetBanking</v>
      </c>
      <c r="AY15">
        <v>4</v>
      </c>
      <c r="AZ15">
        <v>5</v>
      </c>
      <c r="BA15">
        <v>13</v>
      </c>
      <c r="BB15" t="str">
        <v>Printer</v>
      </c>
      <c r="BC15" s="6">
        <f t="shared" si="4"/>
        <v>0</v>
      </c>
      <c r="BD15" t="str">
        <f t="shared" si="5"/>
        <v/>
      </c>
      <c r="BE15" s="8">
        <f t="shared" si="6"/>
        <v>0.2662864235085744</v>
      </c>
      <c r="BF15" t="str">
        <v>Customer_11</v>
      </c>
      <c r="BG15" t="str">
        <f t="shared" si="7"/>
        <v>West-Desk</v>
      </c>
      <c r="BH15">
        <f t="shared" si="8"/>
        <v>2025</v>
      </c>
      <c r="BI15" t="str">
        <f t="shared" si="9"/>
        <v>January</v>
      </c>
      <c r="BJ15">
        <f t="shared" ca="1" si="0"/>
        <v>383</v>
      </c>
      <c r="BK15" s="8">
        <f t="shared" si="10"/>
        <v>0.2662864235085744</v>
      </c>
      <c r="BL15">
        <f t="shared" si="11"/>
        <v>13233</v>
      </c>
      <c r="BM15">
        <f t="shared" si="12"/>
        <v>15</v>
      </c>
      <c r="BN15">
        <v>1014</v>
      </c>
      <c r="BO15">
        <v>45596</v>
      </c>
      <c r="BP15" t="str">
        <v>North</v>
      </c>
      <c r="BQ15" t="str">
        <v>Aman</v>
      </c>
      <c r="BR15" t="str">
        <v>Customer_28</v>
      </c>
      <c r="BS15" t="str">
        <v>Electronics</v>
      </c>
      <c r="BT15" t="str">
        <v>Chair</v>
      </c>
      <c r="BU15">
        <v>14</v>
      </c>
      <c r="BV15">
        <v>4749</v>
      </c>
      <c r="BW15">
        <v>0</v>
      </c>
      <c r="BX15">
        <v>66486</v>
      </c>
      <c r="BY15">
        <v>48246.49</v>
      </c>
      <c r="BZ15">
        <v>18239.509999999998</v>
      </c>
      <c r="CA15" t="str">
        <v>NetBanking</v>
      </c>
      <c r="CB15">
        <v>9</v>
      </c>
      <c r="CC15">
        <v>3.9</v>
      </c>
      <c r="CD15" t="b">
        <f>COUNTIF(Sales_Data!E:E,Sales_Data!E15)&gt;1</f>
        <v>1</v>
      </c>
      <c r="CE15">
        <f>SUM(Sales_Data!$K$2:'Sales_Data'!K15)</f>
        <v>3483443.8499999996</v>
      </c>
      <c r="CF15">
        <f t="shared" si="13"/>
        <v>34931.594999999994</v>
      </c>
      <c r="CG15" t="str">
        <f>CHOOSE(MATCH(C15,{"North","West","South","East"},0),"Zone 1","Zone 2","Zone 3","Zone 4")</f>
        <v>Zone 2</v>
      </c>
      <c r="CH15" t="str" cm="1">
        <f t="array" ref="CH15">_xlfn.SWITCH(N15,"Card","Card Payment","UPI", "UPI Payment","Cash","Cash Payment","NetBanking", "NetBanking Payment", "Unknown")</f>
        <v>UPI Payment</v>
      </c>
      <c r="CI15" t="str" cm="1">
        <f t="array" ref="CI15">_xlfn.IFS(Sales_Data!J15&lt;=5,"Low",Sales_Data!J15&lt;=10,"Medium",Sales_Data!J15&gt;10,"High")</f>
        <v>Low</v>
      </c>
    </row>
    <row r="16" spans="1:87" x14ac:dyDescent="0.3">
      <c r="A16">
        <v>1016</v>
      </c>
      <c r="B16" s="1">
        <v>45516</v>
      </c>
      <c r="C16" t="s">
        <v>16</v>
      </c>
      <c r="D16" t="s">
        <v>28</v>
      </c>
      <c r="E16" t="s">
        <v>54</v>
      </c>
      <c r="F16" t="s">
        <v>35</v>
      </c>
      <c r="G16" t="s">
        <v>26</v>
      </c>
      <c r="H16">
        <v>15</v>
      </c>
      <c r="I16">
        <v>3653</v>
      </c>
      <c r="J16">
        <v>0</v>
      </c>
      <c r="K16">
        <v>54795</v>
      </c>
      <c r="L16">
        <v>41960.33</v>
      </c>
      <c r="M16">
        <v>12834.67</v>
      </c>
      <c r="N16" t="s">
        <v>48</v>
      </c>
      <c r="O16">
        <v>7</v>
      </c>
      <c r="P16">
        <v>2.6</v>
      </c>
      <c r="Q16">
        <f t="shared" si="1"/>
        <v>167</v>
      </c>
      <c r="R16" t="str">
        <f t="shared" si="2"/>
        <v>Keyboard</v>
      </c>
      <c r="S16" t="e">
        <f t="shared" si="3"/>
        <v>#N/A</v>
      </c>
      <c r="T16">
        <v>45396</v>
      </c>
      <c r="U16" t="str">
        <v>North</v>
      </c>
      <c r="V16" t="str">
        <v>Neha</v>
      </c>
      <c r="W16" t="str">
        <v>Customer_43</v>
      </c>
      <c r="X16" t="str">
        <v>Electronics</v>
      </c>
      <c r="Y16" t="str">
        <v>Monitor</v>
      </c>
      <c r="Z16">
        <v>15</v>
      </c>
      <c r="AA16">
        <v>25927</v>
      </c>
      <c r="AB16">
        <v>5</v>
      </c>
      <c r="AC16">
        <v>369459.75</v>
      </c>
      <c r="AD16">
        <v>278874.74</v>
      </c>
      <c r="AE16">
        <v>90585.01</v>
      </c>
      <c r="AF16" t="str">
        <v>Cash</v>
      </c>
      <c r="AG16">
        <v>3</v>
      </c>
      <c r="AH16">
        <v>2.7</v>
      </c>
      <c r="AI16">
        <v>68</v>
      </c>
      <c r="AJ16" t="str">
        <v>Monitor</v>
      </c>
      <c r="AK16">
        <v>1131</v>
      </c>
      <c r="AL16">
        <v>45789</v>
      </c>
      <c r="AM16" t="str">
        <v>East</v>
      </c>
      <c r="AN16" t="str">
        <v>Megha</v>
      </c>
      <c r="AO16" t="str">
        <v>Customer_27</v>
      </c>
      <c r="AP16" t="str">
        <v>Electronics</v>
      </c>
      <c r="AQ16" t="str">
        <v>Laptop</v>
      </c>
      <c r="AR16">
        <v>12</v>
      </c>
      <c r="AS16">
        <v>42610</v>
      </c>
      <c r="AT16">
        <v>5</v>
      </c>
      <c r="AU16">
        <v>485754</v>
      </c>
      <c r="AV16">
        <v>306428.53000000003</v>
      </c>
      <c r="AW16">
        <v>179325.47</v>
      </c>
      <c r="AX16" t="str">
        <v>Cash</v>
      </c>
      <c r="AY16">
        <v>3</v>
      </c>
      <c r="AZ16">
        <v>4</v>
      </c>
      <c r="BA16">
        <v>14</v>
      </c>
      <c r="BB16" t="str">
        <v>Laptop</v>
      </c>
      <c r="BC16" s="6">
        <f t="shared" si="4"/>
        <v>3</v>
      </c>
      <c r="BD16" t="str">
        <f t="shared" si="5"/>
        <v/>
      </c>
      <c r="BE16" s="8">
        <f t="shared" si="6"/>
        <v>0.23423067798156766</v>
      </c>
      <c r="BF16" t="str">
        <v>Customer_12</v>
      </c>
      <c r="BG16" t="str">
        <f t="shared" si="7"/>
        <v>West-Keyboard</v>
      </c>
      <c r="BH16">
        <f t="shared" si="8"/>
        <v>2024</v>
      </c>
      <c r="BI16" t="str">
        <f t="shared" si="9"/>
        <v>August</v>
      </c>
      <c r="BJ16">
        <f t="shared" ca="1" si="0"/>
        <v>493</v>
      </c>
      <c r="BK16" s="8">
        <f t="shared" si="10"/>
        <v>0.23423067798156766</v>
      </c>
      <c r="BL16">
        <f t="shared" si="11"/>
        <v>23829</v>
      </c>
      <c r="BM16">
        <f t="shared" si="12"/>
        <v>16</v>
      </c>
      <c r="BN16">
        <v>1015</v>
      </c>
      <c r="BO16">
        <v>45670</v>
      </c>
      <c r="BP16" t="str">
        <v>West</v>
      </c>
      <c r="BQ16" t="str">
        <v>Aman</v>
      </c>
      <c r="BR16" t="str">
        <v>Customer_10</v>
      </c>
      <c r="BS16" t="str">
        <v>Furniture</v>
      </c>
      <c r="BT16" t="str">
        <v>Desk</v>
      </c>
      <c r="BU16">
        <v>1</v>
      </c>
      <c r="BV16">
        <v>31974</v>
      </c>
      <c r="BW16">
        <v>5</v>
      </c>
      <c r="BX16">
        <v>30375.3</v>
      </c>
      <c r="BY16">
        <v>22286.77</v>
      </c>
      <c r="BZ16">
        <v>8088.53</v>
      </c>
      <c r="CA16" t="str">
        <v>UPI</v>
      </c>
      <c r="CB16">
        <v>9</v>
      </c>
      <c r="CC16">
        <v>3.3</v>
      </c>
      <c r="CD16" t="b">
        <f>COUNTIF(Sales_Data!E:E,Sales_Data!E16)&gt;1</f>
        <v>1</v>
      </c>
      <c r="CE16">
        <f>SUM(Sales_Data!$K$2:'Sales_Data'!K16)</f>
        <v>3538238.8499999996</v>
      </c>
      <c r="CF16">
        <f t="shared" si="13"/>
        <v>63014.249999999993</v>
      </c>
      <c r="CG16" t="str">
        <f>CHOOSE(MATCH(C16,{"North","West","South","East"},0),"Zone 1","Zone 2","Zone 3","Zone 4")</f>
        <v>Zone 2</v>
      </c>
      <c r="CH16" t="str" cm="1">
        <f t="array" ref="CH16">_xlfn.SWITCH(N16,"Card","Card Payment","UPI", "UPI Payment","Cash","Cash Payment","NetBanking", "NetBanking Payment", "Unknown")</f>
        <v>NetBanking Payment</v>
      </c>
      <c r="CI16" t="str" cm="1">
        <f t="array" ref="CI16">_xlfn.IFS(Sales_Data!J16&lt;=5,"Low",Sales_Data!J16&lt;=10,"Medium",Sales_Data!J16&gt;10,"High")</f>
        <v>Low</v>
      </c>
    </row>
    <row r="17" spans="1:87" x14ac:dyDescent="0.3">
      <c r="A17">
        <v>1017</v>
      </c>
      <c r="B17" s="1">
        <v>45650</v>
      </c>
      <c r="C17" t="s">
        <v>22</v>
      </c>
      <c r="D17" t="s">
        <v>17</v>
      </c>
      <c r="E17" t="s">
        <v>55</v>
      </c>
      <c r="F17" t="s">
        <v>25</v>
      </c>
      <c r="G17" t="s">
        <v>20</v>
      </c>
      <c r="H17">
        <v>19</v>
      </c>
      <c r="I17">
        <v>4927</v>
      </c>
      <c r="J17">
        <v>5</v>
      </c>
      <c r="K17">
        <v>88932.35</v>
      </c>
      <c r="L17">
        <v>52639.62</v>
      </c>
      <c r="M17">
        <v>36292.730000000003</v>
      </c>
      <c r="N17" t="s">
        <v>37</v>
      </c>
      <c r="O17">
        <v>4</v>
      </c>
      <c r="P17">
        <v>3.5</v>
      </c>
      <c r="Q17">
        <f t="shared" si="1"/>
        <v>124</v>
      </c>
      <c r="R17" t="str">
        <f t="shared" si="2"/>
        <v>Phone</v>
      </c>
      <c r="S17" t="e">
        <f t="shared" si="3"/>
        <v>#N/A</v>
      </c>
      <c r="T17">
        <v>45415</v>
      </c>
      <c r="U17" t="str">
        <v>North</v>
      </c>
      <c r="V17" t="str">
        <v>Sneha</v>
      </c>
      <c r="W17" t="str">
        <v>Customer_43</v>
      </c>
      <c r="X17" t="str">
        <v>Furniture</v>
      </c>
      <c r="Y17" t="str">
        <v>Keyboard</v>
      </c>
      <c r="Z17">
        <v>8</v>
      </c>
      <c r="AA17">
        <v>35132</v>
      </c>
      <c r="AB17">
        <v>5</v>
      </c>
      <c r="AC17">
        <v>267003.2</v>
      </c>
      <c r="AD17">
        <v>147399.38</v>
      </c>
      <c r="AE17">
        <v>119603.82</v>
      </c>
      <c r="AF17" t="str">
        <v>Cash</v>
      </c>
      <c r="AG17">
        <v>8</v>
      </c>
      <c r="AH17">
        <v>4.2</v>
      </c>
      <c r="AI17">
        <v>42</v>
      </c>
      <c r="AJ17" t="str">
        <v>Keyboard</v>
      </c>
      <c r="AK17">
        <v>1002</v>
      </c>
      <c r="AL17">
        <v>45533</v>
      </c>
      <c r="AM17" t="str">
        <v>West</v>
      </c>
      <c r="AN17" t="str">
        <v>Rohan</v>
      </c>
      <c r="AO17" t="str">
        <v>Customer_46</v>
      </c>
      <c r="AP17" t="str">
        <v>Electronics</v>
      </c>
      <c r="AQ17" t="str">
        <v>Phone</v>
      </c>
      <c r="AR17">
        <v>18</v>
      </c>
      <c r="AS17">
        <v>33295</v>
      </c>
      <c r="AT17">
        <v>20</v>
      </c>
      <c r="AU17">
        <v>479448</v>
      </c>
      <c r="AV17">
        <v>300270</v>
      </c>
      <c r="AW17">
        <v>179178</v>
      </c>
      <c r="AX17" t="str">
        <v>Card</v>
      </c>
      <c r="AY17">
        <v>7</v>
      </c>
      <c r="AZ17">
        <v>4.3</v>
      </c>
      <c r="BA17">
        <v>15</v>
      </c>
      <c r="BB17" t="str">
        <v>Phone</v>
      </c>
      <c r="BC17" s="6">
        <f t="shared" si="4"/>
        <v>4</v>
      </c>
      <c r="BD17" t="str">
        <f t="shared" si="5"/>
        <v/>
      </c>
      <c r="BE17" s="8">
        <f t="shared" si="6"/>
        <v>0.40809368019623904</v>
      </c>
      <c r="BF17" t="str">
        <v>Customer_12</v>
      </c>
      <c r="BG17" t="str">
        <f t="shared" si="7"/>
        <v>South-Phone</v>
      </c>
      <c r="BH17">
        <f t="shared" si="8"/>
        <v>2024</v>
      </c>
      <c r="BI17" t="str">
        <f t="shared" si="9"/>
        <v>December</v>
      </c>
      <c r="BJ17">
        <f t="shared" ca="1" si="0"/>
        <v>397</v>
      </c>
      <c r="BK17" s="8">
        <f t="shared" si="10"/>
        <v>0.40809368019623904</v>
      </c>
      <c r="BL17">
        <f t="shared" si="11"/>
        <v>33295</v>
      </c>
      <c r="BM17">
        <f t="shared" si="12"/>
        <v>17</v>
      </c>
      <c r="BN17">
        <v>1016</v>
      </c>
      <c r="BO17">
        <v>45516</v>
      </c>
      <c r="BP17" t="str">
        <v>West</v>
      </c>
      <c r="BQ17" t="str">
        <v>Arjun</v>
      </c>
      <c r="BR17" t="str">
        <v>Customer_25</v>
      </c>
      <c r="BS17" t="str">
        <v>Furniture</v>
      </c>
      <c r="BT17" t="str">
        <v>Keyboard</v>
      </c>
      <c r="BU17">
        <v>15</v>
      </c>
      <c r="BV17">
        <v>3653</v>
      </c>
      <c r="BW17">
        <v>0</v>
      </c>
      <c r="BX17">
        <v>54795</v>
      </c>
      <c r="BY17">
        <v>41960.33</v>
      </c>
      <c r="BZ17">
        <v>12834.67</v>
      </c>
      <c r="CA17" t="str">
        <v>NetBanking</v>
      </c>
      <c r="CB17">
        <v>7</v>
      </c>
      <c r="CC17">
        <v>2.6</v>
      </c>
      <c r="CD17" t="b">
        <f>COUNTIF(Sales_Data!E:E,Sales_Data!E17)&gt;1</f>
        <v>1</v>
      </c>
      <c r="CE17">
        <f>SUM(Sales_Data!$K$2:'Sales_Data'!K17)</f>
        <v>3627171.1999999997</v>
      </c>
      <c r="CF17">
        <f t="shared" si="13"/>
        <v>102272.2025</v>
      </c>
      <c r="CG17" t="str">
        <f>CHOOSE(MATCH(C17,{"North","West","South","East"},0),"Zone 1","Zone 2","Zone 3","Zone 4")</f>
        <v>Zone 3</v>
      </c>
      <c r="CH17" t="str" cm="1">
        <f t="array" ref="CH17">_xlfn.SWITCH(N17,"Card","Card Payment","UPI", "UPI Payment","Cash","Cash Payment","NetBanking", "NetBanking Payment", "Unknown")</f>
        <v>Cash Payment</v>
      </c>
      <c r="CI17" t="str" cm="1">
        <f t="array" ref="CI17">_xlfn.IFS(Sales_Data!J17&lt;=5,"Low",Sales_Data!J17&lt;=10,"Medium",Sales_Data!J17&gt;10,"High")</f>
        <v>Low</v>
      </c>
    </row>
    <row r="18" spans="1:87" x14ac:dyDescent="0.3">
      <c r="A18">
        <v>1018</v>
      </c>
      <c r="B18" s="1">
        <v>45407</v>
      </c>
      <c r="C18" t="s">
        <v>33</v>
      </c>
      <c r="D18" t="s">
        <v>51</v>
      </c>
      <c r="E18" t="s">
        <v>56</v>
      </c>
      <c r="F18" t="s">
        <v>35</v>
      </c>
      <c r="G18" t="s">
        <v>41</v>
      </c>
      <c r="H18">
        <v>15</v>
      </c>
      <c r="I18">
        <v>2532</v>
      </c>
      <c r="J18">
        <v>5</v>
      </c>
      <c r="K18">
        <v>36081</v>
      </c>
      <c r="L18">
        <v>29401.78</v>
      </c>
      <c r="M18">
        <v>6679.22</v>
      </c>
      <c r="N18" t="s">
        <v>21</v>
      </c>
      <c r="O18">
        <v>3</v>
      </c>
      <c r="P18">
        <v>4.3</v>
      </c>
      <c r="Q18">
        <f t="shared" si="1"/>
        <v>181</v>
      </c>
      <c r="R18" t="str">
        <f t="shared" si="2"/>
        <v>Chair</v>
      </c>
      <c r="S18" t="e">
        <f t="shared" si="3"/>
        <v>#N/A</v>
      </c>
      <c r="T18">
        <v>45630</v>
      </c>
      <c r="U18" t="str">
        <v>South</v>
      </c>
      <c r="V18" t="str">
        <v>Arjun</v>
      </c>
      <c r="W18" t="str">
        <v>Customer_11</v>
      </c>
      <c r="X18" t="str">
        <v>Electronics</v>
      </c>
      <c r="Y18" t="str">
        <v>Phone</v>
      </c>
      <c r="Z18">
        <v>13</v>
      </c>
      <c r="AA18">
        <v>23817</v>
      </c>
      <c r="AB18">
        <v>20</v>
      </c>
      <c r="AC18">
        <v>247696.8</v>
      </c>
      <c r="AD18">
        <v>192131.28</v>
      </c>
      <c r="AE18">
        <v>55565.52</v>
      </c>
      <c r="AF18" t="str">
        <v>Card</v>
      </c>
      <c r="AG18">
        <v>7</v>
      </c>
      <c r="AH18">
        <v>4.4000000000000004</v>
      </c>
      <c r="AI18">
        <v>99</v>
      </c>
      <c r="AJ18" t="str">
        <v>Phone</v>
      </c>
      <c r="AK18">
        <v>1151</v>
      </c>
      <c r="AL18">
        <v>45373</v>
      </c>
      <c r="AM18" t="str">
        <v>East</v>
      </c>
      <c r="AN18" t="str">
        <v>Karan</v>
      </c>
      <c r="AO18" t="str">
        <v>Customer_41</v>
      </c>
      <c r="AP18" t="str">
        <v>Electronics</v>
      </c>
      <c r="AQ18" t="str">
        <v>Laptop</v>
      </c>
      <c r="AR18">
        <v>15</v>
      </c>
      <c r="AS18">
        <v>34259</v>
      </c>
      <c r="AT18">
        <v>10</v>
      </c>
      <c r="AU18">
        <v>462496.5</v>
      </c>
      <c r="AV18">
        <v>287530.43</v>
      </c>
      <c r="AW18">
        <v>174966.07</v>
      </c>
      <c r="AX18" t="str">
        <v>NetBanking</v>
      </c>
      <c r="AY18">
        <v>4</v>
      </c>
      <c r="AZ18">
        <v>2.8</v>
      </c>
      <c r="BA18">
        <v>16</v>
      </c>
      <c r="BB18" t="str">
        <v>Laptop</v>
      </c>
      <c r="BC18" s="6">
        <f t="shared" si="4"/>
        <v>1</v>
      </c>
      <c r="BD18" t="str">
        <f t="shared" si="5"/>
        <v/>
      </c>
      <c r="BE18" s="8">
        <f t="shared" si="6"/>
        <v>0.18511737479559881</v>
      </c>
      <c r="BF18" t="str">
        <v>Customer_12</v>
      </c>
      <c r="BG18" t="str">
        <f t="shared" si="7"/>
        <v>East-Chair</v>
      </c>
      <c r="BH18">
        <f t="shared" si="8"/>
        <v>2024</v>
      </c>
      <c r="BI18" t="str">
        <f t="shared" si="9"/>
        <v>April</v>
      </c>
      <c r="BJ18">
        <f t="shared" ca="1" si="0"/>
        <v>570</v>
      </c>
      <c r="BK18" s="8">
        <f t="shared" si="10"/>
        <v>0.18511737479559881</v>
      </c>
      <c r="BL18">
        <f t="shared" si="11"/>
        <v>4972</v>
      </c>
      <c r="BM18">
        <f t="shared" si="12"/>
        <v>18</v>
      </c>
      <c r="BN18">
        <v>1017</v>
      </c>
      <c r="BO18">
        <v>45650</v>
      </c>
      <c r="BP18" t="str">
        <v>South</v>
      </c>
      <c r="BQ18" t="str">
        <v>Rohan</v>
      </c>
      <c r="BR18" t="str">
        <v>Customer_40</v>
      </c>
      <c r="BS18" t="str">
        <v>Office Supplies</v>
      </c>
      <c r="BT18" t="str">
        <v>Phone</v>
      </c>
      <c r="BU18">
        <v>19</v>
      </c>
      <c r="BV18">
        <v>4927</v>
      </c>
      <c r="BW18">
        <v>5</v>
      </c>
      <c r="BX18">
        <v>88932.35</v>
      </c>
      <c r="BY18">
        <v>52639.62</v>
      </c>
      <c r="BZ18">
        <v>36292.730000000003</v>
      </c>
      <c r="CA18" t="str">
        <v>Cash</v>
      </c>
      <c r="CB18">
        <v>4</v>
      </c>
      <c r="CC18">
        <v>3.5</v>
      </c>
      <c r="CD18" t="b">
        <f>COUNTIF(Sales_Data!E:E,Sales_Data!E18)&gt;1</f>
        <v>1</v>
      </c>
      <c r="CE18">
        <f>SUM(Sales_Data!$K$2:'Sales_Data'!K18)</f>
        <v>3663252.1999999997</v>
      </c>
      <c r="CF18">
        <f t="shared" si="13"/>
        <v>41493.149999999994</v>
      </c>
      <c r="CG18" t="str">
        <f>CHOOSE(MATCH(C18,{"North","West","South","East"},0),"Zone 1","Zone 2","Zone 3","Zone 4")</f>
        <v>Zone 4</v>
      </c>
      <c r="CH18" t="str" cm="1">
        <f t="array" ref="CH18">_xlfn.SWITCH(N18,"Card","Card Payment","UPI", "UPI Payment","Cash","Cash Payment","NetBanking", "NetBanking Payment", "Unknown")</f>
        <v>Card Payment</v>
      </c>
      <c r="CI18" t="str" cm="1">
        <f t="array" ref="CI18">_xlfn.IFS(Sales_Data!J18&lt;=5,"Low",Sales_Data!J18&lt;=10,"Medium",Sales_Data!J18&gt;10,"High")</f>
        <v>Low</v>
      </c>
    </row>
    <row r="19" spans="1:87" x14ac:dyDescent="0.3">
      <c r="A19">
        <v>1019</v>
      </c>
      <c r="B19" s="1">
        <v>45437</v>
      </c>
      <c r="C19" t="s">
        <v>22</v>
      </c>
      <c r="D19" t="s">
        <v>57</v>
      </c>
      <c r="E19" t="s">
        <v>58</v>
      </c>
      <c r="F19" t="s">
        <v>25</v>
      </c>
      <c r="G19" t="s">
        <v>36</v>
      </c>
      <c r="H19">
        <v>20</v>
      </c>
      <c r="I19">
        <v>35904</v>
      </c>
      <c r="J19">
        <v>0</v>
      </c>
      <c r="K19">
        <v>718080</v>
      </c>
      <c r="L19">
        <v>608494.75</v>
      </c>
      <c r="M19">
        <v>109585.25</v>
      </c>
      <c r="N19" t="s">
        <v>21</v>
      </c>
      <c r="O19">
        <v>8</v>
      </c>
      <c r="P19">
        <v>3</v>
      </c>
      <c r="Q19">
        <f t="shared" si="1"/>
        <v>50</v>
      </c>
      <c r="R19" t="str">
        <f t="shared" si="2"/>
        <v>Laptop</v>
      </c>
      <c r="S19" t="e">
        <f t="shared" si="3"/>
        <v>#N/A</v>
      </c>
      <c r="T19">
        <v>45655</v>
      </c>
      <c r="U19" t="str">
        <v>South</v>
      </c>
      <c r="V19" t="str">
        <v>Neha</v>
      </c>
      <c r="W19" t="str">
        <v>Customer_35</v>
      </c>
      <c r="X19" t="str">
        <v>Electronics</v>
      </c>
      <c r="Y19" t="str">
        <v>Printer</v>
      </c>
      <c r="Z19">
        <v>13</v>
      </c>
      <c r="AA19">
        <v>30118</v>
      </c>
      <c r="AB19">
        <v>5</v>
      </c>
      <c r="AC19">
        <v>371957.3</v>
      </c>
      <c r="AD19">
        <v>254995.8</v>
      </c>
      <c r="AE19">
        <v>116961.5</v>
      </c>
      <c r="AF19" t="str">
        <v>UPI</v>
      </c>
      <c r="AG19">
        <v>2</v>
      </c>
      <c r="AH19">
        <v>3.9</v>
      </c>
      <c r="AI19">
        <v>43</v>
      </c>
      <c r="AJ19" t="str">
        <v>Printer</v>
      </c>
      <c r="AK19">
        <v>1181</v>
      </c>
      <c r="AL19">
        <v>45732</v>
      </c>
      <c r="AM19" t="str">
        <v>North</v>
      </c>
      <c r="AN19" t="str">
        <v>Rohan</v>
      </c>
      <c r="AO19" t="str">
        <v>Customer_1</v>
      </c>
      <c r="AP19" t="str">
        <v>Electronics</v>
      </c>
      <c r="AQ19" t="str">
        <v>Mouse</v>
      </c>
      <c r="AR19">
        <v>12</v>
      </c>
      <c r="AS19">
        <v>42649</v>
      </c>
      <c r="AT19">
        <v>15</v>
      </c>
      <c r="AU19">
        <v>435019.8</v>
      </c>
      <c r="AV19">
        <v>267163.95</v>
      </c>
      <c r="AW19">
        <v>167855.85</v>
      </c>
      <c r="AX19" t="str">
        <v>Card</v>
      </c>
      <c r="AY19">
        <v>3</v>
      </c>
      <c r="AZ19">
        <v>3.7</v>
      </c>
      <c r="BA19">
        <v>17</v>
      </c>
      <c r="BB19" t="str">
        <v>Mouse</v>
      </c>
      <c r="BC19" s="6">
        <f t="shared" si="4"/>
        <v>2</v>
      </c>
      <c r="BD19" t="str">
        <f t="shared" si="5"/>
        <v>Bonus!</v>
      </c>
      <c r="BE19" s="8">
        <f t="shared" si="6"/>
        <v>0.15260869262477719</v>
      </c>
      <c r="BF19" t="str">
        <v>Customer_12</v>
      </c>
      <c r="BG19" t="str">
        <f t="shared" si="7"/>
        <v>South-Laptop</v>
      </c>
      <c r="BH19">
        <f t="shared" si="8"/>
        <v>2024</v>
      </c>
      <c r="BI19" t="str">
        <f t="shared" si="9"/>
        <v>May</v>
      </c>
      <c r="BJ19">
        <f t="shared" ca="1" si="0"/>
        <v>548</v>
      </c>
      <c r="BK19" s="8">
        <f t="shared" si="10"/>
        <v>0.15260869262477719</v>
      </c>
      <c r="BL19">
        <f t="shared" si="11"/>
        <v>30283</v>
      </c>
      <c r="BM19">
        <f t="shared" si="12"/>
        <v>19</v>
      </c>
      <c r="BN19">
        <v>1018</v>
      </c>
      <c r="BO19">
        <v>45407</v>
      </c>
      <c r="BP19" t="str">
        <v>East</v>
      </c>
      <c r="BQ19" t="str">
        <v>Aman</v>
      </c>
      <c r="BR19" t="str">
        <v>Customer_29</v>
      </c>
      <c r="BS19" t="str">
        <v>Furniture</v>
      </c>
      <c r="BT19" t="str">
        <v>Chair</v>
      </c>
      <c r="BU19">
        <v>15</v>
      </c>
      <c r="BV19">
        <v>2532</v>
      </c>
      <c r="BW19">
        <v>5</v>
      </c>
      <c r="BX19">
        <v>36081</v>
      </c>
      <c r="BY19">
        <v>29401.78</v>
      </c>
      <c r="BZ19">
        <v>6679.22</v>
      </c>
      <c r="CA19" t="str">
        <v>Card</v>
      </c>
      <c r="CB19">
        <v>3</v>
      </c>
      <c r="CC19">
        <v>4.3</v>
      </c>
      <c r="CD19" t="b">
        <f>COUNTIF(Sales_Data!E:E,Sales_Data!E19)&gt;1</f>
        <v>1</v>
      </c>
      <c r="CE19">
        <f>SUM(Sales_Data!$K$2:'Sales_Data'!K19)</f>
        <v>4381332.1999999993</v>
      </c>
      <c r="CF19">
        <f t="shared" si="13"/>
        <v>825791.99999999988</v>
      </c>
      <c r="CG19" t="str">
        <f>CHOOSE(MATCH(C19,{"North","West","South","East"},0),"Zone 1","Zone 2","Zone 3","Zone 4")</f>
        <v>Zone 3</v>
      </c>
      <c r="CH19" t="str" cm="1">
        <f t="array" ref="CH19">_xlfn.SWITCH(N19,"Card","Card Payment","UPI", "UPI Payment","Cash","Cash Payment","NetBanking", "NetBanking Payment", "Unknown")</f>
        <v>Card Payment</v>
      </c>
      <c r="CI19" t="str" cm="1">
        <f t="array" ref="CI19">_xlfn.IFS(Sales_Data!J19&lt;=5,"Low",Sales_Data!J19&lt;=10,"Medium",Sales_Data!J19&gt;10,"High")</f>
        <v>Low</v>
      </c>
    </row>
    <row r="20" spans="1:87" x14ac:dyDescent="0.3">
      <c r="A20">
        <v>1020</v>
      </c>
      <c r="B20" s="1">
        <v>45503</v>
      </c>
      <c r="C20" t="s">
        <v>16</v>
      </c>
      <c r="D20" t="s">
        <v>39</v>
      </c>
      <c r="E20" t="s">
        <v>59</v>
      </c>
      <c r="F20" t="s">
        <v>25</v>
      </c>
      <c r="G20" t="s">
        <v>20</v>
      </c>
      <c r="H20">
        <v>1</v>
      </c>
      <c r="I20">
        <v>41421</v>
      </c>
      <c r="J20">
        <v>0</v>
      </c>
      <c r="K20">
        <v>41421</v>
      </c>
      <c r="L20">
        <v>30558.19</v>
      </c>
      <c r="M20">
        <v>10862.81</v>
      </c>
      <c r="N20" t="s">
        <v>37</v>
      </c>
      <c r="O20">
        <v>2</v>
      </c>
      <c r="P20">
        <v>3</v>
      </c>
      <c r="Q20">
        <f t="shared" si="1"/>
        <v>173</v>
      </c>
      <c r="R20" t="str">
        <f t="shared" si="2"/>
        <v>Phone</v>
      </c>
      <c r="S20" t="e">
        <f t="shared" si="3"/>
        <v>#N/A</v>
      </c>
      <c r="T20">
        <v>45788</v>
      </c>
      <c r="U20" t="str">
        <v>North</v>
      </c>
      <c r="V20" t="str">
        <v>Neha</v>
      </c>
      <c r="W20" t="str">
        <v>Customer_22</v>
      </c>
      <c r="X20" t="str">
        <v>Furniture</v>
      </c>
      <c r="Y20" t="str">
        <v>Chair</v>
      </c>
      <c r="Z20">
        <v>6</v>
      </c>
      <c r="AA20">
        <v>44157</v>
      </c>
      <c r="AB20">
        <v>10</v>
      </c>
      <c r="AC20">
        <v>238447.8</v>
      </c>
      <c r="AD20">
        <v>150981.59</v>
      </c>
      <c r="AE20">
        <v>87466.21</v>
      </c>
      <c r="AF20" t="str">
        <v>NetBanking</v>
      </c>
      <c r="AG20">
        <v>5</v>
      </c>
      <c r="AH20">
        <v>4.8</v>
      </c>
      <c r="AI20">
        <v>69</v>
      </c>
      <c r="AJ20" t="str">
        <v>Chair</v>
      </c>
      <c r="AK20">
        <v>1191</v>
      </c>
      <c r="AL20">
        <v>45504</v>
      </c>
      <c r="AM20" t="str">
        <v>South</v>
      </c>
      <c r="AN20" t="str">
        <v>Aman</v>
      </c>
      <c r="AO20" t="str">
        <v>Customer_46</v>
      </c>
      <c r="AP20" t="str">
        <v>Furniture</v>
      </c>
      <c r="AQ20" t="str">
        <v>Printer</v>
      </c>
      <c r="AR20">
        <v>14</v>
      </c>
      <c r="AS20">
        <v>29165</v>
      </c>
      <c r="AT20">
        <v>5</v>
      </c>
      <c r="AU20">
        <v>387894.5</v>
      </c>
      <c r="AV20">
        <v>220212.89</v>
      </c>
      <c r="AW20">
        <v>167681.60999999999</v>
      </c>
      <c r="AX20" t="str">
        <v>Cash</v>
      </c>
      <c r="AY20">
        <v>8</v>
      </c>
      <c r="AZ20">
        <v>4</v>
      </c>
      <c r="BA20">
        <v>18</v>
      </c>
      <c r="BB20" t="str">
        <v>Printer</v>
      </c>
      <c r="BC20" s="6">
        <f t="shared" si="4"/>
        <v>2</v>
      </c>
      <c r="BD20" t="str">
        <f t="shared" si="5"/>
        <v/>
      </c>
      <c r="BE20" s="8">
        <f t="shared" si="6"/>
        <v>0.26225368774293234</v>
      </c>
      <c r="BF20" t="str">
        <v>Customer_12</v>
      </c>
      <c r="BG20" t="str">
        <f t="shared" si="7"/>
        <v>West-Phone</v>
      </c>
      <c r="BH20">
        <f t="shared" si="8"/>
        <v>2024</v>
      </c>
      <c r="BI20" t="str">
        <f t="shared" si="9"/>
        <v>July</v>
      </c>
      <c r="BJ20">
        <f t="shared" ca="1" si="0"/>
        <v>502</v>
      </c>
      <c r="BK20" s="8">
        <f t="shared" si="10"/>
        <v>0.26225368774293234</v>
      </c>
      <c r="BL20">
        <f t="shared" si="11"/>
        <v>33295</v>
      </c>
      <c r="BM20">
        <f t="shared" si="12"/>
        <v>20</v>
      </c>
      <c r="BN20">
        <v>1019</v>
      </c>
      <c r="BO20">
        <v>45437</v>
      </c>
      <c r="BP20" t="str">
        <v>South</v>
      </c>
      <c r="BQ20" t="str">
        <v>Megha</v>
      </c>
      <c r="BR20" t="str">
        <v>Customer_42</v>
      </c>
      <c r="BS20" t="str">
        <v>Office Supplies</v>
      </c>
      <c r="BT20" t="str">
        <v>Laptop</v>
      </c>
      <c r="BU20">
        <v>20</v>
      </c>
      <c r="BV20">
        <v>35904</v>
      </c>
      <c r="BW20">
        <v>0</v>
      </c>
      <c r="BX20">
        <v>718080</v>
      </c>
      <c r="BY20">
        <v>608494.75</v>
      </c>
      <c r="BZ20">
        <v>109585.25</v>
      </c>
      <c r="CA20" t="str">
        <v>Card</v>
      </c>
      <c r="CB20">
        <v>8</v>
      </c>
      <c r="CC20">
        <v>3</v>
      </c>
      <c r="CD20" t="b">
        <f>COUNTIF(Sales_Data!E:E,Sales_Data!E20)&gt;1</f>
        <v>1</v>
      </c>
      <c r="CE20">
        <f>SUM(Sales_Data!$K$2:'Sales_Data'!K20)</f>
        <v>4422753.1999999993</v>
      </c>
      <c r="CF20">
        <f t="shared" si="13"/>
        <v>47634.149999999994</v>
      </c>
      <c r="CG20" t="str">
        <f>CHOOSE(MATCH(C20,{"North","West","South","East"},0),"Zone 1","Zone 2","Zone 3","Zone 4")</f>
        <v>Zone 2</v>
      </c>
      <c r="CH20" t="str" cm="1">
        <f t="array" ref="CH20">_xlfn.SWITCH(N20,"Card","Card Payment","UPI", "UPI Payment","Cash","Cash Payment","NetBanking", "NetBanking Payment", "Unknown")</f>
        <v>Cash Payment</v>
      </c>
      <c r="CI20" t="str" cm="1">
        <f t="array" ref="CI20">_xlfn.IFS(Sales_Data!J20&lt;=5,"Low",Sales_Data!J20&lt;=10,"Medium",Sales_Data!J20&gt;10,"High")</f>
        <v>Low</v>
      </c>
    </row>
    <row r="21" spans="1:87" x14ac:dyDescent="0.3">
      <c r="A21">
        <v>1021</v>
      </c>
      <c r="B21" s="1">
        <v>45641</v>
      </c>
      <c r="C21" t="s">
        <v>33</v>
      </c>
      <c r="D21" t="s">
        <v>31</v>
      </c>
      <c r="E21" t="s">
        <v>60</v>
      </c>
      <c r="F21" t="s">
        <v>25</v>
      </c>
      <c r="G21" t="s">
        <v>30</v>
      </c>
      <c r="H21">
        <v>19</v>
      </c>
      <c r="I21">
        <v>32255</v>
      </c>
      <c r="J21">
        <v>15</v>
      </c>
      <c r="K21">
        <v>520918.25</v>
      </c>
      <c r="L21">
        <v>301104</v>
      </c>
      <c r="M21">
        <v>219814.25</v>
      </c>
      <c r="N21" t="s">
        <v>21</v>
      </c>
      <c r="O21">
        <v>2</v>
      </c>
      <c r="P21">
        <v>3.6</v>
      </c>
      <c r="Q21">
        <f t="shared" si="1"/>
        <v>9</v>
      </c>
      <c r="R21" t="str">
        <f t="shared" si="2"/>
        <v>Desk</v>
      </c>
      <c r="S21" t="e">
        <f t="shared" si="3"/>
        <v>#N/A</v>
      </c>
      <c r="T21">
        <v>45373</v>
      </c>
      <c r="U21" t="str">
        <v>East</v>
      </c>
      <c r="V21" t="str">
        <v>Megha</v>
      </c>
      <c r="W21" t="str">
        <v>Customer_45</v>
      </c>
      <c r="X21" t="str">
        <v>Office Supplies</v>
      </c>
      <c r="Y21" t="str">
        <v>Mouse</v>
      </c>
      <c r="Z21">
        <v>18</v>
      </c>
      <c r="AA21">
        <v>29998</v>
      </c>
      <c r="AB21">
        <v>0</v>
      </c>
      <c r="AC21">
        <v>539964</v>
      </c>
      <c r="AD21">
        <v>403229.11</v>
      </c>
      <c r="AE21">
        <v>136734.89000000001</v>
      </c>
      <c r="AF21" t="str">
        <v>Cash</v>
      </c>
      <c r="AG21">
        <v>5</v>
      </c>
      <c r="AH21">
        <v>3.9</v>
      </c>
      <c r="AI21">
        <v>31</v>
      </c>
      <c r="AJ21" t="str">
        <v>Mouse</v>
      </c>
      <c r="AK21">
        <v>1138</v>
      </c>
      <c r="AL21">
        <v>45756</v>
      </c>
      <c r="AM21" t="str">
        <v>East</v>
      </c>
      <c r="AN21" t="str">
        <v>Karan</v>
      </c>
      <c r="AO21" t="str">
        <v>Customer_32</v>
      </c>
      <c r="AP21" t="str">
        <v>Office Supplies</v>
      </c>
      <c r="AQ21" t="str">
        <v>Keyboard</v>
      </c>
      <c r="AR21">
        <v>14</v>
      </c>
      <c r="AS21">
        <v>28351</v>
      </c>
      <c r="AT21">
        <v>5</v>
      </c>
      <c r="AU21">
        <v>377068.3</v>
      </c>
      <c r="AV21">
        <v>215159.89</v>
      </c>
      <c r="AW21">
        <v>161908.41</v>
      </c>
      <c r="AX21" t="str">
        <v>Cash</v>
      </c>
      <c r="AY21">
        <v>4</v>
      </c>
      <c r="AZ21">
        <v>2.5</v>
      </c>
      <c r="BA21">
        <v>19</v>
      </c>
      <c r="BB21" t="str">
        <v>Keyboard</v>
      </c>
      <c r="BC21" s="6">
        <f t="shared" si="4"/>
        <v>4</v>
      </c>
      <c r="BD21" t="str">
        <f t="shared" si="5"/>
        <v>Bonus!</v>
      </c>
      <c r="BE21" s="8">
        <f t="shared" si="6"/>
        <v>0.42197456126753097</v>
      </c>
      <c r="BF21" t="str">
        <v>Customer_12</v>
      </c>
      <c r="BG21" t="str">
        <f t="shared" si="7"/>
        <v>East-Desk</v>
      </c>
      <c r="BH21">
        <f t="shared" si="8"/>
        <v>2024</v>
      </c>
      <c r="BI21" t="str">
        <f t="shared" si="9"/>
        <v>December</v>
      </c>
      <c r="BJ21">
        <f t="shared" ca="1" si="0"/>
        <v>403</v>
      </c>
      <c r="BK21" s="8">
        <f t="shared" si="10"/>
        <v>0.42197456126753097</v>
      </c>
      <c r="BL21">
        <f t="shared" si="11"/>
        <v>13233</v>
      </c>
      <c r="BM21">
        <f t="shared" si="12"/>
        <v>21</v>
      </c>
      <c r="BN21">
        <v>1020</v>
      </c>
      <c r="BO21">
        <v>45503</v>
      </c>
      <c r="BP21" t="str">
        <v>West</v>
      </c>
      <c r="BQ21" t="str">
        <v>Sneha</v>
      </c>
      <c r="BR21" t="str">
        <v>Customer_18</v>
      </c>
      <c r="BS21" t="str">
        <v>Office Supplies</v>
      </c>
      <c r="BT21" t="str">
        <v>Phone</v>
      </c>
      <c r="BU21">
        <v>1</v>
      </c>
      <c r="BV21">
        <v>41421</v>
      </c>
      <c r="BW21">
        <v>0</v>
      </c>
      <c r="BX21">
        <v>41421</v>
      </c>
      <c r="BY21">
        <v>30558.19</v>
      </c>
      <c r="BZ21">
        <v>10862.81</v>
      </c>
      <c r="CA21" t="str">
        <v>Cash</v>
      </c>
      <c r="CB21">
        <v>2</v>
      </c>
      <c r="CC21">
        <v>3</v>
      </c>
      <c r="CD21" t="b">
        <f>COUNTIF(Sales_Data!E:E,Sales_Data!E21)&gt;1</f>
        <v>1</v>
      </c>
      <c r="CE21">
        <f>SUM(Sales_Data!$K$2:'Sales_Data'!K21)</f>
        <v>4943671.4499999993</v>
      </c>
      <c r="CF21">
        <f t="shared" si="13"/>
        <v>599055.98749999993</v>
      </c>
      <c r="CG21" t="str">
        <f>CHOOSE(MATCH(C21,{"North","West","South","East"},0),"Zone 1","Zone 2","Zone 3","Zone 4")</f>
        <v>Zone 4</v>
      </c>
      <c r="CH21" t="str" cm="1">
        <f t="array" ref="CH21">_xlfn.SWITCH(N21,"Card","Card Payment","UPI", "UPI Payment","Cash","Cash Payment","NetBanking", "NetBanking Payment", "Unknown")</f>
        <v>Card Payment</v>
      </c>
      <c r="CI21" t="str" cm="1">
        <f t="array" ref="CI21">_xlfn.IFS(Sales_Data!J21&lt;=5,"Low",Sales_Data!J21&lt;=10,"Medium",Sales_Data!J21&gt;10,"High")</f>
        <v>High</v>
      </c>
    </row>
    <row r="22" spans="1:87" x14ac:dyDescent="0.3">
      <c r="A22">
        <v>1022</v>
      </c>
      <c r="B22" s="1">
        <v>45673</v>
      </c>
      <c r="C22" t="s">
        <v>50</v>
      </c>
      <c r="D22" t="s">
        <v>23</v>
      </c>
      <c r="E22" t="s">
        <v>43</v>
      </c>
      <c r="F22" t="s">
        <v>25</v>
      </c>
      <c r="G22" t="s">
        <v>36</v>
      </c>
      <c r="H22">
        <v>12</v>
      </c>
      <c r="I22">
        <v>26572</v>
      </c>
      <c r="J22">
        <v>10</v>
      </c>
      <c r="K22">
        <v>286977.59999999998</v>
      </c>
      <c r="L22">
        <v>173032.5</v>
      </c>
      <c r="M22">
        <v>113945.1</v>
      </c>
      <c r="N22" t="s">
        <v>27</v>
      </c>
      <c r="O22">
        <v>2</v>
      </c>
      <c r="P22">
        <v>3.3</v>
      </c>
      <c r="Q22">
        <f t="shared" si="1"/>
        <v>44</v>
      </c>
      <c r="R22" t="str">
        <f t="shared" si="2"/>
        <v>Laptop</v>
      </c>
      <c r="S22" t="e">
        <f t="shared" si="3"/>
        <v>#N/A</v>
      </c>
      <c r="T22">
        <v>45355</v>
      </c>
      <c r="U22" t="str">
        <v>East</v>
      </c>
      <c r="V22" t="str">
        <v>Karan</v>
      </c>
      <c r="W22" t="str">
        <v>Customer_45</v>
      </c>
      <c r="X22" t="str">
        <v>Office Supplies</v>
      </c>
      <c r="Y22" t="str">
        <v>Phone</v>
      </c>
      <c r="Z22">
        <v>16</v>
      </c>
      <c r="AA22">
        <v>34368</v>
      </c>
      <c r="AB22">
        <v>20</v>
      </c>
      <c r="AC22">
        <v>439910.40000000002</v>
      </c>
      <c r="AD22">
        <v>292665.15999999997</v>
      </c>
      <c r="AE22">
        <v>147245.24</v>
      </c>
      <c r="AF22" t="str">
        <v>Card</v>
      </c>
      <c r="AG22">
        <v>4</v>
      </c>
      <c r="AH22">
        <v>3.2</v>
      </c>
      <c r="AI22">
        <v>25</v>
      </c>
      <c r="AJ22" t="str">
        <v>Phone</v>
      </c>
      <c r="AK22">
        <v>1082</v>
      </c>
      <c r="AL22">
        <v>45548</v>
      </c>
      <c r="AM22" t="str">
        <v>North</v>
      </c>
      <c r="AN22" t="str">
        <v>Aman</v>
      </c>
      <c r="AO22" t="str">
        <v>Customer_38</v>
      </c>
      <c r="AP22" t="str">
        <v>Office Supplies</v>
      </c>
      <c r="AQ22" t="str">
        <v>Desk</v>
      </c>
      <c r="AR22">
        <v>11</v>
      </c>
      <c r="AS22">
        <v>45171</v>
      </c>
      <c r="AT22">
        <v>5</v>
      </c>
      <c r="AU22">
        <v>472036.95</v>
      </c>
      <c r="AV22">
        <v>312085.77</v>
      </c>
      <c r="AW22">
        <v>159951.18</v>
      </c>
      <c r="AX22" t="str">
        <v>UPI</v>
      </c>
      <c r="AY22">
        <v>10</v>
      </c>
      <c r="AZ22">
        <v>2.5</v>
      </c>
      <c r="BA22">
        <v>20</v>
      </c>
      <c r="BB22" t="str">
        <v>Desk</v>
      </c>
      <c r="BC22" s="6">
        <f t="shared" si="4"/>
        <v>0</v>
      </c>
      <c r="BD22" t="str">
        <f t="shared" si="5"/>
        <v>Bonus!</v>
      </c>
      <c r="BE22" s="8">
        <f t="shared" si="6"/>
        <v>0.3970522437988192</v>
      </c>
      <c r="BF22" t="str">
        <v>Customer_12</v>
      </c>
      <c r="BG22" t="str">
        <f t="shared" si="7"/>
        <v>North-Laptop</v>
      </c>
      <c r="BH22">
        <f t="shared" si="8"/>
        <v>2025</v>
      </c>
      <c r="BI22" t="str">
        <f t="shared" si="9"/>
        <v>January</v>
      </c>
      <c r="BJ22">
        <f t="shared" ca="1" si="0"/>
        <v>380</v>
      </c>
      <c r="BK22" s="8">
        <f t="shared" si="10"/>
        <v>0.3970522437988192</v>
      </c>
      <c r="BL22">
        <f t="shared" si="11"/>
        <v>30283</v>
      </c>
      <c r="BM22">
        <f t="shared" si="12"/>
        <v>9</v>
      </c>
      <c r="BN22">
        <v>1021</v>
      </c>
      <c r="BO22">
        <v>45641</v>
      </c>
      <c r="BP22" t="str">
        <v>East</v>
      </c>
      <c r="BQ22" t="str">
        <v>Neha</v>
      </c>
      <c r="BR22" t="str">
        <v>Customer_2</v>
      </c>
      <c r="BS22" t="str">
        <v>Office Supplies</v>
      </c>
      <c r="BT22" t="str">
        <v>Desk</v>
      </c>
      <c r="BU22">
        <v>19</v>
      </c>
      <c r="BV22">
        <v>32255</v>
      </c>
      <c r="BW22">
        <v>15</v>
      </c>
      <c r="BX22">
        <v>520918.25</v>
      </c>
      <c r="BY22">
        <v>301104</v>
      </c>
      <c r="BZ22">
        <v>219814.25</v>
      </c>
      <c r="CA22" t="str">
        <v>Card</v>
      </c>
      <c r="CB22">
        <v>2</v>
      </c>
      <c r="CC22">
        <v>3.6</v>
      </c>
      <c r="CD22" t="b">
        <f>COUNTIF(Sales_Data!E:E,Sales_Data!E22)&gt;1</f>
        <v>1</v>
      </c>
      <c r="CE22">
        <f>SUM(Sales_Data!$K$2:'Sales_Data'!K22)</f>
        <v>5230649.0499999989</v>
      </c>
      <c r="CF22">
        <f t="shared" si="13"/>
        <v>330024.23999999993</v>
      </c>
      <c r="CG22" t="str">
        <f>CHOOSE(MATCH(C22,{"North","West","South","East"},0),"Zone 1","Zone 2","Zone 3","Zone 4")</f>
        <v>Zone 1</v>
      </c>
      <c r="CH22" t="str" cm="1">
        <f t="array" ref="CH22">_xlfn.SWITCH(N22,"Card","Card Payment","UPI", "UPI Payment","Cash","Cash Payment","NetBanking", "NetBanking Payment", "Unknown")</f>
        <v>UPI Payment</v>
      </c>
      <c r="CI22" t="str" cm="1">
        <f t="array" ref="CI22">_xlfn.IFS(Sales_Data!J22&lt;=5,"Low",Sales_Data!J22&lt;=10,"Medium",Sales_Data!J22&gt;10,"High")</f>
        <v>Medium</v>
      </c>
    </row>
    <row r="23" spans="1:87" x14ac:dyDescent="0.3">
      <c r="A23">
        <v>1023</v>
      </c>
      <c r="B23" s="1">
        <v>45659</v>
      </c>
      <c r="C23" t="s">
        <v>33</v>
      </c>
      <c r="D23" t="s">
        <v>57</v>
      </c>
      <c r="E23" t="s">
        <v>18</v>
      </c>
      <c r="F23" t="s">
        <v>19</v>
      </c>
      <c r="G23" t="s">
        <v>47</v>
      </c>
      <c r="H23">
        <v>19</v>
      </c>
      <c r="I23">
        <v>15090</v>
      </c>
      <c r="J23">
        <v>15</v>
      </c>
      <c r="K23">
        <v>243703.5</v>
      </c>
      <c r="L23">
        <v>165570.76</v>
      </c>
      <c r="M23">
        <v>78132.740000000005</v>
      </c>
      <c r="N23" t="s">
        <v>37</v>
      </c>
      <c r="O23">
        <v>6</v>
      </c>
      <c r="P23">
        <v>3.8</v>
      </c>
      <c r="Q23">
        <f t="shared" si="1"/>
        <v>77</v>
      </c>
      <c r="R23" t="str">
        <f t="shared" si="2"/>
        <v>Monitor</v>
      </c>
      <c r="S23" t="e">
        <f t="shared" si="3"/>
        <v>#N/A</v>
      </c>
      <c r="T23">
        <v>45601</v>
      </c>
      <c r="U23" t="str">
        <v>South</v>
      </c>
      <c r="V23" t="str">
        <v>Priya</v>
      </c>
      <c r="W23" t="str">
        <v>Customer_34</v>
      </c>
      <c r="X23" t="str">
        <v>Office Supplies</v>
      </c>
      <c r="Y23" t="str">
        <v>Desk</v>
      </c>
      <c r="Z23">
        <v>12</v>
      </c>
      <c r="AA23">
        <v>35537</v>
      </c>
      <c r="AB23">
        <v>10</v>
      </c>
      <c r="AC23">
        <v>383799.6</v>
      </c>
      <c r="AD23">
        <v>291454.81</v>
      </c>
      <c r="AE23">
        <v>92344.79</v>
      </c>
      <c r="AF23" t="str">
        <v>Card</v>
      </c>
      <c r="AG23">
        <v>3</v>
      </c>
      <c r="AH23">
        <v>3.6</v>
      </c>
      <c r="AI23">
        <v>66</v>
      </c>
      <c r="AJ23" t="str">
        <v>Desk</v>
      </c>
      <c r="AK23">
        <v>1013</v>
      </c>
      <c r="AL23">
        <v>45452</v>
      </c>
      <c r="AM23" t="str">
        <v>South</v>
      </c>
      <c r="AN23" t="str">
        <v>Sneha</v>
      </c>
      <c r="AO23" t="str">
        <v>Customer_44</v>
      </c>
      <c r="AP23" t="str">
        <v>Electronics</v>
      </c>
      <c r="AQ23" t="str">
        <v>Monitor</v>
      </c>
      <c r="AR23">
        <v>16</v>
      </c>
      <c r="AS23">
        <v>28272</v>
      </c>
      <c r="AT23">
        <v>10</v>
      </c>
      <c r="AU23">
        <v>407116.79999999999</v>
      </c>
      <c r="AV23">
        <v>247249.79</v>
      </c>
      <c r="AW23">
        <v>159867.01</v>
      </c>
      <c r="AX23" t="str">
        <v>UPI</v>
      </c>
      <c r="AY23">
        <v>2</v>
      </c>
      <c r="AZ23">
        <v>4.4000000000000004</v>
      </c>
      <c r="BA23">
        <v>21</v>
      </c>
      <c r="BB23" t="str">
        <v>Monitor</v>
      </c>
      <c r="BC23" s="6">
        <f t="shared" si="4"/>
        <v>0</v>
      </c>
      <c r="BD23" t="str">
        <f t="shared" si="5"/>
        <v/>
      </c>
      <c r="BE23" s="8">
        <f t="shared" si="6"/>
        <v>0.32060573606862441</v>
      </c>
      <c r="BF23" t="str">
        <v>Customer_13</v>
      </c>
      <c r="BG23" t="str">
        <f t="shared" si="7"/>
        <v>East-Monitor</v>
      </c>
      <c r="BH23">
        <f t="shared" si="8"/>
        <v>2025</v>
      </c>
      <c r="BI23" t="str">
        <f t="shared" si="9"/>
        <v>January</v>
      </c>
      <c r="BJ23">
        <f t="shared" ca="1" si="0"/>
        <v>390</v>
      </c>
      <c r="BK23" s="8">
        <f t="shared" si="10"/>
        <v>0.32060573606862441</v>
      </c>
      <c r="BL23">
        <f t="shared" si="11"/>
        <v>26687</v>
      </c>
      <c r="BM23">
        <f t="shared" si="12"/>
        <v>2</v>
      </c>
      <c r="BN23">
        <v>1022</v>
      </c>
      <c r="BO23">
        <v>45673</v>
      </c>
      <c r="BP23" t="str">
        <v>North</v>
      </c>
      <c r="BQ23" t="str">
        <v>Karan</v>
      </c>
      <c r="BR23" t="str">
        <v>Customer_9</v>
      </c>
      <c r="BS23" t="str">
        <v>Office Supplies</v>
      </c>
      <c r="BT23" t="str">
        <v>Laptop</v>
      </c>
      <c r="BU23">
        <v>12</v>
      </c>
      <c r="BV23">
        <v>26572</v>
      </c>
      <c r="BW23">
        <v>10</v>
      </c>
      <c r="BX23">
        <v>286977.59999999998</v>
      </c>
      <c r="BY23">
        <v>173032.5</v>
      </c>
      <c r="BZ23">
        <v>113945.1</v>
      </c>
      <c r="CA23" t="str">
        <v>UPI</v>
      </c>
      <c r="CB23">
        <v>2</v>
      </c>
      <c r="CC23">
        <v>3.3</v>
      </c>
      <c r="CD23" t="b">
        <f>COUNTIF(Sales_Data!E:E,Sales_Data!E23)&gt;1</f>
        <v>1</v>
      </c>
      <c r="CE23">
        <f>SUM(Sales_Data!$K$2:'Sales_Data'!K23)</f>
        <v>5474352.5499999989</v>
      </c>
      <c r="CF23">
        <f t="shared" si="13"/>
        <v>280259.02499999997</v>
      </c>
      <c r="CG23" t="str">
        <f>CHOOSE(MATCH(C23,{"North","West","South","East"},0),"Zone 1","Zone 2","Zone 3","Zone 4")</f>
        <v>Zone 4</v>
      </c>
      <c r="CH23" t="str" cm="1">
        <f t="array" ref="CH23">_xlfn.SWITCH(N23,"Card","Card Payment","UPI", "UPI Payment","Cash","Cash Payment","NetBanking", "NetBanking Payment", "Unknown")</f>
        <v>Cash Payment</v>
      </c>
      <c r="CI23" t="str" cm="1">
        <f t="array" ref="CI23">_xlfn.IFS(Sales_Data!J23&lt;=5,"Low",Sales_Data!J23&lt;=10,"Medium",Sales_Data!J23&gt;10,"High")</f>
        <v>High</v>
      </c>
    </row>
    <row r="24" spans="1:87" x14ac:dyDescent="0.3">
      <c r="A24">
        <v>1024</v>
      </c>
      <c r="B24" s="1">
        <v>45746</v>
      </c>
      <c r="C24" t="s">
        <v>50</v>
      </c>
      <c r="D24" t="s">
        <v>39</v>
      </c>
      <c r="E24" t="s">
        <v>61</v>
      </c>
      <c r="F24" t="s">
        <v>19</v>
      </c>
      <c r="G24" t="s">
        <v>41</v>
      </c>
      <c r="H24">
        <v>3</v>
      </c>
      <c r="I24">
        <v>47470</v>
      </c>
      <c r="J24">
        <v>10</v>
      </c>
      <c r="K24">
        <v>128169</v>
      </c>
      <c r="L24">
        <v>75508.17</v>
      </c>
      <c r="M24">
        <v>52660.83</v>
      </c>
      <c r="N24" t="s">
        <v>27</v>
      </c>
      <c r="O24">
        <v>8</v>
      </c>
      <c r="P24">
        <v>4.2</v>
      </c>
      <c r="Q24">
        <f t="shared" si="1"/>
        <v>105</v>
      </c>
      <c r="R24" t="str">
        <f t="shared" si="2"/>
        <v>Chair</v>
      </c>
      <c r="S24" t="e">
        <f t="shared" si="3"/>
        <v>#N/A</v>
      </c>
      <c r="T24">
        <v>45336</v>
      </c>
      <c r="U24" t="str">
        <v>West</v>
      </c>
      <c r="V24" t="str">
        <v>Arjun</v>
      </c>
      <c r="W24" t="str">
        <v>Customer_49</v>
      </c>
      <c r="X24" t="str">
        <v>Furniture</v>
      </c>
      <c r="Y24" t="str">
        <v>Desk</v>
      </c>
      <c r="Z24">
        <v>14</v>
      </c>
      <c r="AA24">
        <v>42463</v>
      </c>
      <c r="AB24">
        <v>0</v>
      </c>
      <c r="AC24">
        <v>594482</v>
      </c>
      <c r="AD24">
        <v>387207.02</v>
      </c>
      <c r="AE24">
        <v>207274.98</v>
      </c>
      <c r="AF24" t="str">
        <v>Card</v>
      </c>
      <c r="AG24">
        <v>10</v>
      </c>
      <c r="AH24">
        <v>4.2</v>
      </c>
      <c r="AI24">
        <v>11</v>
      </c>
      <c r="AJ24" t="str">
        <v>Desk</v>
      </c>
      <c r="AK24">
        <v>1115</v>
      </c>
      <c r="AL24">
        <v>45506</v>
      </c>
      <c r="AM24" t="str">
        <v>North</v>
      </c>
      <c r="AN24" t="str">
        <v>Rohan</v>
      </c>
      <c r="AO24" t="str">
        <v>Customer_15</v>
      </c>
      <c r="AP24" t="str">
        <v>Electronics</v>
      </c>
      <c r="AQ24" t="str">
        <v>Mouse</v>
      </c>
      <c r="AR24">
        <v>13</v>
      </c>
      <c r="AS24">
        <v>44823</v>
      </c>
      <c r="AT24">
        <v>10</v>
      </c>
      <c r="AU24">
        <v>524429.1</v>
      </c>
      <c r="AV24">
        <v>365810.59</v>
      </c>
      <c r="AW24">
        <v>158618.51</v>
      </c>
      <c r="AX24" t="str">
        <v>NetBanking</v>
      </c>
      <c r="AY24">
        <v>1</v>
      </c>
      <c r="AZ24">
        <v>3.8</v>
      </c>
      <c r="BA24">
        <v>22</v>
      </c>
      <c r="BB24" t="str">
        <v>Mouse</v>
      </c>
      <c r="BC24" s="6">
        <f t="shared" si="4"/>
        <v>1</v>
      </c>
      <c r="BD24" t="str">
        <f t="shared" si="5"/>
        <v/>
      </c>
      <c r="BE24" s="8">
        <f t="shared" si="6"/>
        <v>0.4108702572384898</v>
      </c>
      <c r="BF24" t="str">
        <v>Customer_13</v>
      </c>
      <c r="BG24" t="str">
        <f t="shared" si="7"/>
        <v>North-Chair</v>
      </c>
      <c r="BH24">
        <f t="shared" si="8"/>
        <v>2025</v>
      </c>
      <c r="BI24" t="str">
        <f t="shared" si="9"/>
        <v>March</v>
      </c>
      <c r="BJ24">
        <f t="shared" ca="1" si="0"/>
        <v>328</v>
      </c>
      <c r="BK24" s="8">
        <f t="shared" si="10"/>
        <v>0.4108702572384898</v>
      </c>
      <c r="BL24">
        <f t="shared" si="11"/>
        <v>4972</v>
      </c>
      <c r="BM24">
        <f t="shared" si="12"/>
        <v>24</v>
      </c>
      <c r="BN24">
        <v>1023</v>
      </c>
      <c r="BO24">
        <v>45659</v>
      </c>
      <c r="BP24" t="str">
        <v>East</v>
      </c>
      <c r="BQ24" t="str">
        <v>Megha</v>
      </c>
      <c r="BR24" t="str">
        <v>Customer_46</v>
      </c>
      <c r="BS24" t="str">
        <v>Electronics</v>
      </c>
      <c r="BT24" t="str">
        <v>Monitor</v>
      </c>
      <c r="BU24">
        <v>19</v>
      </c>
      <c r="BV24">
        <v>15090</v>
      </c>
      <c r="BW24">
        <v>15</v>
      </c>
      <c r="BX24">
        <v>243703.5</v>
      </c>
      <c r="BY24">
        <v>165570.76</v>
      </c>
      <c r="BZ24">
        <v>78132.740000000005</v>
      </c>
      <c r="CA24" t="str">
        <v>Cash</v>
      </c>
      <c r="CB24">
        <v>6</v>
      </c>
      <c r="CC24">
        <v>3.8</v>
      </c>
      <c r="CD24" t="b">
        <f>COUNTIF(Sales_Data!E:E,Sales_Data!E24)&gt;1</f>
        <v>1</v>
      </c>
      <c r="CE24">
        <f>SUM(Sales_Data!$K$2:'Sales_Data'!K24)</f>
        <v>5602521.5499999989</v>
      </c>
      <c r="CF24">
        <f t="shared" si="13"/>
        <v>147394.34999999998</v>
      </c>
      <c r="CG24" t="str">
        <f>CHOOSE(MATCH(C24,{"North","West","South","East"},0),"Zone 1","Zone 2","Zone 3","Zone 4")</f>
        <v>Zone 1</v>
      </c>
      <c r="CH24" t="str" cm="1">
        <f t="array" ref="CH24">_xlfn.SWITCH(N24,"Card","Card Payment","UPI", "UPI Payment","Cash","Cash Payment","NetBanking", "NetBanking Payment", "Unknown")</f>
        <v>UPI Payment</v>
      </c>
      <c r="CI24" t="str" cm="1">
        <f t="array" ref="CI24">_xlfn.IFS(Sales_Data!J24&lt;=5,"Low",Sales_Data!J24&lt;=10,"Medium",Sales_Data!J24&gt;10,"High")</f>
        <v>Medium</v>
      </c>
    </row>
    <row r="25" spans="1:87" x14ac:dyDescent="0.3">
      <c r="A25">
        <v>1025</v>
      </c>
      <c r="B25" s="1">
        <v>45472</v>
      </c>
      <c r="C25" t="s">
        <v>33</v>
      </c>
      <c r="D25" t="s">
        <v>57</v>
      </c>
      <c r="E25" t="s">
        <v>62</v>
      </c>
      <c r="F25" t="s">
        <v>25</v>
      </c>
      <c r="G25" t="s">
        <v>44</v>
      </c>
      <c r="H25">
        <v>7</v>
      </c>
      <c r="I25">
        <v>42639</v>
      </c>
      <c r="J25">
        <v>15</v>
      </c>
      <c r="K25">
        <v>253702.05</v>
      </c>
      <c r="L25">
        <v>153492.84</v>
      </c>
      <c r="M25">
        <v>100209.21</v>
      </c>
      <c r="N25" t="s">
        <v>27</v>
      </c>
      <c r="O25">
        <v>1</v>
      </c>
      <c r="P25">
        <v>2.8</v>
      </c>
      <c r="Q25">
        <f t="shared" si="1"/>
        <v>58</v>
      </c>
      <c r="R25" t="str">
        <f t="shared" si="2"/>
        <v>Printer</v>
      </c>
      <c r="S25" t="e">
        <f t="shared" si="3"/>
        <v>#N/A</v>
      </c>
      <c r="T25">
        <v>45372</v>
      </c>
      <c r="U25" t="str">
        <v>East</v>
      </c>
      <c r="V25" t="str">
        <v>Neha</v>
      </c>
      <c r="W25" t="str">
        <v>Customer_11</v>
      </c>
      <c r="X25" t="str">
        <v>Office Supplies</v>
      </c>
      <c r="Y25" t="str">
        <v>Monitor</v>
      </c>
      <c r="Z25">
        <v>17</v>
      </c>
      <c r="AA25">
        <v>31105</v>
      </c>
      <c r="AB25">
        <v>0</v>
      </c>
      <c r="AC25">
        <v>528785</v>
      </c>
      <c r="AD25">
        <v>443466.77</v>
      </c>
      <c r="AE25">
        <v>85318.23</v>
      </c>
      <c r="AF25" t="str">
        <v>UPI</v>
      </c>
      <c r="AG25">
        <v>4</v>
      </c>
      <c r="AH25">
        <v>2.9</v>
      </c>
      <c r="AI25">
        <v>72</v>
      </c>
      <c r="AJ25" t="str">
        <v>Monitor</v>
      </c>
      <c r="AK25">
        <v>1011</v>
      </c>
      <c r="AL25">
        <v>45496</v>
      </c>
      <c r="AM25" t="str">
        <v>East</v>
      </c>
      <c r="AN25" t="str">
        <v>Karan</v>
      </c>
      <c r="AO25" t="str">
        <v>Customer_46</v>
      </c>
      <c r="AP25" t="str">
        <v>Electronics</v>
      </c>
      <c r="AQ25" t="str">
        <v>Keyboard</v>
      </c>
      <c r="AR25">
        <v>18</v>
      </c>
      <c r="AS25">
        <v>22848</v>
      </c>
      <c r="AT25">
        <v>5</v>
      </c>
      <c r="AU25">
        <v>390700.79999999999</v>
      </c>
      <c r="AV25">
        <v>234134.57</v>
      </c>
      <c r="AW25">
        <v>156566.23000000001</v>
      </c>
      <c r="AX25" t="str">
        <v>UPI</v>
      </c>
      <c r="AY25">
        <v>4</v>
      </c>
      <c r="AZ25">
        <v>3.9</v>
      </c>
      <c r="BA25">
        <v>23</v>
      </c>
      <c r="BB25" t="str">
        <v>Keyboard</v>
      </c>
      <c r="BC25" s="6">
        <f t="shared" si="4"/>
        <v>2</v>
      </c>
      <c r="BD25" t="str">
        <f t="shared" si="5"/>
        <v>Bonus!</v>
      </c>
      <c r="BE25" s="8">
        <f t="shared" si="6"/>
        <v>0.39498778192765888</v>
      </c>
      <c r="BF25" t="str">
        <v>Customer_13</v>
      </c>
      <c r="BG25" t="str">
        <f t="shared" si="7"/>
        <v>East-Printer</v>
      </c>
      <c r="BH25">
        <f t="shared" si="8"/>
        <v>2024</v>
      </c>
      <c r="BI25" t="str">
        <f t="shared" si="9"/>
        <v>June</v>
      </c>
      <c r="BJ25">
        <f t="shared" ca="1" si="0"/>
        <v>523</v>
      </c>
      <c r="BK25" s="8">
        <f t="shared" si="10"/>
        <v>0.39498778192765888</v>
      </c>
      <c r="BL25">
        <f t="shared" si="11"/>
        <v>1561</v>
      </c>
      <c r="BM25">
        <f t="shared" si="12"/>
        <v>25</v>
      </c>
      <c r="BN25">
        <v>1024</v>
      </c>
      <c r="BO25">
        <v>45746</v>
      </c>
      <c r="BP25" t="str">
        <v>North</v>
      </c>
      <c r="BQ25" t="str">
        <v>Sneha</v>
      </c>
      <c r="BR25" t="str">
        <v>Customer_11</v>
      </c>
      <c r="BS25" t="str">
        <v>Electronics</v>
      </c>
      <c r="BT25" t="str">
        <v>Chair</v>
      </c>
      <c r="BU25">
        <v>3</v>
      </c>
      <c r="BV25">
        <v>47470</v>
      </c>
      <c r="BW25">
        <v>10</v>
      </c>
      <c r="BX25">
        <v>128169</v>
      </c>
      <c r="BY25">
        <v>75508.17</v>
      </c>
      <c r="BZ25">
        <v>52660.83</v>
      </c>
      <c r="CA25" t="str">
        <v>UPI</v>
      </c>
      <c r="CB25">
        <v>8</v>
      </c>
      <c r="CC25">
        <v>4.2</v>
      </c>
      <c r="CD25" t="b">
        <f>COUNTIF(Sales_Data!E:E,Sales_Data!E25)&gt;1</f>
        <v>1</v>
      </c>
      <c r="CE25">
        <f>SUM(Sales_Data!$K$2:'Sales_Data'!K25)</f>
        <v>5856223.5999999987</v>
      </c>
      <c r="CF25">
        <f t="shared" si="13"/>
        <v>291757.35749999998</v>
      </c>
      <c r="CG25" t="str">
        <f>CHOOSE(MATCH(C25,{"North","West","South","East"},0),"Zone 1","Zone 2","Zone 3","Zone 4")</f>
        <v>Zone 4</v>
      </c>
      <c r="CH25" t="str" cm="1">
        <f t="array" ref="CH25">_xlfn.SWITCH(N25,"Card","Card Payment","UPI", "UPI Payment","Cash","Cash Payment","NetBanking", "NetBanking Payment", "Unknown")</f>
        <v>UPI Payment</v>
      </c>
      <c r="CI25" t="str" cm="1">
        <f t="array" ref="CI25">_xlfn.IFS(Sales_Data!J25&lt;=5,"Low",Sales_Data!J25&lt;=10,"Medium",Sales_Data!J25&gt;10,"High")</f>
        <v>High</v>
      </c>
    </row>
    <row r="26" spans="1:87" x14ac:dyDescent="0.3">
      <c r="A26">
        <v>1026</v>
      </c>
      <c r="B26" s="1">
        <v>45725</v>
      </c>
      <c r="C26" t="s">
        <v>22</v>
      </c>
      <c r="D26" t="s">
        <v>31</v>
      </c>
      <c r="E26" t="s">
        <v>49</v>
      </c>
      <c r="F26" t="s">
        <v>19</v>
      </c>
      <c r="G26" t="s">
        <v>30</v>
      </c>
      <c r="H26">
        <v>9</v>
      </c>
      <c r="I26">
        <v>22006</v>
      </c>
      <c r="J26">
        <v>0</v>
      </c>
      <c r="K26">
        <v>198054</v>
      </c>
      <c r="L26">
        <v>145298.1</v>
      </c>
      <c r="M26">
        <v>52755.9</v>
      </c>
      <c r="N26" t="s">
        <v>27</v>
      </c>
      <c r="O26">
        <v>10</v>
      </c>
      <c r="P26">
        <v>3.6</v>
      </c>
      <c r="Q26">
        <f t="shared" si="1"/>
        <v>104</v>
      </c>
      <c r="R26" t="str">
        <f t="shared" si="2"/>
        <v>Desk</v>
      </c>
      <c r="S26" t="e">
        <f t="shared" si="3"/>
        <v>#N/A</v>
      </c>
      <c r="T26">
        <v>45506</v>
      </c>
      <c r="U26" t="str">
        <v>West</v>
      </c>
      <c r="V26" t="str">
        <v>Aman</v>
      </c>
      <c r="W26" t="str">
        <v>Customer_45</v>
      </c>
      <c r="X26" t="str">
        <v>Office Supplies</v>
      </c>
      <c r="Y26" t="str">
        <v>Printer</v>
      </c>
      <c r="Z26">
        <v>12</v>
      </c>
      <c r="AA26">
        <v>36759</v>
      </c>
      <c r="AB26">
        <v>0</v>
      </c>
      <c r="AC26">
        <v>441108</v>
      </c>
      <c r="AD26">
        <v>309458.3</v>
      </c>
      <c r="AE26">
        <v>131649.70000000001</v>
      </c>
      <c r="AF26" t="str">
        <v>NetBanking</v>
      </c>
      <c r="AG26">
        <v>2</v>
      </c>
      <c r="AH26">
        <v>4.9000000000000004</v>
      </c>
      <c r="AI26">
        <v>34</v>
      </c>
      <c r="AJ26" t="str">
        <v>Printer</v>
      </c>
      <c r="AK26">
        <v>1189</v>
      </c>
      <c r="AL26">
        <v>45453</v>
      </c>
      <c r="AM26" t="str">
        <v>West</v>
      </c>
      <c r="AN26" t="str">
        <v>Arjun</v>
      </c>
      <c r="AO26" t="str">
        <v>Customer_25</v>
      </c>
      <c r="AP26" t="str">
        <v>Electronics</v>
      </c>
      <c r="AQ26" t="str">
        <v>Laptop</v>
      </c>
      <c r="AR26">
        <v>10</v>
      </c>
      <c r="AS26">
        <v>47475</v>
      </c>
      <c r="AT26">
        <v>5</v>
      </c>
      <c r="AU26">
        <v>451012.5</v>
      </c>
      <c r="AV26">
        <v>301133.07</v>
      </c>
      <c r="AW26">
        <v>149879.43</v>
      </c>
      <c r="AX26" t="str">
        <v>UPI</v>
      </c>
      <c r="AY26">
        <v>1</v>
      </c>
      <c r="AZ26">
        <v>3.8</v>
      </c>
      <c r="BA26">
        <v>24</v>
      </c>
      <c r="BB26" t="str">
        <v>Laptop</v>
      </c>
      <c r="BC26" s="6">
        <f t="shared" si="4"/>
        <v>1</v>
      </c>
      <c r="BD26" t="str">
        <f t="shared" si="5"/>
        <v/>
      </c>
      <c r="BE26" s="8">
        <f t="shared" si="6"/>
        <v>0.26637129267775456</v>
      </c>
      <c r="BF26" t="str">
        <v>Customer_13</v>
      </c>
      <c r="BG26" t="str">
        <f t="shared" si="7"/>
        <v>South-Desk</v>
      </c>
      <c r="BH26">
        <f t="shared" si="8"/>
        <v>2025</v>
      </c>
      <c r="BI26" t="str">
        <f t="shared" si="9"/>
        <v>March</v>
      </c>
      <c r="BJ26">
        <f t="shared" ca="1" si="0"/>
        <v>343</v>
      </c>
      <c r="BK26" s="8">
        <f t="shared" si="10"/>
        <v>0.26637129267775456</v>
      </c>
      <c r="BL26">
        <f t="shared" si="11"/>
        <v>13233</v>
      </c>
      <c r="BM26">
        <f t="shared" si="12"/>
        <v>13</v>
      </c>
      <c r="BN26">
        <v>1025</v>
      </c>
      <c r="BO26">
        <v>45472</v>
      </c>
      <c r="BP26" t="str">
        <v>East</v>
      </c>
      <c r="BQ26" t="str">
        <v>Megha</v>
      </c>
      <c r="BR26" t="str">
        <v>Customer_43</v>
      </c>
      <c r="BS26" t="str">
        <v>Office Supplies</v>
      </c>
      <c r="BT26" t="str">
        <v>Printer</v>
      </c>
      <c r="BU26">
        <v>7</v>
      </c>
      <c r="BV26">
        <v>42639</v>
      </c>
      <c r="BW26">
        <v>15</v>
      </c>
      <c r="BX26">
        <v>253702.05</v>
      </c>
      <c r="BY26">
        <v>153492.84</v>
      </c>
      <c r="BZ26">
        <v>100209.21</v>
      </c>
      <c r="CA26" t="str">
        <v>UPI</v>
      </c>
      <c r="CB26">
        <v>1</v>
      </c>
      <c r="CC26">
        <v>2.8</v>
      </c>
      <c r="CD26" t="b">
        <f>COUNTIF(Sales_Data!E:E,Sales_Data!E26)&gt;1</f>
        <v>1</v>
      </c>
      <c r="CE26">
        <f>SUM(Sales_Data!$K$2:'Sales_Data'!K26)</f>
        <v>6054277.5999999987</v>
      </c>
      <c r="CF26">
        <f t="shared" si="13"/>
        <v>227762.09999999998</v>
      </c>
      <c r="CG26" t="str">
        <f>CHOOSE(MATCH(C26,{"North","West","South","East"},0),"Zone 1","Zone 2","Zone 3","Zone 4")</f>
        <v>Zone 3</v>
      </c>
      <c r="CH26" t="str" cm="1">
        <f t="array" ref="CH26">_xlfn.SWITCH(N26,"Card","Card Payment","UPI", "UPI Payment","Cash","Cash Payment","NetBanking", "NetBanking Payment", "Unknown")</f>
        <v>UPI Payment</v>
      </c>
      <c r="CI26" t="str" cm="1">
        <f t="array" ref="CI26">_xlfn.IFS(Sales_Data!J26&lt;=5,"Low",Sales_Data!J26&lt;=10,"Medium",Sales_Data!J26&gt;10,"High")</f>
        <v>Low</v>
      </c>
    </row>
    <row r="27" spans="1:87" x14ac:dyDescent="0.3">
      <c r="A27">
        <v>1027</v>
      </c>
      <c r="B27" s="1">
        <v>45669</v>
      </c>
      <c r="C27" t="s">
        <v>16</v>
      </c>
      <c r="D27" t="s">
        <v>42</v>
      </c>
      <c r="E27" t="s">
        <v>63</v>
      </c>
      <c r="F27" t="s">
        <v>35</v>
      </c>
      <c r="G27" t="s">
        <v>47</v>
      </c>
      <c r="H27">
        <v>7</v>
      </c>
      <c r="I27">
        <v>8249</v>
      </c>
      <c r="J27">
        <v>5</v>
      </c>
      <c r="K27">
        <v>54855.85</v>
      </c>
      <c r="L27">
        <v>31589.759999999998</v>
      </c>
      <c r="M27">
        <v>23266.09</v>
      </c>
      <c r="N27" t="s">
        <v>48</v>
      </c>
      <c r="O27">
        <v>3</v>
      </c>
      <c r="P27">
        <v>3</v>
      </c>
      <c r="Q27">
        <f t="shared" si="1"/>
        <v>141</v>
      </c>
      <c r="R27" t="str">
        <f t="shared" si="2"/>
        <v>Monitor</v>
      </c>
      <c r="S27" t="e">
        <f t="shared" si="3"/>
        <v>#N/A</v>
      </c>
      <c r="T27">
        <v>45398</v>
      </c>
      <c r="U27" t="str">
        <v>North</v>
      </c>
      <c r="V27" t="str">
        <v>Aman</v>
      </c>
      <c r="W27" t="str">
        <v>Customer_34</v>
      </c>
      <c r="X27" t="str">
        <v>Electronics</v>
      </c>
      <c r="Y27" t="str">
        <v>Printer</v>
      </c>
      <c r="Z27">
        <v>8</v>
      </c>
      <c r="AA27">
        <v>47404</v>
      </c>
      <c r="AB27">
        <v>10</v>
      </c>
      <c r="AC27">
        <v>341308.8</v>
      </c>
      <c r="AD27">
        <v>203218.78</v>
      </c>
      <c r="AE27">
        <v>138090.01999999999</v>
      </c>
      <c r="AF27" t="str">
        <v>Card</v>
      </c>
      <c r="AG27">
        <v>10</v>
      </c>
      <c r="AH27">
        <v>3.5</v>
      </c>
      <c r="AI27">
        <v>30</v>
      </c>
      <c r="AJ27" t="str">
        <v>Printer</v>
      </c>
      <c r="AK27">
        <v>1049</v>
      </c>
      <c r="AL27">
        <v>45355</v>
      </c>
      <c r="AM27" t="str">
        <v>East</v>
      </c>
      <c r="AN27" t="str">
        <v>Karan</v>
      </c>
      <c r="AO27" t="str">
        <v>Customer_45</v>
      </c>
      <c r="AP27" t="str">
        <v>Office Supplies</v>
      </c>
      <c r="AQ27" t="str">
        <v>Phone</v>
      </c>
      <c r="AR27">
        <v>16</v>
      </c>
      <c r="AS27">
        <v>34368</v>
      </c>
      <c r="AT27">
        <v>20</v>
      </c>
      <c r="AU27">
        <v>439910.40000000002</v>
      </c>
      <c r="AV27">
        <v>292665.15999999997</v>
      </c>
      <c r="AW27">
        <v>147245.24</v>
      </c>
      <c r="AX27" t="str">
        <v>Card</v>
      </c>
      <c r="AY27">
        <v>4</v>
      </c>
      <c r="AZ27">
        <v>3.2</v>
      </c>
      <c r="BA27">
        <v>25</v>
      </c>
      <c r="BB27" t="str">
        <v>Phone</v>
      </c>
      <c r="BC27" s="6">
        <f t="shared" si="4"/>
        <v>0</v>
      </c>
      <c r="BD27" t="str">
        <f t="shared" si="5"/>
        <v/>
      </c>
      <c r="BE27" s="8">
        <f t="shared" si="6"/>
        <v>0.42413142809745907</v>
      </c>
      <c r="BF27" t="str">
        <v>Customer_13</v>
      </c>
      <c r="BG27" t="str">
        <f t="shared" si="7"/>
        <v>West-Monitor</v>
      </c>
      <c r="BH27">
        <f t="shared" si="8"/>
        <v>2025</v>
      </c>
      <c r="BI27" t="str">
        <f t="shared" si="9"/>
        <v>January</v>
      </c>
      <c r="BJ27">
        <f t="shared" ca="1" si="0"/>
        <v>383</v>
      </c>
      <c r="BK27" s="8">
        <f t="shared" si="10"/>
        <v>0.42413142809745907</v>
      </c>
      <c r="BL27">
        <f t="shared" si="11"/>
        <v>26687</v>
      </c>
      <c r="BM27">
        <f t="shared" si="12"/>
        <v>27</v>
      </c>
      <c r="BN27">
        <v>1026</v>
      </c>
      <c r="BO27">
        <v>45725</v>
      </c>
      <c r="BP27" t="str">
        <v>South</v>
      </c>
      <c r="BQ27" t="str">
        <v>Neha</v>
      </c>
      <c r="BR27" t="str">
        <v>Customer_44</v>
      </c>
      <c r="BS27" t="str">
        <v>Electronics</v>
      </c>
      <c r="BT27" t="str">
        <v>Desk</v>
      </c>
      <c r="BU27">
        <v>9</v>
      </c>
      <c r="BV27">
        <v>22006</v>
      </c>
      <c r="BW27">
        <v>0</v>
      </c>
      <c r="BX27">
        <v>198054</v>
      </c>
      <c r="BY27">
        <v>145298.1</v>
      </c>
      <c r="BZ27">
        <v>52755.9</v>
      </c>
      <c r="CA27" t="str">
        <v>UPI</v>
      </c>
      <c r="CB27">
        <v>10</v>
      </c>
      <c r="CC27">
        <v>3.6</v>
      </c>
      <c r="CD27" t="b">
        <f>COUNTIF(Sales_Data!E:E,Sales_Data!E27)&gt;1</f>
        <v>1</v>
      </c>
      <c r="CE27">
        <f>SUM(Sales_Data!$K$2:'Sales_Data'!K27)</f>
        <v>6109133.4499999983</v>
      </c>
      <c r="CF27">
        <f t="shared" si="13"/>
        <v>63084.227499999994</v>
      </c>
      <c r="CG27" t="str">
        <f>CHOOSE(MATCH(C27,{"North","West","South","East"},0),"Zone 1","Zone 2","Zone 3","Zone 4")</f>
        <v>Zone 2</v>
      </c>
      <c r="CH27" t="str" cm="1">
        <f t="array" ref="CH27">_xlfn.SWITCH(N27,"Card","Card Payment","UPI", "UPI Payment","Cash","Cash Payment","NetBanking", "NetBanking Payment", "Unknown")</f>
        <v>NetBanking Payment</v>
      </c>
      <c r="CI27" t="str" cm="1">
        <f t="array" ref="CI27">_xlfn.IFS(Sales_Data!J27&lt;=5,"Low",Sales_Data!J27&lt;=10,"Medium",Sales_Data!J27&gt;10,"High")</f>
        <v>Low</v>
      </c>
    </row>
    <row r="28" spans="1:87" x14ac:dyDescent="0.3">
      <c r="A28">
        <v>1028</v>
      </c>
      <c r="B28" s="1">
        <v>45534</v>
      </c>
      <c r="C28" t="s">
        <v>16</v>
      </c>
      <c r="D28" t="s">
        <v>17</v>
      </c>
      <c r="E28" t="s">
        <v>64</v>
      </c>
      <c r="F28" t="s">
        <v>19</v>
      </c>
      <c r="G28" t="s">
        <v>36</v>
      </c>
      <c r="H28">
        <v>4</v>
      </c>
      <c r="I28">
        <v>19338</v>
      </c>
      <c r="J28">
        <v>0</v>
      </c>
      <c r="K28">
        <v>77352</v>
      </c>
      <c r="L28">
        <v>58993.68</v>
      </c>
      <c r="M28">
        <v>18358.32</v>
      </c>
      <c r="N28" t="s">
        <v>48</v>
      </c>
      <c r="O28">
        <v>9</v>
      </c>
      <c r="P28">
        <v>4.9000000000000004</v>
      </c>
      <c r="Q28">
        <f t="shared" si="1"/>
        <v>151</v>
      </c>
      <c r="R28" t="str">
        <f t="shared" si="2"/>
        <v>Laptop</v>
      </c>
      <c r="S28" t="e">
        <f t="shared" si="3"/>
        <v>#N/A</v>
      </c>
      <c r="T28">
        <v>45701</v>
      </c>
      <c r="U28" t="str">
        <v>North</v>
      </c>
      <c r="V28" t="str">
        <v>Rohan</v>
      </c>
      <c r="W28" t="str">
        <v>Customer_13</v>
      </c>
      <c r="X28" t="str">
        <v>Furniture</v>
      </c>
      <c r="Y28" t="str">
        <v>Desk</v>
      </c>
      <c r="Z28">
        <v>7</v>
      </c>
      <c r="AA28">
        <v>37200</v>
      </c>
      <c r="AB28">
        <v>0</v>
      </c>
      <c r="AC28">
        <v>260400</v>
      </c>
      <c r="AD28">
        <v>169126.08</v>
      </c>
      <c r="AE28">
        <v>91273.919999999998</v>
      </c>
      <c r="AF28" t="str">
        <v>Cash</v>
      </c>
      <c r="AG28">
        <v>9</v>
      </c>
      <c r="AH28">
        <v>3.3</v>
      </c>
      <c r="AI28">
        <v>67</v>
      </c>
      <c r="AJ28" t="str">
        <v>Desk</v>
      </c>
      <c r="AK28">
        <v>1162</v>
      </c>
      <c r="AL28">
        <v>45680</v>
      </c>
      <c r="AM28" t="str">
        <v>South</v>
      </c>
      <c r="AN28" t="str">
        <v>Sneha</v>
      </c>
      <c r="AO28" t="str">
        <v>Customer_3</v>
      </c>
      <c r="AP28" t="str">
        <v>Furniture</v>
      </c>
      <c r="AQ28" t="str">
        <v>Mouse</v>
      </c>
      <c r="AR28">
        <v>13</v>
      </c>
      <c r="AS28">
        <v>32683</v>
      </c>
      <c r="AT28">
        <v>5</v>
      </c>
      <c r="AU28">
        <v>403635.05</v>
      </c>
      <c r="AV28">
        <v>258355.12</v>
      </c>
      <c r="AW28">
        <v>145279.93</v>
      </c>
      <c r="AX28" t="str">
        <v>UPI</v>
      </c>
      <c r="AY28">
        <v>9</v>
      </c>
      <c r="AZ28">
        <v>4.3</v>
      </c>
      <c r="BA28">
        <v>26</v>
      </c>
      <c r="BB28" t="str">
        <v>Mouse</v>
      </c>
      <c r="BC28" s="6">
        <f t="shared" si="4"/>
        <v>3</v>
      </c>
      <c r="BD28" t="str">
        <f t="shared" si="5"/>
        <v/>
      </c>
      <c r="BE28" s="8">
        <f t="shared" si="6"/>
        <v>0.23733478125969593</v>
      </c>
      <c r="BF28" t="str">
        <v>Customer_14</v>
      </c>
      <c r="BG28" t="str">
        <f t="shared" si="7"/>
        <v>West-Laptop</v>
      </c>
      <c r="BH28">
        <f t="shared" si="8"/>
        <v>2024</v>
      </c>
      <c r="BI28" t="str">
        <f t="shared" si="9"/>
        <v>August</v>
      </c>
      <c r="BJ28">
        <f t="shared" ca="1" si="0"/>
        <v>479</v>
      </c>
      <c r="BK28" s="8">
        <f t="shared" si="10"/>
        <v>0.23733478125969593</v>
      </c>
      <c r="BL28">
        <f t="shared" si="11"/>
        <v>30283</v>
      </c>
      <c r="BM28">
        <f t="shared" si="12"/>
        <v>28</v>
      </c>
      <c r="BN28">
        <v>1027</v>
      </c>
      <c r="BO28">
        <v>45669</v>
      </c>
      <c r="BP28" t="str">
        <v>West</v>
      </c>
      <c r="BQ28" t="str">
        <v>Priya</v>
      </c>
      <c r="BR28" t="str">
        <v>Customer_13</v>
      </c>
      <c r="BS28" t="str">
        <v>Furniture</v>
      </c>
      <c r="BT28" t="str">
        <v>Monitor</v>
      </c>
      <c r="BU28">
        <v>7</v>
      </c>
      <c r="BV28">
        <v>8249</v>
      </c>
      <c r="BW28">
        <v>5</v>
      </c>
      <c r="BX28">
        <v>54855.85</v>
      </c>
      <c r="BY28">
        <v>31589.759999999998</v>
      </c>
      <c r="BZ28">
        <v>23266.09</v>
      </c>
      <c r="CA28" t="str">
        <v>NetBanking</v>
      </c>
      <c r="CB28">
        <v>3</v>
      </c>
      <c r="CC28">
        <v>3</v>
      </c>
      <c r="CD28" t="b">
        <f>COUNTIF(Sales_Data!E:E,Sales_Data!E28)&gt;1</f>
        <v>1</v>
      </c>
      <c r="CE28">
        <f>SUM(Sales_Data!$K$2:'Sales_Data'!K28)</f>
        <v>6186485.4499999983</v>
      </c>
      <c r="CF28">
        <f t="shared" si="13"/>
        <v>88954.799999999988</v>
      </c>
      <c r="CG28" t="str">
        <f>CHOOSE(MATCH(C28,{"North","West","South","East"},0),"Zone 1","Zone 2","Zone 3","Zone 4")</f>
        <v>Zone 2</v>
      </c>
      <c r="CH28" t="str" cm="1">
        <f t="array" ref="CH28">_xlfn.SWITCH(N28,"Card","Card Payment","UPI", "UPI Payment","Cash","Cash Payment","NetBanking", "NetBanking Payment", "Unknown")</f>
        <v>NetBanking Payment</v>
      </c>
      <c r="CI28" t="str" cm="1">
        <f t="array" ref="CI28">_xlfn.IFS(Sales_Data!J28&lt;=5,"Low",Sales_Data!J28&lt;=10,"Medium",Sales_Data!J28&gt;10,"High")</f>
        <v>Low</v>
      </c>
    </row>
    <row r="29" spans="1:87" x14ac:dyDescent="0.3">
      <c r="A29">
        <v>1029</v>
      </c>
      <c r="B29" s="1">
        <v>45632</v>
      </c>
      <c r="C29" t="s">
        <v>22</v>
      </c>
      <c r="D29" t="s">
        <v>42</v>
      </c>
      <c r="E29" t="s">
        <v>56</v>
      </c>
      <c r="F29" t="s">
        <v>19</v>
      </c>
      <c r="G29" t="s">
        <v>65</v>
      </c>
      <c r="H29">
        <v>17</v>
      </c>
      <c r="I29">
        <v>41775</v>
      </c>
      <c r="J29">
        <v>20</v>
      </c>
      <c r="K29">
        <v>568140</v>
      </c>
      <c r="L29">
        <v>366802.83</v>
      </c>
      <c r="M29">
        <v>201337.17</v>
      </c>
      <c r="N29" t="s">
        <v>48</v>
      </c>
      <c r="O29">
        <v>10</v>
      </c>
      <c r="P29">
        <v>2.9</v>
      </c>
      <c r="Q29">
        <f t="shared" si="1"/>
        <v>12</v>
      </c>
      <c r="R29" t="str">
        <f t="shared" si="2"/>
        <v>Mouse</v>
      </c>
      <c r="S29" t="e">
        <f t="shared" si="3"/>
        <v>#N/A</v>
      </c>
      <c r="T29">
        <v>45397</v>
      </c>
      <c r="U29" t="str">
        <v>South</v>
      </c>
      <c r="V29" t="str">
        <v>Priya</v>
      </c>
      <c r="W29" t="str">
        <v>Customer_42</v>
      </c>
      <c r="X29" t="str">
        <v>Office Supplies</v>
      </c>
      <c r="Y29" t="str">
        <v>Mouse</v>
      </c>
      <c r="Z29">
        <v>13</v>
      </c>
      <c r="AA29">
        <v>24831</v>
      </c>
      <c r="AB29">
        <v>0</v>
      </c>
      <c r="AC29">
        <v>322803</v>
      </c>
      <c r="AD29">
        <v>199823.29</v>
      </c>
      <c r="AE29">
        <v>122979.71</v>
      </c>
      <c r="AF29" t="str">
        <v>Card</v>
      </c>
      <c r="AG29">
        <v>4</v>
      </c>
      <c r="AH29">
        <v>3.2</v>
      </c>
      <c r="AI29">
        <v>40</v>
      </c>
      <c r="AJ29" t="str">
        <v>Mouse</v>
      </c>
      <c r="AK29">
        <v>1124</v>
      </c>
      <c r="AL29">
        <v>45777</v>
      </c>
      <c r="AM29" t="str">
        <v>East</v>
      </c>
      <c r="AN29" t="str">
        <v>Aman</v>
      </c>
      <c r="AO29" t="str">
        <v>Customer_38</v>
      </c>
      <c r="AP29" t="str">
        <v>Office Supplies</v>
      </c>
      <c r="AQ29" t="str">
        <v>Desk</v>
      </c>
      <c r="AR29">
        <v>20</v>
      </c>
      <c r="AS29">
        <v>25850</v>
      </c>
      <c r="AT29">
        <v>10</v>
      </c>
      <c r="AU29">
        <v>465300</v>
      </c>
      <c r="AV29">
        <v>322127.03000000003</v>
      </c>
      <c r="AW29">
        <v>143172.97</v>
      </c>
      <c r="AX29" t="str">
        <v>Card</v>
      </c>
      <c r="AY29">
        <v>7</v>
      </c>
      <c r="AZ29">
        <v>3.7</v>
      </c>
      <c r="BA29">
        <v>27</v>
      </c>
      <c r="BB29" t="str">
        <v>Desk</v>
      </c>
      <c r="BC29" s="6">
        <f t="shared" si="4"/>
        <v>4</v>
      </c>
      <c r="BD29" t="str">
        <f t="shared" si="5"/>
        <v>Bonus!</v>
      </c>
      <c r="BE29" s="8">
        <f t="shared" si="6"/>
        <v>0.3543795015313127</v>
      </c>
      <c r="BF29" t="str">
        <v>Customer_15</v>
      </c>
      <c r="BG29" t="str">
        <f t="shared" si="7"/>
        <v>South-Mouse</v>
      </c>
      <c r="BH29">
        <f t="shared" si="8"/>
        <v>2024</v>
      </c>
      <c r="BI29" t="str">
        <f t="shared" si="9"/>
        <v>December</v>
      </c>
      <c r="BJ29">
        <f t="shared" ca="1" si="0"/>
        <v>409</v>
      </c>
      <c r="BK29" s="8">
        <f t="shared" si="10"/>
        <v>0.3543795015313127</v>
      </c>
      <c r="BL29">
        <f t="shared" si="11"/>
        <v>41775</v>
      </c>
      <c r="BM29">
        <f t="shared" si="12"/>
        <v>18</v>
      </c>
      <c r="BN29">
        <v>1028</v>
      </c>
      <c r="BO29">
        <v>45534</v>
      </c>
      <c r="BP29" t="str">
        <v>West</v>
      </c>
      <c r="BQ29" t="str">
        <v>Rohan</v>
      </c>
      <c r="BR29" t="str">
        <v>Customer_26</v>
      </c>
      <c r="BS29" t="str">
        <v>Electronics</v>
      </c>
      <c r="BT29" t="str">
        <v>Laptop</v>
      </c>
      <c r="BU29">
        <v>4</v>
      </c>
      <c r="BV29">
        <v>19338</v>
      </c>
      <c r="BW29">
        <v>0</v>
      </c>
      <c r="BX29">
        <v>77352</v>
      </c>
      <c r="BY29">
        <v>58993.68</v>
      </c>
      <c r="BZ29">
        <v>18358.32</v>
      </c>
      <c r="CA29" t="str">
        <v>NetBanking</v>
      </c>
      <c r="CB29">
        <v>9</v>
      </c>
      <c r="CC29">
        <v>4.9000000000000004</v>
      </c>
      <c r="CD29" t="b">
        <f>COUNTIF(Sales_Data!E:E,Sales_Data!E29)&gt;1</f>
        <v>1</v>
      </c>
      <c r="CE29">
        <f>SUM(Sales_Data!$K$2:'Sales_Data'!K29)</f>
        <v>6754625.4499999983</v>
      </c>
      <c r="CF29">
        <f t="shared" si="13"/>
        <v>653361</v>
      </c>
      <c r="CG29" t="str">
        <f>CHOOSE(MATCH(C29,{"North","West","South","East"},0),"Zone 1","Zone 2","Zone 3","Zone 4")</f>
        <v>Zone 3</v>
      </c>
      <c r="CH29" t="str" cm="1">
        <f t="array" ref="CH29">_xlfn.SWITCH(N29,"Card","Card Payment","UPI", "UPI Payment","Cash","Cash Payment","NetBanking", "NetBanking Payment", "Unknown")</f>
        <v>NetBanking Payment</v>
      </c>
      <c r="CI29" t="str" cm="1">
        <f t="array" ref="CI29">_xlfn.IFS(Sales_Data!J29&lt;=5,"Low",Sales_Data!J29&lt;=10,"Medium",Sales_Data!J29&gt;10,"High")</f>
        <v>High</v>
      </c>
    </row>
    <row r="30" spans="1:87" x14ac:dyDescent="0.3">
      <c r="A30">
        <v>1030</v>
      </c>
      <c r="B30" s="1">
        <v>45752</v>
      </c>
      <c r="C30" t="s">
        <v>50</v>
      </c>
      <c r="D30" t="s">
        <v>17</v>
      </c>
      <c r="E30" t="s">
        <v>62</v>
      </c>
      <c r="F30" t="s">
        <v>35</v>
      </c>
      <c r="G30" t="s">
        <v>30</v>
      </c>
      <c r="H30">
        <v>15</v>
      </c>
      <c r="I30">
        <v>49976</v>
      </c>
      <c r="J30">
        <v>10</v>
      </c>
      <c r="K30">
        <v>674676</v>
      </c>
      <c r="L30">
        <v>531913.1</v>
      </c>
      <c r="M30">
        <v>142762.9</v>
      </c>
      <c r="N30" t="s">
        <v>48</v>
      </c>
      <c r="O30">
        <v>7</v>
      </c>
      <c r="P30">
        <v>3.2</v>
      </c>
      <c r="Q30">
        <f t="shared" si="1"/>
        <v>28</v>
      </c>
      <c r="R30" t="str">
        <f t="shared" si="2"/>
        <v>Desk</v>
      </c>
      <c r="S30" t="e">
        <f t="shared" si="3"/>
        <v>#N/A</v>
      </c>
      <c r="T30">
        <v>45597</v>
      </c>
      <c r="U30" t="str">
        <v>East</v>
      </c>
      <c r="V30" t="str">
        <v>Rohan</v>
      </c>
      <c r="W30" t="str">
        <v>Customer_37</v>
      </c>
      <c r="X30" t="str">
        <v>Office Supplies</v>
      </c>
      <c r="Y30" t="str">
        <v>Phone</v>
      </c>
      <c r="Z30">
        <v>14</v>
      </c>
      <c r="AA30">
        <v>43915</v>
      </c>
      <c r="AB30">
        <v>10</v>
      </c>
      <c r="AC30">
        <v>553329</v>
      </c>
      <c r="AD30">
        <v>308406.03999999998</v>
      </c>
      <c r="AE30">
        <v>244922.96</v>
      </c>
      <c r="AF30" t="str">
        <v>Cash</v>
      </c>
      <c r="AG30">
        <v>10</v>
      </c>
      <c r="AH30">
        <v>3</v>
      </c>
      <c r="AI30">
        <v>5</v>
      </c>
      <c r="AJ30" t="str">
        <v>Phone</v>
      </c>
      <c r="AK30">
        <v>1030</v>
      </c>
      <c r="AL30">
        <v>45752</v>
      </c>
      <c r="AM30" t="str">
        <v>North</v>
      </c>
      <c r="AN30" t="str">
        <v>Rohan</v>
      </c>
      <c r="AO30" t="str">
        <v>Customer_43</v>
      </c>
      <c r="AP30" t="str">
        <v>Furniture</v>
      </c>
      <c r="AQ30" t="str">
        <v>Desk</v>
      </c>
      <c r="AR30">
        <v>15</v>
      </c>
      <c r="AS30">
        <v>49976</v>
      </c>
      <c r="AT30">
        <v>10</v>
      </c>
      <c r="AU30">
        <v>674676</v>
      </c>
      <c r="AV30">
        <v>531913.1</v>
      </c>
      <c r="AW30">
        <v>142762.9</v>
      </c>
      <c r="AX30" t="str">
        <v>NetBanking</v>
      </c>
      <c r="AY30">
        <v>7</v>
      </c>
      <c r="AZ30">
        <v>3.2</v>
      </c>
      <c r="BA30">
        <v>28</v>
      </c>
      <c r="BB30" t="str">
        <v>Desk</v>
      </c>
      <c r="BC30" s="6">
        <f t="shared" si="4"/>
        <v>1</v>
      </c>
      <c r="BD30" t="str">
        <f t="shared" si="5"/>
        <v>Bonus!</v>
      </c>
      <c r="BE30" s="8">
        <f t="shared" si="6"/>
        <v>0.21160216163017506</v>
      </c>
      <c r="BF30" t="str">
        <v>Customer_15</v>
      </c>
      <c r="BG30" t="str">
        <f t="shared" si="7"/>
        <v>North-Desk</v>
      </c>
      <c r="BH30">
        <f t="shared" si="8"/>
        <v>2025</v>
      </c>
      <c r="BI30" t="str">
        <f t="shared" si="9"/>
        <v>April</v>
      </c>
      <c r="BJ30">
        <f t="shared" ca="1" si="0"/>
        <v>323</v>
      </c>
      <c r="BK30" s="8">
        <f t="shared" si="10"/>
        <v>0.21160216163017506</v>
      </c>
      <c r="BL30">
        <f t="shared" si="11"/>
        <v>13233</v>
      </c>
      <c r="BM30">
        <f t="shared" si="12"/>
        <v>25</v>
      </c>
      <c r="BN30">
        <v>1029</v>
      </c>
      <c r="BO30">
        <v>45632</v>
      </c>
      <c r="BP30" t="str">
        <v>South</v>
      </c>
      <c r="BQ30" t="str">
        <v>Priya</v>
      </c>
      <c r="BR30" t="str">
        <v>Customer_29</v>
      </c>
      <c r="BS30" t="str">
        <v>Electronics</v>
      </c>
      <c r="BT30" t="str">
        <v>Mouse</v>
      </c>
      <c r="BU30">
        <v>17</v>
      </c>
      <c r="BV30">
        <v>41775</v>
      </c>
      <c r="BW30">
        <v>20</v>
      </c>
      <c r="BX30">
        <v>568140</v>
      </c>
      <c r="BY30">
        <v>366802.83</v>
      </c>
      <c r="BZ30">
        <v>201337.17</v>
      </c>
      <c r="CA30" t="str">
        <v>NetBanking</v>
      </c>
      <c r="CB30">
        <v>10</v>
      </c>
      <c r="CC30">
        <v>2.9</v>
      </c>
      <c r="CD30" t="b">
        <f>COUNTIF(Sales_Data!E:E,Sales_Data!E30)&gt;1</f>
        <v>1</v>
      </c>
      <c r="CE30">
        <f>SUM(Sales_Data!$K$2:'Sales_Data'!K30)</f>
        <v>7429301.4499999983</v>
      </c>
      <c r="CF30">
        <f t="shared" si="13"/>
        <v>775877.39999999991</v>
      </c>
      <c r="CG30" t="str">
        <f>CHOOSE(MATCH(C30,{"North","West","South","East"},0),"Zone 1","Zone 2","Zone 3","Zone 4")</f>
        <v>Zone 1</v>
      </c>
      <c r="CH30" t="str" cm="1">
        <f t="array" ref="CH30">_xlfn.SWITCH(N30,"Card","Card Payment","UPI", "UPI Payment","Cash","Cash Payment","NetBanking", "NetBanking Payment", "Unknown")</f>
        <v>NetBanking Payment</v>
      </c>
      <c r="CI30" t="str" cm="1">
        <f t="array" ref="CI30">_xlfn.IFS(Sales_Data!J30&lt;=5,"Low",Sales_Data!J30&lt;=10,"Medium",Sales_Data!J30&gt;10,"High")</f>
        <v>Medium</v>
      </c>
    </row>
    <row r="31" spans="1:87" x14ac:dyDescent="0.3">
      <c r="A31">
        <v>1031</v>
      </c>
      <c r="B31" s="1">
        <v>45409</v>
      </c>
      <c r="C31" t="s">
        <v>33</v>
      </c>
      <c r="D31" t="s">
        <v>51</v>
      </c>
      <c r="E31" t="s">
        <v>53</v>
      </c>
      <c r="F31" t="s">
        <v>19</v>
      </c>
      <c r="G31" t="s">
        <v>26</v>
      </c>
      <c r="H31">
        <v>20</v>
      </c>
      <c r="I31">
        <v>3378</v>
      </c>
      <c r="J31">
        <v>15</v>
      </c>
      <c r="K31">
        <v>57426</v>
      </c>
      <c r="L31">
        <v>36236.410000000003</v>
      </c>
      <c r="M31">
        <v>21189.59</v>
      </c>
      <c r="N31" t="s">
        <v>37</v>
      </c>
      <c r="O31">
        <v>6</v>
      </c>
      <c r="P31">
        <v>4.8</v>
      </c>
      <c r="Q31">
        <f t="shared" si="1"/>
        <v>148</v>
      </c>
      <c r="R31" t="str">
        <f t="shared" si="2"/>
        <v>Keyboard</v>
      </c>
      <c r="S31" t="e">
        <f t="shared" si="3"/>
        <v>#N/A</v>
      </c>
      <c r="T31">
        <v>45311</v>
      </c>
      <c r="U31" t="str">
        <v>North</v>
      </c>
      <c r="V31" t="str">
        <v>Rohan</v>
      </c>
      <c r="W31" t="str">
        <v>Customer_35</v>
      </c>
      <c r="X31" t="str">
        <v>Office Supplies</v>
      </c>
      <c r="Y31" t="str">
        <v>Laptop</v>
      </c>
      <c r="Z31">
        <v>10</v>
      </c>
      <c r="AA31">
        <v>38964</v>
      </c>
      <c r="AB31">
        <v>0</v>
      </c>
      <c r="AC31">
        <v>389640</v>
      </c>
      <c r="AD31">
        <v>256468.2</v>
      </c>
      <c r="AE31">
        <v>133171.79999999999</v>
      </c>
      <c r="AF31" t="str">
        <v>NetBanking</v>
      </c>
      <c r="AG31">
        <v>5</v>
      </c>
      <c r="AH31">
        <v>4.7</v>
      </c>
      <c r="AI31">
        <v>33</v>
      </c>
      <c r="AJ31" t="str">
        <v>Laptop</v>
      </c>
      <c r="AK31">
        <v>1134</v>
      </c>
      <c r="AL31">
        <v>45617</v>
      </c>
      <c r="AM31" t="str">
        <v>East</v>
      </c>
      <c r="AN31" t="str">
        <v>Aman</v>
      </c>
      <c r="AO31" t="str">
        <v>Customer_8</v>
      </c>
      <c r="AP31" t="str">
        <v>Electronics</v>
      </c>
      <c r="AQ31" t="str">
        <v>Printer</v>
      </c>
      <c r="AR31">
        <v>20</v>
      </c>
      <c r="AS31">
        <v>16396</v>
      </c>
      <c r="AT31">
        <v>0</v>
      </c>
      <c r="AU31">
        <v>327920</v>
      </c>
      <c r="AV31">
        <v>186074.48</v>
      </c>
      <c r="AW31">
        <v>141845.51999999999</v>
      </c>
      <c r="AX31" t="str">
        <v>NetBanking</v>
      </c>
      <c r="AY31">
        <v>8</v>
      </c>
      <c r="AZ31">
        <v>4.4000000000000004</v>
      </c>
      <c r="BA31">
        <v>29</v>
      </c>
      <c r="BB31" t="str">
        <v>Printer</v>
      </c>
      <c r="BC31" s="6">
        <f t="shared" si="4"/>
        <v>1</v>
      </c>
      <c r="BD31" t="str">
        <f t="shared" si="5"/>
        <v/>
      </c>
      <c r="BE31" s="8">
        <f t="shared" si="6"/>
        <v>0.36898948211611465</v>
      </c>
      <c r="BF31" t="str">
        <v>Customer_15</v>
      </c>
      <c r="BG31" t="str">
        <f t="shared" si="7"/>
        <v>East-Keyboard</v>
      </c>
      <c r="BH31">
        <f t="shared" si="8"/>
        <v>2024</v>
      </c>
      <c r="BI31" t="str">
        <f t="shared" si="9"/>
        <v>April</v>
      </c>
      <c r="BJ31">
        <f t="shared" ca="1" si="0"/>
        <v>568</v>
      </c>
      <c r="BK31" s="8">
        <f t="shared" si="10"/>
        <v>0.36898948211611465</v>
      </c>
      <c r="BL31">
        <f t="shared" si="11"/>
        <v>23829</v>
      </c>
      <c r="BM31">
        <f t="shared" si="12"/>
        <v>15</v>
      </c>
      <c r="BN31">
        <v>1030</v>
      </c>
      <c r="BO31">
        <v>45752</v>
      </c>
      <c r="BP31" t="str">
        <v>North</v>
      </c>
      <c r="BQ31" t="str">
        <v>Rohan</v>
      </c>
      <c r="BR31" t="str">
        <v>Customer_43</v>
      </c>
      <c r="BS31" t="str">
        <v>Furniture</v>
      </c>
      <c r="BT31" t="str">
        <v>Desk</v>
      </c>
      <c r="BU31">
        <v>15</v>
      </c>
      <c r="BV31">
        <v>49976</v>
      </c>
      <c r="BW31">
        <v>10</v>
      </c>
      <c r="BX31">
        <v>674676</v>
      </c>
      <c r="BY31">
        <v>531913.1</v>
      </c>
      <c r="BZ31">
        <v>142762.9</v>
      </c>
      <c r="CA31" t="str">
        <v>NetBanking</v>
      </c>
      <c r="CB31">
        <v>7</v>
      </c>
      <c r="CC31">
        <v>3.2</v>
      </c>
      <c r="CD31" t="b">
        <f>COUNTIF(Sales_Data!E:E,Sales_Data!E31)&gt;1</f>
        <v>1</v>
      </c>
      <c r="CE31">
        <f>SUM(Sales_Data!$K$2:'Sales_Data'!K31)</f>
        <v>7486727.4499999983</v>
      </c>
      <c r="CF31">
        <f t="shared" si="13"/>
        <v>66039.899999999994</v>
      </c>
      <c r="CG31" t="str">
        <f>CHOOSE(MATCH(C31,{"North","West","South","East"},0),"Zone 1","Zone 2","Zone 3","Zone 4")</f>
        <v>Zone 4</v>
      </c>
      <c r="CH31" t="str" cm="1">
        <f t="array" ref="CH31">_xlfn.SWITCH(N31,"Card","Card Payment","UPI", "UPI Payment","Cash","Cash Payment","NetBanking", "NetBanking Payment", "Unknown")</f>
        <v>Cash Payment</v>
      </c>
      <c r="CI31" t="str" cm="1">
        <f t="array" ref="CI31">_xlfn.IFS(Sales_Data!J31&lt;=5,"Low",Sales_Data!J31&lt;=10,"Medium",Sales_Data!J31&gt;10,"High")</f>
        <v>High</v>
      </c>
    </row>
    <row r="32" spans="1:87" x14ac:dyDescent="0.3">
      <c r="A32">
        <v>1032</v>
      </c>
      <c r="B32" s="1">
        <v>45672</v>
      </c>
      <c r="C32" t="s">
        <v>50</v>
      </c>
      <c r="D32" t="s">
        <v>42</v>
      </c>
      <c r="E32" t="s">
        <v>54</v>
      </c>
      <c r="F32" t="s">
        <v>25</v>
      </c>
      <c r="G32" t="s">
        <v>36</v>
      </c>
      <c r="H32">
        <v>5</v>
      </c>
      <c r="I32">
        <v>26404</v>
      </c>
      <c r="J32">
        <v>5</v>
      </c>
      <c r="K32">
        <v>125419</v>
      </c>
      <c r="L32">
        <v>95873</v>
      </c>
      <c r="M32">
        <v>29546</v>
      </c>
      <c r="N32" t="s">
        <v>21</v>
      </c>
      <c r="O32">
        <v>8</v>
      </c>
      <c r="P32">
        <v>4.9000000000000004</v>
      </c>
      <c r="Q32">
        <f t="shared" si="1"/>
        <v>132</v>
      </c>
      <c r="R32" t="str">
        <f t="shared" si="2"/>
        <v>Laptop</v>
      </c>
      <c r="S32" t="e">
        <f t="shared" si="3"/>
        <v>#N/A</v>
      </c>
      <c r="T32">
        <v>45603</v>
      </c>
      <c r="U32" t="str">
        <v>West</v>
      </c>
      <c r="V32" t="str">
        <v>Rohan</v>
      </c>
      <c r="W32" t="str">
        <v>Customer_45</v>
      </c>
      <c r="X32" t="str">
        <v>Electronics</v>
      </c>
      <c r="Y32" t="str">
        <v>Laptop</v>
      </c>
      <c r="Z32">
        <v>19</v>
      </c>
      <c r="AA32">
        <v>26262</v>
      </c>
      <c r="AB32">
        <v>20</v>
      </c>
      <c r="AC32">
        <v>399182.4</v>
      </c>
      <c r="AD32">
        <v>300998.57</v>
      </c>
      <c r="AE32">
        <v>98183.83</v>
      </c>
      <c r="AF32" t="str">
        <v>Card</v>
      </c>
      <c r="AG32">
        <v>6</v>
      </c>
      <c r="AH32">
        <v>3.8</v>
      </c>
      <c r="AI32">
        <v>60</v>
      </c>
      <c r="AJ32" t="str">
        <v>Laptop</v>
      </c>
      <c r="AK32">
        <v>1055</v>
      </c>
      <c r="AL32">
        <v>45398</v>
      </c>
      <c r="AM32" t="str">
        <v>North</v>
      </c>
      <c r="AN32" t="str">
        <v>Aman</v>
      </c>
      <c r="AO32" t="str">
        <v>Customer_34</v>
      </c>
      <c r="AP32" t="str">
        <v>Electronics</v>
      </c>
      <c r="AQ32" t="str">
        <v>Printer</v>
      </c>
      <c r="AR32">
        <v>8</v>
      </c>
      <c r="AS32">
        <v>47404</v>
      </c>
      <c r="AT32">
        <v>10</v>
      </c>
      <c r="AU32">
        <v>341308.8</v>
      </c>
      <c r="AV32">
        <v>203218.78</v>
      </c>
      <c r="AW32">
        <v>138090.01999999999</v>
      </c>
      <c r="AX32" t="str">
        <v>Card</v>
      </c>
      <c r="AY32">
        <v>10</v>
      </c>
      <c r="AZ32">
        <v>3.5</v>
      </c>
      <c r="BA32">
        <v>30</v>
      </c>
      <c r="BB32" t="str">
        <v>Printer</v>
      </c>
      <c r="BC32" s="6">
        <f t="shared" si="4"/>
        <v>0</v>
      </c>
      <c r="BD32" t="str">
        <f t="shared" si="5"/>
        <v/>
      </c>
      <c r="BE32" s="8">
        <f t="shared" si="6"/>
        <v>0.23557834139962844</v>
      </c>
      <c r="BF32" t="str">
        <v>Customer_15</v>
      </c>
      <c r="BG32" t="str">
        <f t="shared" si="7"/>
        <v>North-Laptop</v>
      </c>
      <c r="BH32">
        <f t="shared" si="8"/>
        <v>2025</v>
      </c>
      <c r="BI32" t="str">
        <f t="shared" si="9"/>
        <v>January</v>
      </c>
      <c r="BJ32">
        <f t="shared" ca="1" si="0"/>
        <v>381</v>
      </c>
      <c r="BK32" s="8">
        <f t="shared" si="10"/>
        <v>0.23557834139962844</v>
      </c>
      <c r="BL32">
        <f t="shared" si="11"/>
        <v>30283</v>
      </c>
      <c r="BM32">
        <f t="shared" si="12"/>
        <v>16</v>
      </c>
      <c r="BN32">
        <v>1031</v>
      </c>
      <c r="BO32">
        <v>45409</v>
      </c>
      <c r="BP32" t="str">
        <v>East</v>
      </c>
      <c r="BQ32" t="str">
        <v>Aman</v>
      </c>
      <c r="BR32" t="str">
        <v>Customer_10</v>
      </c>
      <c r="BS32" t="str">
        <v>Electronics</v>
      </c>
      <c r="BT32" t="str">
        <v>Keyboard</v>
      </c>
      <c r="BU32">
        <v>20</v>
      </c>
      <c r="BV32">
        <v>3378</v>
      </c>
      <c r="BW32">
        <v>15</v>
      </c>
      <c r="BX32">
        <v>57426</v>
      </c>
      <c r="BY32">
        <v>36236.410000000003</v>
      </c>
      <c r="BZ32">
        <v>21189.59</v>
      </c>
      <c r="CA32" t="str">
        <v>Cash</v>
      </c>
      <c r="CB32">
        <v>6</v>
      </c>
      <c r="CC32">
        <v>4.8</v>
      </c>
      <c r="CD32" t="b">
        <f>COUNTIF(Sales_Data!E:E,Sales_Data!E32)&gt;1</f>
        <v>1</v>
      </c>
      <c r="CE32">
        <f>SUM(Sales_Data!$K$2:'Sales_Data'!K32)</f>
        <v>7612146.4499999983</v>
      </c>
      <c r="CF32">
        <f t="shared" si="13"/>
        <v>144231.84999999998</v>
      </c>
      <c r="CG32" t="str">
        <f>CHOOSE(MATCH(C32,{"North","West","South","East"},0),"Zone 1","Zone 2","Zone 3","Zone 4")</f>
        <v>Zone 1</v>
      </c>
      <c r="CH32" t="str" cm="1">
        <f t="array" ref="CH32">_xlfn.SWITCH(N32,"Card","Card Payment","UPI", "UPI Payment","Cash","Cash Payment","NetBanking", "NetBanking Payment", "Unknown")</f>
        <v>Card Payment</v>
      </c>
      <c r="CI32" t="str" cm="1">
        <f t="array" ref="CI32">_xlfn.IFS(Sales_Data!J32&lt;=5,"Low",Sales_Data!J32&lt;=10,"Medium",Sales_Data!J32&gt;10,"High")</f>
        <v>Low</v>
      </c>
    </row>
    <row r="33" spans="1:87" x14ac:dyDescent="0.3">
      <c r="A33">
        <v>1033</v>
      </c>
      <c r="B33" s="1">
        <v>45306</v>
      </c>
      <c r="C33" t="s">
        <v>50</v>
      </c>
      <c r="D33" t="s">
        <v>23</v>
      </c>
      <c r="E33" t="s">
        <v>66</v>
      </c>
      <c r="F33" t="s">
        <v>25</v>
      </c>
      <c r="G33" t="s">
        <v>20</v>
      </c>
      <c r="H33">
        <v>12</v>
      </c>
      <c r="I33">
        <v>11878</v>
      </c>
      <c r="J33">
        <v>20</v>
      </c>
      <c r="K33">
        <v>114028.8</v>
      </c>
      <c r="L33">
        <v>73531.59</v>
      </c>
      <c r="M33">
        <v>40497.21</v>
      </c>
      <c r="N33" t="s">
        <v>48</v>
      </c>
      <c r="O33">
        <v>9</v>
      </c>
      <c r="P33">
        <v>2.8</v>
      </c>
      <c r="Q33">
        <f t="shared" si="1"/>
        <v>120</v>
      </c>
      <c r="R33" t="str">
        <f t="shared" si="2"/>
        <v>Phone</v>
      </c>
      <c r="S33" t="e">
        <f t="shared" si="3"/>
        <v>#N/A</v>
      </c>
      <c r="T33">
        <v>45700</v>
      </c>
      <c r="U33" t="str">
        <v>West</v>
      </c>
      <c r="V33" t="str">
        <v>Karan</v>
      </c>
      <c r="W33" t="str">
        <v>Customer_22</v>
      </c>
      <c r="X33" t="str">
        <v>Office Supplies</v>
      </c>
      <c r="Y33" t="str">
        <v>Monitor</v>
      </c>
      <c r="Z33">
        <v>10</v>
      </c>
      <c r="AA33">
        <v>39492</v>
      </c>
      <c r="AB33">
        <v>5</v>
      </c>
      <c r="AC33">
        <v>375174</v>
      </c>
      <c r="AD33">
        <v>262269.77</v>
      </c>
      <c r="AE33">
        <v>112904.23</v>
      </c>
      <c r="AF33" t="str">
        <v>UPI</v>
      </c>
      <c r="AG33">
        <v>10</v>
      </c>
      <c r="AH33">
        <v>2.5</v>
      </c>
      <c r="AI33">
        <v>46</v>
      </c>
      <c r="AJ33" t="str">
        <v>Monitor</v>
      </c>
      <c r="AK33">
        <v>1047</v>
      </c>
      <c r="AL33">
        <v>45373</v>
      </c>
      <c r="AM33" t="str">
        <v>East</v>
      </c>
      <c r="AN33" t="str">
        <v>Megha</v>
      </c>
      <c r="AO33" t="str">
        <v>Customer_45</v>
      </c>
      <c r="AP33" t="str">
        <v>Office Supplies</v>
      </c>
      <c r="AQ33" t="str">
        <v>Mouse</v>
      </c>
      <c r="AR33">
        <v>18</v>
      </c>
      <c r="AS33">
        <v>29998</v>
      </c>
      <c r="AT33">
        <v>0</v>
      </c>
      <c r="AU33">
        <v>539964</v>
      </c>
      <c r="AV33">
        <v>403229.11</v>
      </c>
      <c r="AW33">
        <v>136734.89000000001</v>
      </c>
      <c r="AX33" t="str">
        <v>Cash</v>
      </c>
      <c r="AY33">
        <v>5</v>
      </c>
      <c r="AZ33">
        <v>3.9</v>
      </c>
      <c r="BA33">
        <v>31</v>
      </c>
      <c r="BB33" t="str">
        <v>Mouse</v>
      </c>
      <c r="BC33" s="6">
        <f t="shared" si="4"/>
        <v>0</v>
      </c>
      <c r="BD33" t="str">
        <f t="shared" si="5"/>
        <v/>
      </c>
      <c r="BE33" s="8">
        <f t="shared" si="6"/>
        <v>0.3551489623674019</v>
      </c>
      <c r="BF33" t="str">
        <v>Customer_16</v>
      </c>
      <c r="BG33" t="str">
        <f t="shared" si="7"/>
        <v>North-Phone</v>
      </c>
      <c r="BH33">
        <f t="shared" si="8"/>
        <v>2024</v>
      </c>
      <c r="BI33" t="str">
        <f t="shared" si="9"/>
        <v>January</v>
      </c>
      <c r="BJ33">
        <f t="shared" ca="1" si="0"/>
        <v>643</v>
      </c>
      <c r="BK33" s="8">
        <f t="shared" si="10"/>
        <v>0.3551489623674019</v>
      </c>
      <c r="BL33">
        <f t="shared" si="11"/>
        <v>33295</v>
      </c>
      <c r="BM33">
        <f t="shared" si="12"/>
        <v>33</v>
      </c>
      <c r="BN33">
        <v>1032</v>
      </c>
      <c r="BO33">
        <v>45672</v>
      </c>
      <c r="BP33" t="str">
        <v>North</v>
      </c>
      <c r="BQ33" t="str">
        <v>Priya</v>
      </c>
      <c r="BR33" t="str">
        <v>Customer_25</v>
      </c>
      <c r="BS33" t="str">
        <v>Office Supplies</v>
      </c>
      <c r="BT33" t="str">
        <v>Laptop</v>
      </c>
      <c r="BU33">
        <v>5</v>
      </c>
      <c r="BV33">
        <v>26404</v>
      </c>
      <c r="BW33">
        <v>5</v>
      </c>
      <c r="BX33">
        <v>125419</v>
      </c>
      <c r="BY33">
        <v>95873</v>
      </c>
      <c r="BZ33">
        <v>29546</v>
      </c>
      <c r="CA33" t="str">
        <v>Card</v>
      </c>
      <c r="CB33">
        <v>8</v>
      </c>
      <c r="CC33">
        <v>4.9000000000000004</v>
      </c>
      <c r="CD33" t="b">
        <f>COUNTIF(Sales_Data!E:E,Sales_Data!E33)&gt;1</f>
        <v>1</v>
      </c>
      <c r="CE33">
        <f>SUM(Sales_Data!$K$2:'Sales_Data'!K33)</f>
        <v>7726175.2499999981</v>
      </c>
      <c r="CF33">
        <f t="shared" si="13"/>
        <v>131133.12</v>
      </c>
      <c r="CG33" t="str">
        <f>CHOOSE(MATCH(C33,{"North","West","South","East"},0),"Zone 1","Zone 2","Zone 3","Zone 4")</f>
        <v>Zone 1</v>
      </c>
      <c r="CH33" t="str" cm="1">
        <f t="array" ref="CH33">_xlfn.SWITCH(N33,"Card","Card Payment","UPI", "UPI Payment","Cash","Cash Payment","NetBanking", "NetBanking Payment", "Unknown")</f>
        <v>NetBanking Payment</v>
      </c>
      <c r="CI33" t="str" cm="1">
        <f t="array" ref="CI33">_xlfn.IFS(Sales_Data!J33&lt;=5,"Low",Sales_Data!J33&lt;=10,"Medium",Sales_Data!J33&gt;10,"High")</f>
        <v>High</v>
      </c>
    </row>
    <row r="34" spans="1:87" x14ac:dyDescent="0.3">
      <c r="A34">
        <v>1034</v>
      </c>
      <c r="B34" s="1">
        <v>45491</v>
      </c>
      <c r="C34" t="s">
        <v>50</v>
      </c>
      <c r="D34" t="s">
        <v>28</v>
      </c>
      <c r="E34" t="s">
        <v>67</v>
      </c>
      <c r="F34" t="s">
        <v>19</v>
      </c>
      <c r="G34" t="s">
        <v>26</v>
      </c>
      <c r="H34">
        <v>1</v>
      </c>
      <c r="I34">
        <v>20561</v>
      </c>
      <c r="J34">
        <v>5</v>
      </c>
      <c r="K34">
        <v>19532.95</v>
      </c>
      <c r="L34">
        <v>13524.4</v>
      </c>
      <c r="M34">
        <v>6008.55</v>
      </c>
      <c r="N34" t="s">
        <v>37</v>
      </c>
      <c r="O34">
        <v>3</v>
      </c>
      <c r="P34">
        <v>3</v>
      </c>
      <c r="Q34">
        <f t="shared" si="1"/>
        <v>184</v>
      </c>
      <c r="R34" t="str">
        <f t="shared" si="2"/>
        <v>Keyboard</v>
      </c>
      <c r="S34" t="e">
        <f t="shared" si="3"/>
        <v>#N/A</v>
      </c>
      <c r="T34">
        <v>45607</v>
      </c>
      <c r="U34" t="str">
        <v>North</v>
      </c>
      <c r="V34" t="str">
        <v>Megha</v>
      </c>
      <c r="W34" t="str">
        <v>Customer_30</v>
      </c>
      <c r="X34" t="str">
        <v>Electronics</v>
      </c>
      <c r="Y34" t="str">
        <v>Keyboard</v>
      </c>
      <c r="Z34">
        <v>20</v>
      </c>
      <c r="AA34">
        <v>38353</v>
      </c>
      <c r="AB34">
        <v>10</v>
      </c>
      <c r="AC34">
        <v>690354</v>
      </c>
      <c r="AD34">
        <v>395833.99</v>
      </c>
      <c r="AE34">
        <v>294520.01</v>
      </c>
      <c r="AF34" t="str">
        <v>Cash</v>
      </c>
      <c r="AG34">
        <v>8</v>
      </c>
      <c r="AH34">
        <v>4.5</v>
      </c>
      <c r="AI34">
        <v>1</v>
      </c>
      <c r="AJ34" t="str">
        <v>Keyboard</v>
      </c>
      <c r="AK34">
        <v>1200</v>
      </c>
      <c r="AL34">
        <v>45577</v>
      </c>
      <c r="AM34" t="str">
        <v>South</v>
      </c>
      <c r="AN34" t="str">
        <v>Megha</v>
      </c>
      <c r="AO34" t="str">
        <v>Customer_27</v>
      </c>
      <c r="AP34" t="str">
        <v>Office Supplies</v>
      </c>
      <c r="AQ34" t="str">
        <v>Mouse</v>
      </c>
      <c r="AR34">
        <v>12</v>
      </c>
      <c r="AS34">
        <v>47005</v>
      </c>
      <c r="AT34">
        <v>20</v>
      </c>
      <c r="AU34">
        <v>451248</v>
      </c>
      <c r="AV34">
        <v>315069.61</v>
      </c>
      <c r="AW34">
        <v>136178.39000000001</v>
      </c>
      <c r="AX34" t="str">
        <v>Card</v>
      </c>
      <c r="AY34">
        <v>6</v>
      </c>
      <c r="AZ34">
        <v>3.9</v>
      </c>
      <c r="BA34">
        <v>32</v>
      </c>
      <c r="BB34" t="str">
        <v>Mouse</v>
      </c>
      <c r="BC34" s="6">
        <f t="shared" si="4"/>
        <v>2</v>
      </c>
      <c r="BD34" t="str">
        <f t="shared" si="5"/>
        <v/>
      </c>
      <c r="BE34" s="8">
        <f t="shared" si="6"/>
        <v>0.30761098553981864</v>
      </c>
      <c r="BF34" t="str">
        <v>Customer_16</v>
      </c>
      <c r="BG34" t="str">
        <f t="shared" si="7"/>
        <v>North-Keyboard</v>
      </c>
      <c r="BH34">
        <f t="shared" si="8"/>
        <v>2024</v>
      </c>
      <c r="BI34" t="str">
        <f t="shared" si="9"/>
        <v>July</v>
      </c>
      <c r="BJ34">
        <f t="shared" ca="1" si="0"/>
        <v>510</v>
      </c>
      <c r="BK34" s="8">
        <f t="shared" si="10"/>
        <v>0.30761098553981864</v>
      </c>
      <c r="BL34">
        <f t="shared" si="11"/>
        <v>23829</v>
      </c>
      <c r="BM34">
        <f t="shared" si="12"/>
        <v>34</v>
      </c>
      <c r="BN34">
        <v>1033</v>
      </c>
      <c r="BO34">
        <v>45306</v>
      </c>
      <c r="BP34" t="str">
        <v>North</v>
      </c>
      <c r="BQ34" t="str">
        <v>Karan</v>
      </c>
      <c r="BR34" t="str">
        <v>Customer_15</v>
      </c>
      <c r="BS34" t="str">
        <v>Office Supplies</v>
      </c>
      <c r="BT34" t="str">
        <v>Phone</v>
      </c>
      <c r="BU34">
        <v>12</v>
      </c>
      <c r="BV34">
        <v>11878</v>
      </c>
      <c r="BW34">
        <v>20</v>
      </c>
      <c r="BX34">
        <v>114028.8</v>
      </c>
      <c r="BY34">
        <v>73531.59</v>
      </c>
      <c r="BZ34">
        <v>40497.21</v>
      </c>
      <c r="CA34" t="str">
        <v>NetBanking</v>
      </c>
      <c r="CB34">
        <v>9</v>
      </c>
      <c r="CC34">
        <v>2.8</v>
      </c>
      <c r="CD34" t="b">
        <f>COUNTIF(Sales_Data!E:E,Sales_Data!E34)&gt;1</f>
        <v>0</v>
      </c>
      <c r="CE34">
        <f>SUM(Sales_Data!$K$2:'Sales_Data'!K34)</f>
        <v>7745708.1999999983</v>
      </c>
      <c r="CF34">
        <f t="shared" si="13"/>
        <v>22462.892499999998</v>
      </c>
      <c r="CG34" t="str">
        <f>CHOOSE(MATCH(C34,{"North","West","South","East"},0),"Zone 1","Zone 2","Zone 3","Zone 4")</f>
        <v>Zone 1</v>
      </c>
      <c r="CH34" t="str" cm="1">
        <f t="array" ref="CH34">_xlfn.SWITCH(N34,"Card","Card Payment","UPI", "UPI Payment","Cash","Cash Payment","NetBanking", "NetBanking Payment", "Unknown")</f>
        <v>Cash Payment</v>
      </c>
      <c r="CI34" t="str" cm="1">
        <f t="array" ref="CI34">_xlfn.IFS(Sales_Data!J34&lt;=5,"Low",Sales_Data!J34&lt;=10,"Medium",Sales_Data!J34&gt;10,"High")</f>
        <v>Low</v>
      </c>
    </row>
    <row r="35" spans="1:87" x14ac:dyDescent="0.3">
      <c r="A35">
        <v>1035</v>
      </c>
      <c r="B35" s="1">
        <v>45605</v>
      </c>
      <c r="C35" t="s">
        <v>50</v>
      </c>
      <c r="D35" t="s">
        <v>31</v>
      </c>
      <c r="E35" t="s">
        <v>40</v>
      </c>
      <c r="F35" t="s">
        <v>25</v>
      </c>
      <c r="G35" t="s">
        <v>44</v>
      </c>
      <c r="H35">
        <v>2</v>
      </c>
      <c r="I35">
        <v>28308</v>
      </c>
      <c r="J35">
        <v>0</v>
      </c>
      <c r="K35">
        <v>56616</v>
      </c>
      <c r="L35">
        <v>42326.02</v>
      </c>
      <c r="M35">
        <v>14289.98</v>
      </c>
      <c r="N35" t="s">
        <v>27</v>
      </c>
      <c r="O35">
        <v>5</v>
      </c>
      <c r="P35">
        <v>3.9</v>
      </c>
      <c r="Q35">
        <f t="shared" si="1"/>
        <v>160</v>
      </c>
      <c r="R35" t="str">
        <f t="shared" si="2"/>
        <v>Printer</v>
      </c>
      <c r="S35" t="e">
        <f t="shared" si="3"/>
        <v>#N/A</v>
      </c>
      <c r="T35">
        <v>45305</v>
      </c>
      <c r="U35" t="str">
        <v>North</v>
      </c>
      <c r="V35" t="str">
        <v>Neha</v>
      </c>
      <c r="W35" t="str">
        <v>Customer_49</v>
      </c>
      <c r="X35" t="str">
        <v>Office Supplies</v>
      </c>
      <c r="Y35" t="str">
        <v>Chair</v>
      </c>
      <c r="Z35">
        <v>11</v>
      </c>
      <c r="AA35">
        <v>44624</v>
      </c>
      <c r="AB35">
        <v>20</v>
      </c>
      <c r="AC35">
        <v>392691.20000000001</v>
      </c>
      <c r="AD35">
        <v>285914.5</v>
      </c>
      <c r="AE35">
        <v>106776.7</v>
      </c>
      <c r="AF35" t="str">
        <v>NetBanking</v>
      </c>
      <c r="AG35">
        <v>6</v>
      </c>
      <c r="AH35">
        <v>2.6</v>
      </c>
      <c r="AI35">
        <v>53</v>
      </c>
      <c r="AJ35" t="str">
        <v>Chair</v>
      </c>
      <c r="AK35">
        <v>1065</v>
      </c>
      <c r="AL35">
        <v>45311</v>
      </c>
      <c r="AM35" t="str">
        <v>North</v>
      </c>
      <c r="AN35" t="str">
        <v>Rohan</v>
      </c>
      <c r="AO35" t="str">
        <v>Customer_35</v>
      </c>
      <c r="AP35" t="str">
        <v>Office Supplies</v>
      </c>
      <c r="AQ35" t="str">
        <v>Laptop</v>
      </c>
      <c r="AR35">
        <v>10</v>
      </c>
      <c r="AS35">
        <v>38964</v>
      </c>
      <c r="AT35">
        <v>0</v>
      </c>
      <c r="AU35">
        <v>389640</v>
      </c>
      <c r="AV35">
        <v>256468.2</v>
      </c>
      <c r="AW35">
        <v>133171.79999999999</v>
      </c>
      <c r="AX35" t="str">
        <v>NetBanking</v>
      </c>
      <c r="AY35">
        <v>5</v>
      </c>
      <c r="AZ35">
        <v>4.7</v>
      </c>
      <c r="BA35">
        <v>33</v>
      </c>
      <c r="BB35" t="str">
        <v>Laptop</v>
      </c>
      <c r="BC35" s="6">
        <f t="shared" si="4"/>
        <v>4</v>
      </c>
      <c r="BD35" t="str">
        <f t="shared" si="5"/>
        <v/>
      </c>
      <c r="BE35" s="8">
        <f t="shared" si="6"/>
        <v>0.25240179454571143</v>
      </c>
      <c r="BF35" t="str">
        <v>Customer_17</v>
      </c>
      <c r="BG35" t="str">
        <f t="shared" si="7"/>
        <v>North-Printer</v>
      </c>
      <c r="BH35">
        <f t="shared" si="8"/>
        <v>2024</v>
      </c>
      <c r="BI35" t="str">
        <f t="shared" si="9"/>
        <v>November</v>
      </c>
      <c r="BJ35">
        <f t="shared" ca="1" si="0"/>
        <v>428</v>
      </c>
      <c r="BK35" s="8">
        <f t="shared" si="10"/>
        <v>0.25240179454571143</v>
      </c>
      <c r="BL35">
        <f t="shared" si="11"/>
        <v>1561</v>
      </c>
      <c r="BM35">
        <f t="shared" si="12"/>
        <v>8</v>
      </c>
      <c r="BN35">
        <v>1034</v>
      </c>
      <c r="BO35">
        <v>45491</v>
      </c>
      <c r="BP35" t="str">
        <v>North</v>
      </c>
      <c r="BQ35" t="str">
        <v>Arjun</v>
      </c>
      <c r="BR35" t="str">
        <v>Customer_14</v>
      </c>
      <c r="BS35" t="str">
        <v>Electronics</v>
      </c>
      <c r="BT35" t="str">
        <v>Keyboard</v>
      </c>
      <c r="BU35">
        <v>1</v>
      </c>
      <c r="BV35">
        <v>20561</v>
      </c>
      <c r="BW35">
        <v>5</v>
      </c>
      <c r="BX35">
        <v>19532.95</v>
      </c>
      <c r="BY35">
        <v>13524.4</v>
      </c>
      <c r="BZ35">
        <v>6008.55</v>
      </c>
      <c r="CA35" t="str">
        <v>Cash</v>
      </c>
      <c r="CB35">
        <v>3</v>
      </c>
      <c r="CC35">
        <v>3</v>
      </c>
      <c r="CD35" t="b">
        <f>COUNTIF(Sales_Data!E:E,Sales_Data!E35)&gt;1</f>
        <v>1</v>
      </c>
      <c r="CE35">
        <f>SUM(Sales_Data!$K$2:'Sales_Data'!K35)</f>
        <v>7802324.1999999983</v>
      </c>
      <c r="CF35">
        <f t="shared" si="13"/>
        <v>65108.399999999994</v>
      </c>
      <c r="CG35" t="str">
        <f>CHOOSE(MATCH(C35,{"North","West","South","East"},0),"Zone 1","Zone 2","Zone 3","Zone 4")</f>
        <v>Zone 1</v>
      </c>
      <c r="CH35" t="str" cm="1">
        <f t="array" ref="CH35">_xlfn.SWITCH(N35,"Card","Card Payment","UPI", "UPI Payment","Cash","Cash Payment","NetBanking", "NetBanking Payment", "Unknown")</f>
        <v>UPI Payment</v>
      </c>
      <c r="CI35" t="str" cm="1">
        <f t="array" ref="CI35">_xlfn.IFS(Sales_Data!J35&lt;=5,"Low",Sales_Data!J35&lt;=10,"Medium",Sales_Data!J35&gt;10,"High")</f>
        <v>Low</v>
      </c>
    </row>
    <row r="36" spans="1:87" x14ac:dyDescent="0.3">
      <c r="A36">
        <v>1036</v>
      </c>
      <c r="B36" s="1">
        <v>45396</v>
      </c>
      <c r="C36" t="s">
        <v>50</v>
      </c>
      <c r="D36" t="s">
        <v>31</v>
      </c>
      <c r="E36" t="s">
        <v>62</v>
      </c>
      <c r="F36" t="s">
        <v>19</v>
      </c>
      <c r="G36" t="s">
        <v>47</v>
      </c>
      <c r="H36">
        <v>15</v>
      </c>
      <c r="I36">
        <v>25927</v>
      </c>
      <c r="J36">
        <v>5</v>
      </c>
      <c r="K36">
        <v>369459.75</v>
      </c>
      <c r="L36">
        <v>278874.74</v>
      </c>
      <c r="M36">
        <v>90585.01</v>
      </c>
      <c r="N36" t="s">
        <v>37</v>
      </c>
      <c r="O36">
        <v>3</v>
      </c>
      <c r="P36">
        <v>2.7</v>
      </c>
      <c r="Q36">
        <f t="shared" si="1"/>
        <v>68</v>
      </c>
      <c r="R36" t="str">
        <f t="shared" si="2"/>
        <v>Monitor</v>
      </c>
      <c r="S36" t="e">
        <f t="shared" si="3"/>
        <v>#N/A</v>
      </c>
      <c r="T36">
        <v>45699</v>
      </c>
      <c r="U36" t="str">
        <v>North</v>
      </c>
      <c r="V36" t="str">
        <v>Megha</v>
      </c>
      <c r="W36" t="str">
        <v>Customer_40</v>
      </c>
      <c r="X36" t="str">
        <v>Office Supplies</v>
      </c>
      <c r="Y36" t="str">
        <v>Laptop</v>
      </c>
      <c r="Z36">
        <v>10</v>
      </c>
      <c r="AA36">
        <v>33386</v>
      </c>
      <c r="AB36">
        <v>20</v>
      </c>
      <c r="AC36">
        <v>267088</v>
      </c>
      <c r="AD36">
        <v>202959.66</v>
      </c>
      <c r="AE36">
        <v>64128.34</v>
      </c>
      <c r="AF36" t="str">
        <v>UPI</v>
      </c>
      <c r="AG36">
        <v>2</v>
      </c>
      <c r="AH36">
        <v>2.8</v>
      </c>
      <c r="AI36">
        <v>90</v>
      </c>
      <c r="AJ36" t="str">
        <v>Laptop</v>
      </c>
      <c r="AK36">
        <v>1054</v>
      </c>
      <c r="AL36">
        <v>45506</v>
      </c>
      <c r="AM36" t="str">
        <v>West</v>
      </c>
      <c r="AN36" t="str">
        <v>Aman</v>
      </c>
      <c r="AO36" t="str">
        <v>Customer_45</v>
      </c>
      <c r="AP36" t="str">
        <v>Office Supplies</v>
      </c>
      <c r="AQ36" t="str">
        <v>Printer</v>
      </c>
      <c r="AR36">
        <v>12</v>
      </c>
      <c r="AS36">
        <v>36759</v>
      </c>
      <c r="AT36">
        <v>0</v>
      </c>
      <c r="AU36">
        <v>441108</v>
      </c>
      <c r="AV36">
        <v>309458.3</v>
      </c>
      <c r="AW36">
        <v>131649.70000000001</v>
      </c>
      <c r="AX36" t="str">
        <v>NetBanking</v>
      </c>
      <c r="AY36">
        <v>2</v>
      </c>
      <c r="AZ36">
        <v>4.9000000000000004</v>
      </c>
      <c r="BA36">
        <v>34</v>
      </c>
      <c r="BB36" t="str">
        <v>Printer</v>
      </c>
      <c r="BC36" s="6">
        <f t="shared" si="4"/>
        <v>1</v>
      </c>
      <c r="BD36" t="str">
        <f t="shared" si="5"/>
        <v/>
      </c>
      <c r="BE36" s="8">
        <f t="shared" si="6"/>
        <v>0.245182350716147</v>
      </c>
      <c r="BF36" t="str">
        <v>Customer_18</v>
      </c>
      <c r="BG36" t="str">
        <f t="shared" si="7"/>
        <v>North-Monitor</v>
      </c>
      <c r="BH36">
        <f t="shared" si="8"/>
        <v>2024</v>
      </c>
      <c r="BI36" t="str">
        <f t="shared" si="9"/>
        <v>April</v>
      </c>
      <c r="BJ36">
        <f t="shared" ca="1" si="0"/>
        <v>578</v>
      </c>
      <c r="BK36" s="8">
        <f t="shared" si="10"/>
        <v>0.245182350716147</v>
      </c>
      <c r="BL36">
        <f t="shared" si="11"/>
        <v>26687</v>
      </c>
      <c r="BM36">
        <f t="shared" si="12"/>
        <v>25</v>
      </c>
      <c r="BN36">
        <v>1035</v>
      </c>
      <c r="BO36">
        <v>45605</v>
      </c>
      <c r="BP36" t="str">
        <v>North</v>
      </c>
      <c r="BQ36" t="str">
        <v>Neha</v>
      </c>
      <c r="BR36" t="str">
        <v>Customer_30</v>
      </c>
      <c r="BS36" t="str">
        <v>Office Supplies</v>
      </c>
      <c r="BT36" t="str">
        <v>Printer</v>
      </c>
      <c r="BU36">
        <v>2</v>
      </c>
      <c r="BV36">
        <v>28308</v>
      </c>
      <c r="BW36">
        <v>0</v>
      </c>
      <c r="BX36">
        <v>56616</v>
      </c>
      <c r="BY36">
        <v>42326.02</v>
      </c>
      <c r="BZ36">
        <v>14289.98</v>
      </c>
      <c r="CA36" t="str">
        <v>UPI</v>
      </c>
      <c r="CB36">
        <v>5</v>
      </c>
      <c r="CC36">
        <v>3.9</v>
      </c>
      <c r="CD36" t="b">
        <f>COUNTIF(Sales_Data!E:E,Sales_Data!E36)&gt;1</f>
        <v>1</v>
      </c>
      <c r="CE36">
        <f>SUM(Sales_Data!$K$2:'Sales_Data'!K36)</f>
        <v>8171783.9499999983</v>
      </c>
      <c r="CF36">
        <f t="shared" si="13"/>
        <v>424878.71249999997</v>
      </c>
      <c r="CG36" t="str">
        <f>CHOOSE(MATCH(C36,{"North","West","South","East"},0),"Zone 1","Zone 2","Zone 3","Zone 4")</f>
        <v>Zone 1</v>
      </c>
      <c r="CH36" t="str" cm="1">
        <f t="array" ref="CH36">_xlfn.SWITCH(N36,"Card","Card Payment","UPI", "UPI Payment","Cash","Cash Payment","NetBanking", "NetBanking Payment", "Unknown")</f>
        <v>Cash Payment</v>
      </c>
      <c r="CI36" t="str" cm="1">
        <f t="array" ref="CI36">_xlfn.IFS(Sales_Data!J36&lt;=5,"Low",Sales_Data!J36&lt;=10,"Medium",Sales_Data!J36&gt;10,"High")</f>
        <v>Low</v>
      </c>
    </row>
    <row r="37" spans="1:87" x14ac:dyDescent="0.3">
      <c r="A37">
        <v>1037</v>
      </c>
      <c r="B37" s="1">
        <v>45768</v>
      </c>
      <c r="C37" t="s">
        <v>16</v>
      </c>
      <c r="D37" t="s">
        <v>23</v>
      </c>
      <c r="E37" t="s">
        <v>68</v>
      </c>
      <c r="F37" t="s">
        <v>35</v>
      </c>
      <c r="G37" t="s">
        <v>47</v>
      </c>
      <c r="H37">
        <v>1</v>
      </c>
      <c r="I37">
        <v>9855</v>
      </c>
      <c r="J37">
        <v>15</v>
      </c>
      <c r="K37">
        <v>8376.75</v>
      </c>
      <c r="L37">
        <v>5029.26</v>
      </c>
      <c r="M37">
        <v>3347.49</v>
      </c>
      <c r="N37" t="s">
        <v>48</v>
      </c>
      <c r="O37">
        <v>8</v>
      </c>
      <c r="P37">
        <v>4.5999999999999996</v>
      </c>
      <c r="Q37">
        <f t="shared" si="1"/>
        <v>194</v>
      </c>
      <c r="R37" t="str">
        <f t="shared" si="2"/>
        <v>Monitor</v>
      </c>
      <c r="S37" t="e">
        <f t="shared" si="3"/>
        <v>#N/A</v>
      </c>
      <c r="T37">
        <v>45564</v>
      </c>
      <c r="U37" t="str">
        <v>South</v>
      </c>
      <c r="V37" t="str">
        <v>Neha</v>
      </c>
      <c r="W37" t="str">
        <v>Customer_38</v>
      </c>
      <c r="X37" t="str">
        <v>Office Supplies</v>
      </c>
      <c r="Y37" t="str">
        <v>Monitor</v>
      </c>
      <c r="Z37">
        <v>15</v>
      </c>
      <c r="AA37">
        <v>35699</v>
      </c>
      <c r="AB37">
        <v>0</v>
      </c>
      <c r="AC37">
        <v>535485</v>
      </c>
      <c r="AD37">
        <v>427200.9</v>
      </c>
      <c r="AE37">
        <v>108284.1</v>
      </c>
      <c r="AF37" t="str">
        <v>UPI</v>
      </c>
      <c r="AG37">
        <v>1</v>
      </c>
      <c r="AH37">
        <v>3.7</v>
      </c>
      <c r="AI37">
        <v>51</v>
      </c>
      <c r="AJ37" t="str">
        <v>Monitor</v>
      </c>
      <c r="AK37">
        <v>1117</v>
      </c>
      <c r="AL37">
        <v>45453</v>
      </c>
      <c r="AM37" t="str">
        <v>East</v>
      </c>
      <c r="AN37" t="str">
        <v>Priya</v>
      </c>
      <c r="AO37" t="str">
        <v>Customer_37</v>
      </c>
      <c r="AP37" t="str">
        <v>Electronics</v>
      </c>
      <c r="AQ37" t="str">
        <v>Monitor</v>
      </c>
      <c r="AR37">
        <v>12</v>
      </c>
      <c r="AS37">
        <v>27694</v>
      </c>
      <c r="AT37">
        <v>10</v>
      </c>
      <c r="AU37">
        <v>299095.2</v>
      </c>
      <c r="AV37">
        <v>167642.43</v>
      </c>
      <c r="AW37">
        <v>131452.76999999999</v>
      </c>
      <c r="AX37" t="str">
        <v>Cash</v>
      </c>
      <c r="AY37">
        <v>5</v>
      </c>
      <c r="AZ37">
        <v>4.7</v>
      </c>
      <c r="BA37">
        <v>35</v>
      </c>
      <c r="BB37" t="str">
        <v>Monitor</v>
      </c>
      <c r="BC37" s="6">
        <f t="shared" si="4"/>
        <v>1</v>
      </c>
      <c r="BD37" t="str">
        <f t="shared" si="5"/>
        <v/>
      </c>
      <c r="BE37" s="8">
        <f t="shared" si="6"/>
        <v>0.39961679649028559</v>
      </c>
      <c r="BF37" t="str">
        <v>Customer_18</v>
      </c>
      <c r="BG37" t="str">
        <f t="shared" si="7"/>
        <v>West-Monitor</v>
      </c>
      <c r="BH37">
        <f t="shared" si="8"/>
        <v>2025</v>
      </c>
      <c r="BI37" t="str">
        <f t="shared" si="9"/>
        <v>April</v>
      </c>
      <c r="BJ37">
        <f t="shared" ca="1" si="0"/>
        <v>313</v>
      </c>
      <c r="BK37" s="8">
        <f t="shared" si="10"/>
        <v>0.39961679649028559</v>
      </c>
      <c r="BL37">
        <f t="shared" si="11"/>
        <v>26687</v>
      </c>
      <c r="BM37">
        <f t="shared" si="12"/>
        <v>37</v>
      </c>
      <c r="BN37">
        <v>1036</v>
      </c>
      <c r="BO37">
        <v>45396</v>
      </c>
      <c r="BP37" t="str">
        <v>North</v>
      </c>
      <c r="BQ37" t="str">
        <v>Neha</v>
      </c>
      <c r="BR37" t="str">
        <v>Customer_43</v>
      </c>
      <c r="BS37" t="str">
        <v>Electronics</v>
      </c>
      <c r="BT37" t="str">
        <v>Monitor</v>
      </c>
      <c r="BU37">
        <v>15</v>
      </c>
      <c r="BV37">
        <v>25927</v>
      </c>
      <c r="BW37">
        <v>5</v>
      </c>
      <c r="BX37">
        <v>369459.75</v>
      </c>
      <c r="BY37">
        <v>278874.74</v>
      </c>
      <c r="BZ37">
        <v>90585.01</v>
      </c>
      <c r="CA37" t="str">
        <v>Cash</v>
      </c>
      <c r="CB37">
        <v>3</v>
      </c>
      <c r="CC37">
        <v>2.7</v>
      </c>
      <c r="CD37" t="b">
        <f>COUNTIF(Sales_Data!E:E,Sales_Data!E37)&gt;1</f>
        <v>1</v>
      </c>
      <c r="CE37">
        <f>SUM(Sales_Data!$K$2:'Sales_Data'!K37)</f>
        <v>8180160.6999999983</v>
      </c>
      <c r="CF37">
        <f t="shared" si="13"/>
        <v>9633.2624999999989</v>
      </c>
      <c r="CG37" t="str">
        <f>CHOOSE(MATCH(C37,{"North","West","South","East"},0),"Zone 1","Zone 2","Zone 3","Zone 4")</f>
        <v>Zone 2</v>
      </c>
      <c r="CH37" t="str" cm="1">
        <f t="array" ref="CH37">_xlfn.SWITCH(N37,"Card","Card Payment","UPI", "UPI Payment","Cash","Cash Payment","NetBanking", "NetBanking Payment", "Unknown")</f>
        <v>NetBanking Payment</v>
      </c>
      <c r="CI37" t="str" cm="1">
        <f t="array" ref="CI37">_xlfn.IFS(Sales_Data!J37&lt;=5,"Low",Sales_Data!J37&lt;=10,"Medium",Sales_Data!J37&gt;10,"High")</f>
        <v>High</v>
      </c>
    </row>
    <row r="38" spans="1:87" x14ac:dyDescent="0.3">
      <c r="A38">
        <v>1038</v>
      </c>
      <c r="B38" s="1">
        <v>45488</v>
      </c>
      <c r="C38" t="s">
        <v>50</v>
      </c>
      <c r="D38" t="s">
        <v>39</v>
      </c>
      <c r="E38" t="s">
        <v>69</v>
      </c>
      <c r="F38" t="s">
        <v>35</v>
      </c>
      <c r="G38" t="s">
        <v>44</v>
      </c>
      <c r="H38">
        <v>4</v>
      </c>
      <c r="I38">
        <v>22568</v>
      </c>
      <c r="J38">
        <v>15</v>
      </c>
      <c r="K38">
        <v>76731.199999999997</v>
      </c>
      <c r="L38">
        <v>48562.62</v>
      </c>
      <c r="M38">
        <v>28168.58</v>
      </c>
      <c r="N38" t="s">
        <v>21</v>
      </c>
      <c r="O38">
        <v>4</v>
      </c>
      <c r="P38">
        <v>3</v>
      </c>
      <c r="Q38">
        <f t="shared" si="1"/>
        <v>134</v>
      </c>
      <c r="R38" t="str">
        <f t="shared" si="2"/>
        <v>Printer</v>
      </c>
      <c r="S38" t="e">
        <f t="shared" si="3"/>
        <v>#N/A</v>
      </c>
      <c r="T38">
        <v>45547</v>
      </c>
      <c r="U38" t="str">
        <v>North</v>
      </c>
      <c r="V38" t="str">
        <v>Arjun</v>
      </c>
      <c r="W38" t="str">
        <v>Customer_21</v>
      </c>
      <c r="X38" t="str">
        <v>Furniture</v>
      </c>
      <c r="Y38" t="str">
        <v>Keyboard</v>
      </c>
      <c r="Z38">
        <v>17</v>
      </c>
      <c r="AA38">
        <v>47832</v>
      </c>
      <c r="AB38">
        <v>15</v>
      </c>
      <c r="AC38">
        <v>691172.4</v>
      </c>
      <c r="AD38">
        <v>411242.55</v>
      </c>
      <c r="AE38">
        <v>279929.84999999998</v>
      </c>
      <c r="AF38" t="str">
        <v>Card</v>
      </c>
      <c r="AG38">
        <v>2</v>
      </c>
      <c r="AH38">
        <v>3.2</v>
      </c>
      <c r="AI38">
        <v>3</v>
      </c>
      <c r="AJ38" t="str">
        <v>Keyboard</v>
      </c>
      <c r="AK38">
        <v>1198</v>
      </c>
      <c r="AL38">
        <v>45299</v>
      </c>
      <c r="AM38" t="str">
        <v>East</v>
      </c>
      <c r="AN38" t="str">
        <v>Priya</v>
      </c>
      <c r="AO38" t="str">
        <v>Customer_49</v>
      </c>
      <c r="AP38" t="str">
        <v>Electronics</v>
      </c>
      <c r="AQ38" t="str">
        <v>Desk</v>
      </c>
      <c r="AR38">
        <v>16</v>
      </c>
      <c r="AS38">
        <v>37376</v>
      </c>
      <c r="AT38">
        <v>5</v>
      </c>
      <c r="AU38">
        <v>568115.19999999995</v>
      </c>
      <c r="AV38">
        <v>441526.9</v>
      </c>
      <c r="AW38">
        <v>126588.3</v>
      </c>
      <c r="AX38" t="str">
        <v>Card</v>
      </c>
      <c r="AY38">
        <v>3</v>
      </c>
      <c r="AZ38">
        <v>3.1</v>
      </c>
      <c r="BA38">
        <v>36</v>
      </c>
      <c r="BB38" t="str">
        <v>Desk</v>
      </c>
      <c r="BC38" s="6">
        <f t="shared" si="4"/>
        <v>2</v>
      </c>
      <c r="BD38" t="str">
        <f t="shared" si="5"/>
        <v/>
      </c>
      <c r="BE38" s="8">
        <f t="shared" si="6"/>
        <v>0.36710725233021252</v>
      </c>
      <c r="BF38" t="str">
        <v>Customer_18</v>
      </c>
      <c r="BG38" t="str">
        <f t="shared" si="7"/>
        <v>North-Printer</v>
      </c>
      <c r="BH38">
        <f t="shared" si="8"/>
        <v>2024</v>
      </c>
      <c r="BI38" t="str">
        <f t="shared" si="9"/>
        <v>July</v>
      </c>
      <c r="BJ38">
        <f t="shared" ca="1" si="0"/>
        <v>513</v>
      </c>
      <c r="BK38" s="8">
        <f t="shared" si="10"/>
        <v>0.36710725233021252</v>
      </c>
      <c r="BL38">
        <f t="shared" si="11"/>
        <v>1561</v>
      </c>
      <c r="BM38">
        <f t="shared" si="12"/>
        <v>38</v>
      </c>
      <c r="BN38">
        <v>1037</v>
      </c>
      <c r="BO38">
        <v>45768</v>
      </c>
      <c r="BP38" t="str">
        <v>West</v>
      </c>
      <c r="BQ38" t="str">
        <v>Karan</v>
      </c>
      <c r="BR38" t="str">
        <v>Customer_5</v>
      </c>
      <c r="BS38" t="str">
        <v>Furniture</v>
      </c>
      <c r="BT38" t="str">
        <v>Monitor</v>
      </c>
      <c r="BU38">
        <v>1</v>
      </c>
      <c r="BV38">
        <v>9855</v>
      </c>
      <c r="BW38">
        <v>15</v>
      </c>
      <c r="BX38">
        <v>8376.75</v>
      </c>
      <c r="BY38">
        <v>5029.26</v>
      </c>
      <c r="BZ38">
        <v>3347.49</v>
      </c>
      <c r="CA38" t="str">
        <v>NetBanking</v>
      </c>
      <c r="CB38">
        <v>8</v>
      </c>
      <c r="CC38">
        <v>4.5999999999999996</v>
      </c>
      <c r="CD38" t="b">
        <f>COUNTIF(Sales_Data!E:E,Sales_Data!E38)&gt;1</f>
        <v>1</v>
      </c>
      <c r="CE38">
        <f>SUM(Sales_Data!$K$2:'Sales_Data'!K38)</f>
        <v>8256891.8999999985</v>
      </c>
      <c r="CF38">
        <f t="shared" si="13"/>
        <v>88240.87999999999</v>
      </c>
      <c r="CG38" t="str">
        <f>CHOOSE(MATCH(C38,{"North","West","South","East"},0),"Zone 1","Zone 2","Zone 3","Zone 4")</f>
        <v>Zone 1</v>
      </c>
      <c r="CH38" t="str" cm="1">
        <f t="array" ref="CH38">_xlfn.SWITCH(N38,"Card","Card Payment","UPI", "UPI Payment","Cash","Cash Payment","NetBanking", "NetBanking Payment", "Unknown")</f>
        <v>Card Payment</v>
      </c>
      <c r="CI38" t="str" cm="1">
        <f t="array" ref="CI38">_xlfn.IFS(Sales_Data!J38&lt;=5,"Low",Sales_Data!J38&lt;=10,"Medium",Sales_Data!J38&gt;10,"High")</f>
        <v>High</v>
      </c>
    </row>
    <row r="39" spans="1:87" x14ac:dyDescent="0.3">
      <c r="A39">
        <v>1039</v>
      </c>
      <c r="B39" s="1">
        <v>45415</v>
      </c>
      <c r="C39" t="s">
        <v>50</v>
      </c>
      <c r="D39" t="s">
        <v>39</v>
      </c>
      <c r="E39" t="s">
        <v>62</v>
      </c>
      <c r="F39" t="s">
        <v>35</v>
      </c>
      <c r="G39" t="s">
        <v>26</v>
      </c>
      <c r="H39">
        <v>8</v>
      </c>
      <c r="I39">
        <v>35132</v>
      </c>
      <c r="J39">
        <v>5</v>
      </c>
      <c r="K39">
        <v>267003.2</v>
      </c>
      <c r="L39">
        <v>147399.38</v>
      </c>
      <c r="M39">
        <v>119603.82</v>
      </c>
      <c r="N39" t="s">
        <v>37</v>
      </c>
      <c r="O39">
        <v>8</v>
      </c>
      <c r="P39">
        <v>4.2</v>
      </c>
      <c r="Q39">
        <f t="shared" si="1"/>
        <v>42</v>
      </c>
      <c r="R39" t="str">
        <f t="shared" si="2"/>
        <v>Keyboard</v>
      </c>
      <c r="S39" t="e">
        <f t="shared" si="3"/>
        <v>#N/A</v>
      </c>
      <c r="T39">
        <v>45526</v>
      </c>
      <c r="U39" t="str">
        <v>North</v>
      </c>
      <c r="V39" t="str">
        <v>Arjun</v>
      </c>
      <c r="W39" t="str">
        <v>Customer_7</v>
      </c>
      <c r="X39" t="str">
        <v>Furniture</v>
      </c>
      <c r="Y39" t="str">
        <v>Printer</v>
      </c>
      <c r="Z39">
        <v>20</v>
      </c>
      <c r="AA39">
        <v>49976</v>
      </c>
      <c r="AB39">
        <v>0</v>
      </c>
      <c r="AC39">
        <v>999520</v>
      </c>
      <c r="AD39">
        <v>718924.05</v>
      </c>
      <c r="AE39">
        <v>280595.95</v>
      </c>
      <c r="AF39" t="str">
        <v>UPI</v>
      </c>
      <c r="AG39">
        <v>1</v>
      </c>
      <c r="AH39">
        <v>3.1</v>
      </c>
      <c r="AI39">
        <v>2</v>
      </c>
      <c r="AJ39" t="str">
        <v>Printer</v>
      </c>
      <c r="AK39">
        <v>1185</v>
      </c>
      <c r="AL39">
        <v>45302</v>
      </c>
      <c r="AM39" t="str">
        <v>West</v>
      </c>
      <c r="AN39" t="str">
        <v>Karan</v>
      </c>
      <c r="AO39" t="str">
        <v>Customer_32</v>
      </c>
      <c r="AP39" t="str">
        <v>Furniture</v>
      </c>
      <c r="AQ39" t="str">
        <v>Mouse</v>
      </c>
      <c r="AR39">
        <v>20</v>
      </c>
      <c r="AS39">
        <v>35470</v>
      </c>
      <c r="AT39">
        <v>5</v>
      </c>
      <c r="AU39">
        <v>673930</v>
      </c>
      <c r="AV39">
        <v>548102.93999999994</v>
      </c>
      <c r="AW39">
        <v>125827.06</v>
      </c>
      <c r="AX39" t="str">
        <v>Card</v>
      </c>
      <c r="AY39">
        <v>6</v>
      </c>
      <c r="AZ39">
        <v>4.0999999999999996</v>
      </c>
      <c r="BA39">
        <v>37</v>
      </c>
      <c r="BB39" t="str">
        <v>Mouse</v>
      </c>
      <c r="BC39" s="6">
        <f t="shared" si="4"/>
        <v>2</v>
      </c>
      <c r="BD39" t="str">
        <f t="shared" si="5"/>
        <v>Bonus!</v>
      </c>
      <c r="BE39" s="8">
        <f t="shared" si="6"/>
        <v>0.44794901334515841</v>
      </c>
      <c r="BF39" t="str">
        <v>Customer_18</v>
      </c>
      <c r="BG39" t="str">
        <f t="shared" si="7"/>
        <v>North-Keyboard</v>
      </c>
      <c r="BH39">
        <f t="shared" si="8"/>
        <v>2024</v>
      </c>
      <c r="BI39" t="str">
        <f t="shared" si="9"/>
        <v>May</v>
      </c>
      <c r="BJ39">
        <f t="shared" ca="1" si="0"/>
        <v>564</v>
      </c>
      <c r="BK39" s="8">
        <f t="shared" si="10"/>
        <v>0.44794901334515841</v>
      </c>
      <c r="BL39">
        <f t="shared" si="11"/>
        <v>23829</v>
      </c>
      <c r="BM39">
        <f t="shared" si="12"/>
        <v>25</v>
      </c>
      <c r="BN39">
        <v>1038</v>
      </c>
      <c r="BO39">
        <v>45488</v>
      </c>
      <c r="BP39" t="str">
        <v>North</v>
      </c>
      <c r="BQ39" t="str">
        <v>Sneha</v>
      </c>
      <c r="BR39" t="str">
        <v>Customer_38</v>
      </c>
      <c r="BS39" t="str">
        <v>Furniture</v>
      </c>
      <c r="BT39" t="str">
        <v>Printer</v>
      </c>
      <c r="BU39">
        <v>4</v>
      </c>
      <c r="BV39">
        <v>22568</v>
      </c>
      <c r="BW39">
        <v>15</v>
      </c>
      <c r="BX39">
        <v>76731.199999999997</v>
      </c>
      <c r="BY39">
        <v>48562.62</v>
      </c>
      <c r="BZ39">
        <v>28168.58</v>
      </c>
      <c r="CA39" t="str">
        <v>Card</v>
      </c>
      <c r="CB39">
        <v>4</v>
      </c>
      <c r="CC39">
        <v>3</v>
      </c>
      <c r="CD39" t="b">
        <f>COUNTIF(Sales_Data!E:E,Sales_Data!E39)&gt;1</f>
        <v>1</v>
      </c>
      <c r="CE39">
        <f>SUM(Sales_Data!$K$2:'Sales_Data'!K39)</f>
        <v>8523895.0999999978</v>
      </c>
      <c r="CF39">
        <f t="shared" si="13"/>
        <v>307053.68</v>
      </c>
      <c r="CG39" t="str">
        <f>CHOOSE(MATCH(C39,{"North","West","South","East"},0),"Zone 1","Zone 2","Zone 3","Zone 4")</f>
        <v>Zone 1</v>
      </c>
      <c r="CH39" t="str" cm="1">
        <f t="array" ref="CH39">_xlfn.SWITCH(N39,"Card","Card Payment","UPI", "UPI Payment","Cash","Cash Payment","NetBanking", "NetBanking Payment", "Unknown")</f>
        <v>Cash Payment</v>
      </c>
      <c r="CI39" t="str" cm="1">
        <f t="array" ref="CI39">_xlfn.IFS(Sales_Data!J39&lt;=5,"Low",Sales_Data!J39&lt;=10,"Medium",Sales_Data!J39&gt;10,"High")</f>
        <v>Low</v>
      </c>
    </row>
    <row r="40" spans="1:87" x14ac:dyDescent="0.3">
      <c r="A40">
        <v>1040</v>
      </c>
      <c r="B40" s="1">
        <v>45787</v>
      </c>
      <c r="C40" t="s">
        <v>33</v>
      </c>
      <c r="D40" t="s">
        <v>28</v>
      </c>
      <c r="E40" t="s">
        <v>38</v>
      </c>
      <c r="F40" t="s">
        <v>25</v>
      </c>
      <c r="G40" t="s">
        <v>44</v>
      </c>
      <c r="H40">
        <v>16</v>
      </c>
      <c r="I40">
        <v>9791</v>
      </c>
      <c r="J40">
        <v>5</v>
      </c>
      <c r="K40">
        <v>148823.20000000001</v>
      </c>
      <c r="L40">
        <v>84389.31</v>
      </c>
      <c r="M40">
        <v>64433.89</v>
      </c>
      <c r="N40" t="s">
        <v>48</v>
      </c>
      <c r="O40">
        <v>9</v>
      </c>
      <c r="P40">
        <v>4.0999999999999996</v>
      </c>
      <c r="Q40">
        <f t="shared" si="1"/>
        <v>87</v>
      </c>
      <c r="R40" t="str">
        <f t="shared" si="2"/>
        <v>Printer</v>
      </c>
      <c r="S40" t="e">
        <f t="shared" si="3"/>
        <v>#N/A</v>
      </c>
      <c r="T40">
        <v>45626</v>
      </c>
      <c r="U40" t="str">
        <v>West</v>
      </c>
      <c r="V40" t="str">
        <v>Karan</v>
      </c>
      <c r="W40" t="str">
        <v>Customer_28</v>
      </c>
      <c r="X40" t="str">
        <v>Office Supplies</v>
      </c>
      <c r="Y40" t="str">
        <v>Mouse</v>
      </c>
      <c r="Z40">
        <v>14</v>
      </c>
      <c r="AA40">
        <v>35691</v>
      </c>
      <c r="AB40">
        <v>5</v>
      </c>
      <c r="AC40">
        <v>474690.3</v>
      </c>
      <c r="AD40">
        <v>370420.11</v>
      </c>
      <c r="AE40">
        <v>104270.19</v>
      </c>
      <c r="AF40" t="str">
        <v>NetBanking</v>
      </c>
      <c r="AG40">
        <v>8</v>
      </c>
      <c r="AH40">
        <v>2.6</v>
      </c>
      <c r="AI40">
        <v>55</v>
      </c>
      <c r="AJ40" t="str">
        <v>Mouse</v>
      </c>
      <c r="AK40">
        <v>1201</v>
      </c>
      <c r="AL40">
        <v>45293</v>
      </c>
      <c r="AM40" t="str">
        <v>North</v>
      </c>
      <c r="AN40" t="str">
        <v>Arjun</v>
      </c>
      <c r="AO40" t="str">
        <v>Customer_40</v>
      </c>
      <c r="AP40" t="str">
        <v>Furniture</v>
      </c>
      <c r="AQ40" t="str">
        <v>Laptop</v>
      </c>
      <c r="AR40">
        <v>8</v>
      </c>
      <c r="AS40">
        <v>44578</v>
      </c>
      <c r="AT40">
        <v>5</v>
      </c>
      <c r="AU40">
        <v>338792.8</v>
      </c>
      <c r="AV40">
        <v>213119.97</v>
      </c>
      <c r="AW40">
        <v>125672.83</v>
      </c>
      <c r="AX40" t="str">
        <v>Cash</v>
      </c>
      <c r="AY40">
        <v>2</v>
      </c>
      <c r="AZ40">
        <v>3.9</v>
      </c>
      <c r="BA40">
        <v>38</v>
      </c>
      <c r="BB40" t="str">
        <v>Laptop</v>
      </c>
      <c r="BC40" s="6">
        <f t="shared" si="4"/>
        <v>2</v>
      </c>
      <c r="BD40" t="str">
        <f t="shared" si="5"/>
        <v/>
      </c>
      <c r="BE40" s="8">
        <f t="shared" si="6"/>
        <v>0.43295595041633289</v>
      </c>
      <c r="BF40" t="str">
        <v>Customer_19</v>
      </c>
      <c r="BG40" t="str">
        <f t="shared" si="7"/>
        <v>East-Printer</v>
      </c>
      <c r="BH40">
        <f t="shared" si="8"/>
        <v>2025</v>
      </c>
      <c r="BI40" t="str">
        <f t="shared" si="9"/>
        <v>May</v>
      </c>
      <c r="BJ40">
        <f t="shared" ca="1" si="0"/>
        <v>298</v>
      </c>
      <c r="BK40" s="8">
        <f t="shared" si="10"/>
        <v>0.43295595041633289</v>
      </c>
      <c r="BL40">
        <f t="shared" si="11"/>
        <v>1561</v>
      </c>
      <c r="BM40">
        <f t="shared" si="12"/>
        <v>7</v>
      </c>
      <c r="BN40">
        <v>1039</v>
      </c>
      <c r="BO40">
        <v>45415</v>
      </c>
      <c r="BP40" t="str">
        <v>North</v>
      </c>
      <c r="BQ40" t="str">
        <v>Sneha</v>
      </c>
      <c r="BR40" t="str">
        <v>Customer_43</v>
      </c>
      <c r="BS40" t="str">
        <v>Furniture</v>
      </c>
      <c r="BT40" t="str">
        <v>Keyboard</v>
      </c>
      <c r="BU40">
        <v>8</v>
      </c>
      <c r="BV40">
        <v>35132</v>
      </c>
      <c r="BW40">
        <v>5</v>
      </c>
      <c r="BX40">
        <v>267003.2</v>
      </c>
      <c r="BY40">
        <v>147399.38</v>
      </c>
      <c r="BZ40">
        <v>119603.82</v>
      </c>
      <c r="CA40" t="str">
        <v>Cash</v>
      </c>
      <c r="CB40">
        <v>8</v>
      </c>
      <c r="CC40">
        <v>4.2</v>
      </c>
      <c r="CD40" t="b">
        <f>COUNTIF(Sales_Data!E:E,Sales_Data!E40)&gt;1</f>
        <v>1</v>
      </c>
      <c r="CE40">
        <f>SUM(Sales_Data!$K$2:'Sales_Data'!K40)</f>
        <v>8672718.299999997</v>
      </c>
      <c r="CF40">
        <f t="shared" si="13"/>
        <v>171146.68</v>
      </c>
      <c r="CG40" t="str">
        <f>CHOOSE(MATCH(C40,{"North","West","South","East"},0),"Zone 1","Zone 2","Zone 3","Zone 4")</f>
        <v>Zone 4</v>
      </c>
      <c r="CH40" t="str" cm="1">
        <f t="array" ref="CH40">_xlfn.SWITCH(N40,"Card","Card Payment","UPI", "UPI Payment","Cash","Cash Payment","NetBanking", "NetBanking Payment", "Unknown")</f>
        <v>NetBanking Payment</v>
      </c>
      <c r="CI40" t="str" cm="1">
        <f t="array" ref="CI40">_xlfn.IFS(Sales_Data!J40&lt;=5,"Low",Sales_Data!J40&lt;=10,"Medium",Sales_Data!J40&gt;10,"High")</f>
        <v>Low</v>
      </c>
    </row>
    <row r="41" spans="1:87" x14ac:dyDescent="0.3">
      <c r="A41">
        <v>1041</v>
      </c>
      <c r="B41" s="1">
        <v>45630</v>
      </c>
      <c r="C41" t="s">
        <v>22</v>
      </c>
      <c r="D41" t="s">
        <v>28</v>
      </c>
      <c r="E41" t="s">
        <v>61</v>
      </c>
      <c r="F41" t="s">
        <v>19</v>
      </c>
      <c r="G41" t="s">
        <v>20</v>
      </c>
      <c r="H41">
        <v>13</v>
      </c>
      <c r="I41">
        <v>23817</v>
      </c>
      <c r="J41">
        <v>20</v>
      </c>
      <c r="K41">
        <v>247696.8</v>
      </c>
      <c r="L41">
        <v>192131.28</v>
      </c>
      <c r="M41">
        <v>55565.52</v>
      </c>
      <c r="N41" t="s">
        <v>21</v>
      </c>
      <c r="O41">
        <v>7</v>
      </c>
      <c r="P41">
        <v>4.4000000000000004</v>
      </c>
      <c r="Q41">
        <f t="shared" si="1"/>
        <v>99</v>
      </c>
      <c r="R41" t="str">
        <f t="shared" si="2"/>
        <v>Phone</v>
      </c>
      <c r="S41" t="e">
        <f t="shared" si="3"/>
        <v>#N/A</v>
      </c>
      <c r="T41">
        <v>45548</v>
      </c>
      <c r="U41" t="str">
        <v>North</v>
      </c>
      <c r="V41" t="str">
        <v>Aman</v>
      </c>
      <c r="W41" t="str">
        <v>Customer_38</v>
      </c>
      <c r="X41" t="str">
        <v>Office Supplies</v>
      </c>
      <c r="Y41" t="str">
        <v>Desk</v>
      </c>
      <c r="Z41">
        <v>11</v>
      </c>
      <c r="AA41">
        <v>45171</v>
      </c>
      <c r="AB41">
        <v>5</v>
      </c>
      <c r="AC41">
        <v>472036.95</v>
      </c>
      <c r="AD41">
        <v>312085.77</v>
      </c>
      <c r="AE41">
        <v>159951.18</v>
      </c>
      <c r="AF41" t="str">
        <v>UPI</v>
      </c>
      <c r="AG41">
        <v>10</v>
      </c>
      <c r="AH41">
        <v>2.5</v>
      </c>
      <c r="AI41">
        <v>20</v>
      </c>
      <c r="AJ41" t="str">
        <v>Desk</v>
      </c>
      <c r="AK41">
        <v>1122</v>
      </c>
      <c r="AL41">
        <v>45432</v>
      </c>
      <c r="AM41" t="str">
        <v>South</v>
      </c>
      <c r="AN41" t="str">
        <v>Priya</v>
      </c>
      <c r="AO41" t="str">
        <v>Customer_8</v>
      </c>
      <c r="AP41" t="str">
        <v>Furniture</v>
      </c>
      <c r="AQ41" t="str">
        <v>Desk</v>
      </c>
      <c r="AR41">
        <v>20</v>
      </c>
      <c r="AS41">
        <v>31953</v>
      </c>
      <c r="AT41">
        <v>5</v>
      </c>
      <c r="AU41">
        <v>607107</v>
      </c>
      <c r="AV41">
        <v>483067.54</v>
      </c>
      <c r="AW41">
        <v>124039.46</v>
      </c>
      <c r="AX41" t="str">
        <v>NetBanking</v>
      </c>
      <c r="AY41">
        <v>9</v>
      </c>
      <c r="AZ41">
        <v>4.5999999999999996</v>
      </c>
      <c r="BA41">
        <v>39</v>
      </c>
      <c r="BB41" t="str">
        <v>Desk</v>
      </c>
      <c r="BC41" s="6">
        <f t="shared" si="4"/>
        <v>4</v>
      </c>
      <c r="BD41" t="str">
        <f t="shared" si="5"/>
        <v/>
      </c>
      <c r="BE41" s="8">
        <f t="shared" si="6"/>
        <v>0.22432877614890462</v>
      </c>
      <c r="BF41" t="str">
        <v>Customer_19</v>
      </c>
      <c r="BG41" t="str">
        <f t="shared" si="7"/>
        <v>South-Phone</v>
      </c>
      <c r="BH41">
        <f t="shared" si="8"/>
        <v>2024</v>
      </c>
      <c r="BI41" t="str">
        <f t="shared" si="9"/>
        <v>December</v>
      </c>
      <c r="BJ41">
        <f t="shared" ca="1" si="0"/>
        <v>411</v>
      </c>
      <c r="BK41" s="8">
        <f t="shared" si="10"/>
        <v>0.22432877614890462</v>
      </c>
      <c r="BL41">
        <f t="shared" si="11"/>
        <v>33295</v>
      </c>
      <c r="BM41">
        <f t="shared" si="12"/>
        <v>24</v>
      </c>
      <c r="BN41">
        <v>1040</v>
      </c>
      <c r="BO41">
        <v>45787</v>
      </c>
      <c r="BP41" t="str">
        <v>East</v>
      </c>
      <c r="BQ41" t="str">
        <v>Arjun</v>
      </c>
      <c r="BR41" t="str">
        <v>Customer_12</v>
      </c>
      <c r="BS41" t="str">
        <v>Office Supplies</v>
      </c>
      <c r="BT41" t="str">
        <v>Printer</v>
      </c>
      <c r="BU41">
        <v>16</v>
      </c>
      <c r="BV41">
        <v>9791</v>
      </c>
      <c r="BW41">
        <v>5</v>
      </c>
      <c r="BX41">
        <v>148823.20000000001</v>
      </c>
      <c r="BY41">
        <v>84389.31</v>
      </c>
      <c r="BZ41">
        <v>64433.89</v>
      </c>
      <c r="CA41" t="str">
        <v>NetBanking</v>
      </c>
      <c r="CB41">
        <v>9</v>
      </c>
      <c r="CC41">
        <v>4.0999999999999996</v>
      </c>
      <c r="CD41" t="b">
        <f>COUNTIF(Sales_Data!E:E,Sales_Data!E41)&gt;1</f>
        <v>1</v>
      </c>
      <c r="CE41">
        <f>SUM(Sales_Data!$K$2:'Sales_Data'!K41)</f>
        <v>8920415.0999999978</v>
      </c>
      <c r="CF41">
        <f t="shared" si="13"/>
        <v>284851.31999999995</v>
      </c>
      <c r="CG41" t="str">
        <f>CHOOSE(MATCH(C41,{"North","West","South","East"},0),"Zone 1","Zone 2","Zone 3","Zone 4")</f>
        <v>Zone 3</v>
      </c>
      <c r="CH41" t="str" cm="1">
        <f t="array" ref="CH41">_xlfn.SWITCH(N41,"Card","Card Payment","UPI", "UPI Payment","Cash","Cash Payment","NetBanking", "NetBanking Payment", "Unknown")</f>
        <v>Card Payment</v>
      </c>
      <c r="CI41" t="str" cm="1">
        <f t="array" ref="CI41">_xlfn.IFS(Sales_Data!J41&lt;=5,"Low",Sales_Data!J41&lt;=10,"Medium",Sales_Data!J41&gt;10,"High")</f>
        <v>High</v>
      </c>
    </row>
    <row r="42" spans="1:87" x14ac:dyDescent="0.3">
      <c r="A42">
        <v>1042</v>
      </c>
      <c r="B42" s="1">
        <v>45655</v>
      </c>
      <c r="C42" t="s">
        <v>22</v>
      </c>
      <c r="D42" t="s">
        <v>31</v>
      </c>
      <c r="E42" t="s">
        <v>70</v>
      </c>
      <c r="F42" t="s">
        <v>19</v>
      </c>
      <c r="G42" t="s">
        <v>44</v>
      </c>
      <c r="H42">
        <v>13</v>
      </c>
      <c r="I42">
        <v>30118</v>
      </c>
      <c r="J42">
        <v>5</v>
      </c>
      <c r="K42">
        <v>371957.3</v>
      </c>
      <c r="L42">
        <v>254995.8</v>
      </c>
      <c r="M42">
        <v>116961.5</v>
      </c>
      <c r="N42" t="s">
        <v>27</v>
      </c>
      <c r="O42">
        <v>2</v>
      </c>
      <c r="P42">
        <v>3.9</v>
      </c>
      <c r="Q42">
        <f t="shared" si="1"/>
        <v>43</v>
      </c>
      <c r="R42" t="str">
        <f t="shared" si="2"/>
        <v>Printer</v>
      </c>
      <c r="S42" t="e">
        <f t="shared" si="3"/>
        <v>#N/A</v>
      </c>
      <c r="T42">
        <v>45413</v>
      </c>
      <c r="U42" t="str">
        <v>West</v>
      </c>
      <c r="V42" t="str">
        <v>Neha</v>
      </c>
      <c r="W42" t="str">
        <v>Customer_19</v>
      </c>
      <c r="X42" t="str">
        <v>Office Supplies</v>
      </c>
      <c r="Y42" t="str">
        <v>Chair</v>
      </c>
      <c r="Z42">
        <v>12</v>
      </c>
      <c r="AA42">
        <v>20185</v>
      </c>
      <c r="AB42">
        <v>0</v>
      </c>
      <c r="AC42">
        <v>242220</v>
      </c>
      <c r="AD42">
        <v>194664.34</v>
      </c>
      <c r="AE42">
        <v>47555.66</v>
      </c>
      <c r="AF42" t="str">
        <v>Card</v>
      </c>
      <c r="AG42">
        <v>8</v>
      </c>
      <c r="AH42">
        <v>4.5999999999999996</v>
      </c>
      <c r="AI42">
        <v>112</v>
      </c>
      <c r="AJ42" t="str">
        <v>Chair</v>
      </c>
      <c r="AK42">
        <v>1061</v>
      </c>
      <c r="AL42">
        <v>45397</v>
      </c>
      <c r="AM42" t="str">
        <v>South</v>
      </c>
      <c r="AN42" t="str">
        <v>Priya</v>
      </c>
      <c r="AO42" t="str">
        <v>Customer_42</v>
      </c>
      <c r="AP42" t="str">
        <v>Office Supplies</v>
      </c>
      <c r="AQ42" t="str">
        <v>Mouse</v>
      </c>
      <c r="AR42">
        <v>13</v>
      </c>
      <c r="AS42">
        <v>24831</v>
      </c>
      <c r="AT42">
        <v>0</v>
      </c>
      <c r="AU42">
        <v>322803</v>
      </c>
      <c r="AV42">
        <v>199823.29</v>
      </c>
      <c r="AW42">
        <v>122979.71</v>
      </c>
      <c r="AX42" t="str">
        <v>Card</v>
      </c>
      <c r="AY42">
        <v>4</v>
      </c>
      <c r="AZ42">
        <v>3.2</v>
      </c>
      <c r="BA42">
        <v>40</v>
      </c>
      <c r="BB42" t="str">
        <v>Mouse</v>
      </c>
      <c r="BC42" s="6">
        <f t="shared" si="4"/>
        <v>4</v>
      </c>
      <c r="BD42" t="str">
        <f t="shared" si="5"/>
        <v>Bonus!</v>
      </c>
      <c r="BE42" s="8">
        <f t="shared" si="6"/>
        <v>0.31444872838898447</v>
      </c>
      <c r="BF42" t="str">
        <v>Customer_19</v>
      </c>
      <c r="BG42" t="str">
        <f t="shared" si="7"/>
        <v>South-Printer</v>
      </c>
      <c r="BH42">
        <f t="shared" si="8"/>
        <v>2024</v>
      </c>
      <c r="BI42" t="str">
        <f t="shared" si="9"/>
        <v>December</v>
      </c>
      <c r="BJ42">
        <f t="shared" ca="1" si="0"/>
        <v>393</v>
      </c>
      <c r="BK42" s="8">
        <f t="shared" si="10"/>
        <v>0.31444872838898447</v>
      </c>
      <c r="BL42">
        <f t="shared" si="11"/>
        <v>1561</v>
      </c>
      <c r="BM42">
        <f t="shared" si="12"/>
        <v>42</v>
      </c>
      <c r="BN42">
        <v>1041</v>
      </c>
      <c r="BO42">
        <v>45630</v>
      </c>
      <c r="BP42" t="str">
        <v>South</v>
      </c>
      <c r="BQ42" t="str">
        <v>Arjun</v>
      </c>
      <c r="BR42" t="str">
        <v>Customer_11</v>
      </c>
      <c r="BS42" t="str">
        <v>Electronics</v>
      </c>
      <c r="BT42" t="str">
        <v>Phone</v>
      </c>
      <c r="BU42">
        <v>13</v>
      </c>
      <c r="BV42">
        <v>23817</v>
      </c>
      <c r="BW42">
        <v>20</v>
      </c>
      <c r="BX42">
        <v>247696.8</v>
      </c>
      <c r="BY42">
        <v>192131.28</v>
      </c>
      <c r="BZ42">
        <v>55565.52</v>
      </c>
      <c r="CA42" t="str">
        <v>Card</v>
      </c>
      <c r="CB42">
        <v>7</v>
      </c>
      <c r="CC42">
        <v>4.4000000000000004</v>
      </c>
      <c r="CD42" t="b">
        <f>COUNTIF(Sales_Data!E:E,Sales_Data!E42)&gt;1</f>
        <v>1</v>
      </c>
      <c r="CE42">
        <f>SUM(Sales_Data!$K$2:'Sales_Data'!K42)</f>
        <v>9292372.3999999985</v>
      </c>
      <c r="CF42">
        <f t="shared" si="13"/>
        <v>427750.89499999996</v>
      </c>
      <c r="CG42" t="str">
        <f>CHOOSE(MATCH(C42,{"North","West","South","East"},0),"Zone 1","Zone 2","Zone 3","Zone 4")</f>
        <v>Zone 3</v>
      </c>
      <c r="CH42" t="str" cm="1">
        <f t="array" ref="CH42">_xlfn.SWITCH(N42,"Card","Card Payment","UPI", "UPI Payment","Cash","Cash Payment","NetBanking", "NetBanking Payment", "Unknown")</f>
        <v>UPI Payment</v>
      </c>
      <c r="CI42" t="str" cm="1">
        <f t="array" ref="CI42">_xlfn.IFS(Sales_Data!J42&lt;=5,"Low",Sales_Data!J42&lt;=10,"Medium",Sales_Data!J42&gt;10,"High")</f>
        <v>Low</v>
      </c>
    </row>
    <row r="43" spans="1:87" x14ac:dyDescent="0.3">
      <c r="A43">
        <v>1043</v>
      </c>
      <c r="B43" s="1">
        <v>45788</v>
      </c>
      <c r="C43" t="s">
        <v>50</v>
      </c>
      <c r="D43" t="s">
        <v>31</v>
      </c>
      <c r="E43" t="s">
        <v>71</v>
      </c>
      <c r="F43" t="s">
        <v>35</v>
      </c>
      <c r="G43" t="s">
        <v>41</v>
      </c>
      <c r="H43">
        <v>6</v>
      </c>
      <c r="I43">
        <v>44157</v>
      </c>
      <c r="J43">
        <v>10</v>
      </c>
      <c r="K43">
        <v>238447.8</v>
      </c>
      <c r="L43">
        <v>150981.59</v>
      </c>
      <c r="M43">
        <v>87466.21</v>
      </c>
      <c r="N43" t="s">
        <v>48</v>
      </c>
      <c r="O43">
        <v>5</v>
      </c>
      <c r="P43">
        <v>4.8</v>
      </c>
      <c r="Q43">
        <f t="shared" si="1"/>
        <v>69</v>
      </c>
      <c r="R43" t="str">
        <f t="shared" si="2"/>
        <v>Chair</v>
      </c>
      <c r="S43" t="e">
        <f t="shared" si="3"/>
        <v>#N/A</v>
      </c>
      <c r="T43">
        <v>45560</v>
      </c>
      <c r="U43" t="str">
        <v>North</v>
      </c>
      <c r="V43" t="str">
        <v>Aman</v>
      </c>
      <c r="W43" t="str">
        <v>Customer_3</v>
      </c>
      <c r="X43" t="str">
        <v>Furniture</v>
      </c>
      <c r="Y43" t="str">
        <v>Laptop</v>
      </c>
      <c r="Z43">
        <v>14</v>
      </c>
      <c r="AA43">
        <v>25079</v>
      </c>
      <c r="AB43">
        <v>0</v>
      </c>
      <c r="AC43">
        <v>351106</v>
      </c>
      <c r="AD43">
        <v>264213.65000000002</v>
      </c>
      <c r="AE43">
        <v>86892.35</v>
      </c>
      <c r="AF43" t="str">
        <v>UPI</v>
      </c>
      <c r="AG43">
        <v>10</v>
      </c>
      <c r="AH43">
        <v>2.8</v>
      </c>
      <c r="AI43">
        <v>70</v>
      </c>
      <c r="AJ43" t="str">
        <v>Laptop</v>
      </c>
      <c r="AK43">
        <v>1101</v>
      </c>
      <c r="AL43">
        <v>45683</v>
      </c>
      <c r="AM43" t="str">
        <v>South</v>
      </c>
      <c r="AN43" t="str">
        <v>Arjun</v>
      </c>
      <c r="AO43" t="str">
        <v>Customer_21</v>
      </c>
      <c r="AP43" t="str">
        <v>Electronics</v>
      </c>
      <c r="AQ43" t="str">
        <v>Desk</v>
      </c>
      <c r="AR43">
        <v>8</v>
      </c>
      <c r="AS43">
        <v>48000</v>
      </c>
      <c r="AT43">
        <v>15</v>
      </c>
      <c r="AU43">
        <v>326400</v>
      </c>
      <c r="AV43">
        <v>206323.06</v>
      </c>
      <c r="AW43">
        <v>120076.94</v>
      </c>
      <c r="AX43" t="str">
        <v>Card</v>
      </c>
      <c r="AY43">
        <v>6</v>
      </c>
      <c r="AZ43">
        <v>4.3</v>
      </c>
      <c r="BA43">
        <v>41</v>
      </c>
      <c r="BB43" t="str">
        <v>Desk</v>
      </c>
      <c r="BC43" s="6">
        <f t="shared" si="4"/>
        <v>2</v>
      </c>
      <c r="BD43" t="str">
        <f t="shared" si="5"/>
        <v/>
      </c>
      <c r="BE43" s="8">
        <f t="shared" si="6"/>
        <v>0.36681491714329095</v>
      </c>
      <c r="BF43" t="str">
        <v>Customer_19</v>
      </c>
      <c r="BG43" t="str">
        <f t="shared" si="7"/>
        <v>North-Chair</v>
      </c>
      <c r="BH43">
        <f t="shared" si="8"/>
        <v>2025</v>
      </c>
      <c r="BI43" t="str">
        <f t="shared" si="9"/>
        <v>May</v>
      </c>
      <c r="BJ43">
        <f t="shared" ca="1" si="0"/>
        <v>298</v>
      </c>
      <c r="BK43" s="8">
        <f t="shared" si="10"/>
        <v>0.36681491714329095</v>
      </c>
      <c r="BL43">
        <f t="shared" si="11"/>
        <v>4972</v>
      </c>
      <c r="BM43">
        <f t="shared" si="12"/>
        <v>43</v>
      </c>
      <c r="BN43">
        <v>1042</v>
      </c>
      <c r="BO43">
        <v>45655</v>
      </c>
      <c r="BP43" t="str">
        <v>South</v>
      </c>
      <c r="BQ43" t="str">
        <v>Neha</v>
      </c>
      <c r="BR43" t="str">
        <v>Customer_35</v>
      </c>
      <c r="BS43" t="str">
        <v>Electronics</v>
      </c>
      <c r="BT43" t="str">
        <v>Printer</v>
      </c>
      <c r="BU43">
        <v>13</v>
      </c>
      <c r="BV43">
        <v>30118</v>
      </c>
      <c r="BW43">
        <v>5</v>
      </c>
      <c r="BX43">
        <v>371957.3</v>
      </c>
      <c r="BY43">
        <v>254995.8</v>
      </c>
      <c r="BZ43">
        <v>116961.5</v>
      </c>
      <c r="CA43" t="str">
        <v>UPI</v>
      </c>
      <c r="CB43">
        <v>2</v>
      </c>
      <c r="CC43">
        <v>3.9</v>
      </c>
      <c r="CD43" t="b">
        <f>COUNTIF(Sales_Data!E:E,Sales_Data!E43)&gt;1</f>
        <v>1</v>
      </c>
      <c r="CE43">
        <f>SUM(Sales_Data!$K$2:'Sales_Data'!K43)</f>
        <v>9530820.1999999993</v>
      </c>
      <c r="CF43">
        <f t="shared" si="13"/>
        <v>274214.96999999997</v>
      </c>
      <c r="CG43" t="str">
        <f>CHOOSE(MATCH(C43,{"North","West","South","East"},0),"Zone 1","Zone 2","Zone 3","Zone 4")</f>
        <v>Zone 1</v>
      </c>
      <c r="CH43" t="str" cm="1">
        <f t="array" ref="CH43">_xlfn.SWITCH(N43,"Card","Card Payment","UPI", "UPI Payment","Cash","Cash Payment","NetBanking", "NetBanking Payment", "Unknown")</f>
        <v>NetBanking Payment</v>
      </c>
      <c r="CI43" t="str" cm="1">
        <f t="array" ref="CI43">_xlfn.IFS(Sales_Data!J43&lt;=5,"Low",Sales_Data!J43&lt;=10,"Medium",Sales_Data!J43&gt;10,"High")</f>
        <v>Medium</v>
      </c>
    </row>
    <row r="44" spans="1:87" x14ac:dyDescent="0.3">
      <c r="A44">
        <v>1044</v>
      </c>
      <c r="B44" s="1">
        <v>45617</v>
      </c>
      <c r="C44" t="s">
        <v>22</v>
      </c>
      <c r="D44" t="s">
        <v>17</v>
      </c>
      <c r="E44" t="s">
        <v>62</v>
      </c>
      <c r="F44" t="s">
        <v>25</v>
      </c>
      <c r="G44" t="s">
        <v>30</v>
      </c>
      <c r="H44">
        <v>3</v>
      </c>
      <c r="I44">
        <v>37013</v>
      </c>
      <c r="J44">
        <v>20</v>
      </c>
      <c r="K44">
        <v>88831.2</v>
      </c>
      <c r="L44">
        <v>75293.649999999994</v>
      </c>
      <c r="M44">
        <v>13537.55</v>
      </c>
      <c r="N44" t="s">
        <v>48</v>
      </c>
      <c r="O44">
        <v>3</v>
      </c>
      <c r="P44">
        <v>4.7</v>
      </c>
      <c r="Q44">
        <f t="shared" si="1"/>
        <v>164</v>
      </c>
      <c r="R44" t="str">
        <f t="shared" si="2"/>
        <v>Desk</v>
      </c>
      <c r="S44" t="e">
        <f t="shared" si="3"/>
        <v>#N/A</v>
      </c>
      <c r="T44">
        <v>45436</v>
      </c>
      <c r="U44" t="str">
        <v>East</v>
      </c>
      <c r="V44" t="str">
        <v>Aman</v>
      </c>
      <c r="W44" t="str">
        <v>Customer_11</v>
      </c>
      <c r="X44" t="str">
        <v>Furniture</v>
      </c>
      <c r="Y44" t="str">
        <v>Monitor</v>
      </c>
      <c r="Z44">
        <v>14</v>
      </c>
      <c r="AA44">
        <v>38489</v>
      </c>
      <c r="AB44">
        <v>20</v>
      </c>
      <c r="AC44">
        <v>431076.8</v>
      </c>
      <c r="AD44">
        <v>344938.96</v>
      </c>
      <c r="AE44">
        <v>86137.84</v>
      </c>
      <c r="AF44" t="str">
        <v>UPI</v>
      </c>
      <c r="AG44">
        <v>2</v>
      </c>
      <c r="AH44">
        <v>4.0999999999999996</v>
      </c>
      <c r="AI44">
        <v>71</v>
      </c>
      <c r="AJ44" t="str">
        <v>Monitor</v>
      </c>
      <c r="AK44">
        <v>1039</v>
      </c>
      <c r="AL44">
        <v>45415</v>
      </c>
      <c r="AM44" t="str">
        <v>North</v>
      </c>
      <c r="AN44" t="str">
        <v>Sneha</v>
      </c>
      <c r="AO44" t="str">
        <v>Customer_43</v>
      </c>
      <c r="AP44" t="str">
        <v>Furniture</v>
      </c>
      <c r="AQ44" t="str">
        <v>Keyboard</v>
      </c>
      <c r="AR44">
        <v>8</v>
      </c>
      <c r="AS44">
        <v>35132</v>
      </c>
      <c r="AT44">
        <v>5</v>
      </c>
      <c r="AU44">
        <v>267003.2</v>
      </c>
      <c r="AV44">
        <v>147399.38</v>
      </c>
      <c r="AW44">
        <v>119603.82</v>
      </c>
      <c r="AX44" t="str">
        <v>Cash</v>
      </c>
      <c r="AY44">
        <v>8</v>
      </c>
      <c r="AZ44">
        <v>4.2</v>
      </c>
      <c r="BA44">
        <v>42</v>
      </c>
      <c r="BB44" t="str">
        <v>Keyboard</v>
      </c>
      <c r="BC44" s="6">
        <f t="shared" si="4"/>
        <v>4</v>
      </c>
      <c r="BD44" t="str">
        <f t="shared" si="5"/>
        <v/>
      </c>
      <c r="BE44" s="8">
        <f t="shared" si="6"/>
        <v>0.15239634272642946</v>
      </c>
      <c r="BF44" t="str">
        <v>Customer_2</v>
      </c>
      <c r="BG44" t="str">
        <f t="shared" si="7"/>
        <v>South-Desk</v>
      </c>
      <c r="BH44">
        <f t="shared" si="8"/>
        <v>2024</v>
      </c>
      <c r="BI44" t="str">
        <f t="shared" si="9"/>
        <v>November</v>
      </c>
      <c r="BJ44">
        <f t="shared" ca="1" si="0"/>
        <v>420</v>
      </c>
      <c r="BK44" s="8">
        <f t="shared" si="10"/>
        <v>0.15239634272642946</v>
      </c>
      <c r="BL44">
        <f t="shared" si="11"/>
        <v>13233</v>
      </c>
      <c r="BM44">
        <f t="shared" si="12"/>
        <v>25</v>
      </c>
      <c r="BN44">
        <v>1043</v>
      </c>
      <c r="BO44">
        <v>45788</v>
      </c>
      <c r="BP44" t="str">
        <v>North</v>
      </c>
      <c r="BQ44" t="str">
        <v>Neha</v>
      </c>
      <c r="BR44" t="str">
        <v>Customer_22</v>
      </c>
      <c r="BS44" t="str">
        <v>Furniture</v>
      </c>
      <c r="BT44" t="str">
        <v>Chair</v>
      </c>
      <c r="BU44">
        <v>6</v>
      </c>
      <c r="BV44">
        <v>44157</v>
      </c>
      <c r="BW44">
        <v>10</v>
      </c>
      <c r="BX44">
        <v>238447.8</v>
      </c>
      <c r="BY44">
        <v>150981.59</v>
      </c>
      <c r="BZ44">
        <v>87466.21</v>
      </c>
      <c r="CA44" t="str">
        <v>NetBanking</v>
      </c>
      <c r="CB44">
        <v>5</v>
      </c>
      <c r="CC44">
        <v>4.8</v>
      </c>
      <c r="CD44" t="b">
        <f>COUNTIF(Sales_Data!E:E,Sales_Data!E44)&gt;1</f>
        <v>1</v>
      </c>
      <c r="CE44">
        <f>SUM(Sales_Data!$K$2:'Sales_Data'!K44)</f>
        <v>9619651.3999999985</v>
      </c>
      <c r="CF44">
        <f t="shared" si="13"/>
        <v>102155.87999999999</v>
      </c>
      <c r="CG44" t="str">
        <f>CHOOSE(MATCH(C44,{"North","West","South","East"},0),"Zone 1","Zone 2","Zone 3","Zone 4")</f>
        <v>Zone 3</v>
      </c>
      <c r="CH44" t="str" cm="1">
        <f t="array" ref="CH44">_xlfn.SWITCH(N44,"Card","Card Payment","UPI", "UPI Payment","Cash","Cash Payment","NetBanking", "NetBanking Payment", "Unknown")</f>
        <v>NetBanking Payment</v>
      </c>
      <c r="CI44" t="str" cm="1">
        <f t="array" ref="CI44">_xlfn.IFS(Sales_Data!J44&lt;=5,"Low",Sales_Data!J44&lt;=10,"Medium",Sales_Data!J44&gt;10,"High")</f>
        <v>High</v>
      </c>
    </row>
    <row r="45" spans="1:87" x14ac:dyDescent="0.3">
      <c r="A45">
        <v>1045</v>
      </c>
      <c r="B45" s="1">
        <v>45662</v>
      </c>
      <c r="C45" t="s">
        <v>50</v>
      </c>
      <c r="D45" t="s">
        <v>39</v>
      </c>
      <c r="E45" t="s">
        <v>72</v>
      </c>
      <c r="F45" t="s">
        <v>19</v>
      </c>
      <c r="G45" t="s">
        <v>65</v>
      </c>
      <c r="H45">
        <v>1</v>
      </c>
      <c r="I45">
        <v>39286</v>
      </c>
      <c r="J45">
        <v>15</v>
      </c>
      <c r="K45">
        <v>33393.1</v>
      </c>
      <c r="L45">
        <v>22919.51</v>
      </c>
      <c r="M45">
        <v>10473.59</v>
      </c>
      <c r="N45" t="s">
        <v>27</v>
      </c>
      <c r="O45">
        <v>9</v>
      </c>
      <c r="P45">
        <v>3.1</v>
      </c>
      <c r="Q45">
        <f t="shared" si="1"/>
        <v>175</v>
      </c>
      <c r="R45" t="str">
        <f t="shared" si="2"/>
        <v>Mouse</v>
      </c>
      <c r="S45" t="e">
        <f t="shared" si="3"/>
        <v>#N/A</v>
      </c>
      <c r="T45">
        <v>45455</v>
      </c>
      <c r="U45" t="str">
        <v>South</v>
      </c>
      <c r="V45" t="str">
        <v>Sneha</v>
      </c>
      <c r="W45" t="str">
        <v>Customer_19</v>
      </c>
      <c r="X45" t="str">
        <v>Office Supplies</v>
      </c>
      <c r="Y45" t="str">
        <v>Desk</v>
      </c>
      <c r="Z45">
        <v>15</v>
      </c>
      <c r="AA45">
        <v>20264</v>
      </c>
      <c r="AB45">
        <v>5</v>
      </c>
      <c r="AC45">
        <v>288762</v>
      </c>
      <c r="AD45">
        <v>224577.69</v>
      </c>
      <c r="AE45">
        <v>64184.31</v>
      </c>
      <c r="AF45" t="str">
        <v>UPI</v>
      </c>
      <c r="AG45">
        <v>7</v>
      </c>
      <c r="AH45">
        <v>3.6</v>
      </c>
      <c r="AI45">
        <v>89</v>
      </c>
      <c r="AJ45" t="str">
        <v>Desk</v>
      </c>
      <c r="AK45">
        <v>1042</v>
      </c>
      <c r="AL45">
        <v>45655</v>
      </c>
      <c r="AM45" t="str">
        <v>South</v>
      </c>
      <c r="AN45" t="str">
        <v>Neha</v>
      </c>
      <c r="AO45" t="str">
        <v>Customer_35</v>
      </c>
      <c r="AP45" t="str">
        <v>Electronics</v>
      </c>
      <c r="AQ45" t="str">
        <v>Printer</v>
      </c>
      <c r="AR45">
        <v>13</v>
      </c>
      <c r="AS45">
        <v>30118</v>
      </c>
      <c r="AT45">
        <v>5</v>
      </c>
      <c r="AU45">
        <v>371957.3</v>
      </c>
      <c r="AV45">
        <v>254995.8</v>
      </c>
      <c r="AW45">
        <v>116961.5</v>
      </c>
      <c r="AX45" t="str">
        <v>UPI</v>
      </c>
      <c r="AY45">
        <v>2</v>
      </c>
      <c r="AZ45">
        <v>3.9</v>
      </c>
      <c r="BA45">
        <v>43</v>
      </c>
      <c r="BB45" t="str">
        <v>Printer</v>
      </c>
      <c r="BC45" s="6">
        <f t="shared" si="4"/>
        <v>0</v>
      </c>
      <c r="BD45" t="str">
        <f t="shared" si="5"/>
        <v/>
      </c>
      <c r="BE45" s="8">
        <f t="shared" si="6"/>
        <v>0.31364533391628813</v>
      </c>
      <c r="BF45" t="str">
        <v>Customer_2</v>
      </c>
      <c r="BG45" t="str">
        <f t="shared" si="7"/>
        <v>North-Mouse</v>
      </c>
      <c r="BH45">
        <f t="shared" si="8"/>
        <v>2025</v>
      </c>
      <c r="BI45" t="str">
        <f t="shared" si="9"/>
        <v>January</v>
      </c>
      <c r="BJ45">
        <f t="shared" ca="1" si="0"/>
        <v>388</v>
      </c>
      <c r="BK45" s="8">
        <f t="shared" si="10"/>
        <v>0.31364533391628813</v>
      </c>
      <c r="BL45">
        <f t="shared" si="11"/>
        <v>41775</v>
      </c>
      <c r="BM45">
        <f t="shared" si="12"/>
        <v>45</v>
      </c>
      <c r="BN45">
        <v>1044</v>
      </c>
      <c r="BO45">
        <v>45617</v>
      </c>
      <c r="BP45" t="str">
        <v>South</v>
      </c>
      <c r="BQ45" t="str">
        <v>Rohan</v>
      </c>
      <c r="BR45" t="str">
        <v>Customer_43</v>
      </c>
      <c r="BS45" t="str">
        <v>Office Supplies</v>
      </c>
      <c r="BT45" t="str">
        <v>Desk</v>
      </c>
      <c r="BU45">
        <v>3</v>
      </c>
      <c r="BV45">
        <v>37013</v>
      </c>
      <c r="BW45">
        <v>20</v>
      </c>
      <c r="BX45">
        <v>88831.2</v>
      </c>
      <c r="BY45">
        <v>75293.649999999994</v>
      </c>
      <c r="BZ45">
        <v>13537.55</v>
      </c>
      <c r="CA45" t="str">
        <v>NetBanking</v>
      </c>
      <c r="CB45">
        <v>3</v>
      </c>
      <c r="CC45">
        <v>4.7</v>
      </c>
      <c r="CD45" t="b">
        <f>COUNTIF(Sales_Data!E:E,Sales_Data!E45)&gt;1</f>
        <v>1</v>
      </c>
      <c r="CE45">
        <f>SUM(Sales_Data!$K$2:'Sales_Data'!K45)</f>
        <v>9653044.4999999981</v>
      </c>
      <c r="CF45">
        <f t="shared" si="13"/>
        <v>38402.064999999995</v>
      </c>
      <c r="CG45" t="str">
        <f>CHOOSE(MATCH(C45,{"North","West","South","East"},0),"Zone 1","Zone 2","Zone 3","Zone 4")</f>
        <v>Zone 1</v>
      </c>
      <c r="CH45" t="str" cm="1">
        <f t="array" ref="CH45">_xlfn.SWITCH(N45,"Card","Card Payment","UPI", "UPI Payment","Cash","Cash Payment","NetBanking", "NetBanking Payment", "Unknown")</f>
        <v>UPI Payment</v>
      </c>
      <c r="CI45" t="str" cm="1">
        <f t="array" ref="CI45">_xlfn.IFS(Sales_Data!J45&lt;=5,"Low",Sales_Data!J45&lt;=10,"Medium",Sales_Data!J45&gt;10,"High")</f>
        <v>High</v>
      </c>
    </row>
    <row r="46" spans="1:87" x14ac:dyDescent="0.3">
      <c r="A46">
        <v>1046</v>
      </c>
      <c r="B46" s="1">
        <v>45393</v>
      </c>
      <c r="C46" t="s">
        <v>33</v>
      </c>
      <c r="D46" t="s">
        <v>39</v>
      </c>
      <c r="E46" t="s">
        <v>53</v>
      </c>
      <c r="F46" t="s">
        <v>19</v>
      </c>
      <c r="G46" t="s">
        <v>47</v>
      </c>
      <c r="H46">
        <v>17</v>
      </c>
      <c r="I46">
        <v>9504</v>
      </c>
      <c r="J46">
        <v>0</v>
      </c>
      <c r="K46">
        <v>161568</v>
      </c>
      <c r="L46">
        <v>112164.42</v>
      </c>
      <c r="M46">
        <v>49403.58</v>
      </c>
      <c r="N46" t="s">
        <v>37</v>
      </c>
      <c r="O46">
        <v>3</v>
      </c>
      <c r="P46">
        <v>3.6</v>
      </c>
      <c r="Q46">
        <f t="shared" si="1"/>
        <v>109</v>
      </c>
      <c r="R46" t="str">
        <f t="shared" si="2"/>
        <v>Monitor</v>
      </c>
      <c r="S46" t="e">
        <f t="shared" si="3"/>
        <v>#N/A</v>
      </c>
      <c r="T46">
        <v>45342</v>
      </c>
      <c r="U46" t="str">
        <v>West</v>
      </c>
      <c r="V46" t="str">
        <v>Arjun</v>
      </c>
      <c r="W46" t="str">
        <v>Customer_15</v>
      </c>
      <c r="X46" t="str">
        <v>Electronics</v>
      </c>
      <c r="Y46" t="str">
        <v>Chair</v>
      </c>
      <c r="Z46">
        <v>7</v>
      </c>
      <c r="AA46">
        <v>48661</v>
      </c>
      <c r="AB46">
        <v>20</v>
      </c>
      <c r="AC46">
        <v>272501.59999999998</v>
      </c>
      <c r="AD46">
        <v>214275.98</v>
      </c>
      <c r="AE46">
        <v>58225.62</v>
      </c>
      <c r="AF46" t="str">
        <v>Card</v>
      </c>
      <c r="AG46">
        <v>3</v>
      </c>
      <c r="AH46">
        <v>2.6</v>
      </c>
      <c r="AI46">
        <v>96</v>
      </c>
      <c r="AJ46" t="str">
        <v>Chair</v>
      </c>
      <c r="AK46">
        <v>1022</v>
      </c>
      <c r="AL46">
        <v>45673</v>
      </c>
      <c r="AM46" t="str">
        <v>North</v>
      </c>
      <c r="AN46" t="str">
        <v>Karan</v>
      </c>
      <c r="AO46" t="str">
        <v>Customer_9</v>
      </c>
      <c r="AP46" t="str">
        <v>Office Supplies</v>
      </c>
      <c r="AQ46" t="str">
        <v>Laptop</v>
      </c>
      <c r="AR46">
        <v>12</v>
      </c>
      <c r="AS46">
        <v>26572</v>
      </c>
      <c r="AT46">
        <v>10</v>
      </c>
      <c r="AU46">
        <v>286977.59999999998</v>
      </c>
      <c r="AV46">
        <v>173032.5</v>
      </c>
      <c r="AW46">
        <v>113945.1</v>
      </c>
      <c r="AX46" t="str">
        <v>UPI</v>
      </c>
      <c r="AY46">
        <v>2</v>
      </c>
      <c r="AZ46">
        <v>3.3</v>
      </c>
      <c r="BA46">
        <v>44</v>
      </c>
      <c r="BB46" t="str">
        <v>Laptop</v>
      </c>
      <c r="BC46" s="6">
        <f t="shared" si="4"/>
        <v>1</v>
      </c>
      <c r="BD46" t="str">
        <f t="shared" si="5"/>
        <v/>
      </c>
      <c r="BE46" s="8">
        <f t="shared" si="6"/>
        <v>0.30577577243018422</v>
      </c>
      <c r="BF46" t="str">
        <v>Customer_20</v>
      </c>
      <c r="BG46" t="str">
        <f t="shared" si="7"/>
        <v>East-Monitor</v>
      </c>
      <c r="BH46">
        <f t="shared" si="8"/>
        <v>2024</v>
      </c>
      <c r="BI46" t="str">
        <f t="shared" si="9"/>
        <v>April</v>
      </c>
      <c r="BJ46">
        <f t="shared" ca="1" si="0"/>
        <v>580</v>
      </c>
      <c r="BK46" s="8">
        <f t="shared" si="10"/>
        <v>0.30577577243018422</v>
      </c>
      <c r="BL46">
        <f t="shared" si="11"/>
        <v>26687</v>
      </c>
      <c r="BM46">
        <f t="shared" si="12"/>
        <v>15</v>
      </c>
      <c r="BN46">
        <v>1045</v>
      </c>
      <c r="BO46">
        <v>45662</v>
      </c>
      <c r="BP46" t="str">
        <v>North</v>
      </c>
      <c r="BQ46" t="str">
        <v>Sneha</v>
      </c>
      <c r="BR46" t="str">
        <v>Customer_1</v>
      </c>
      <c r="BS46" t="str">
        <v>Electronics</v>
      </c>
      <c r="BT46" t="str">
        <v>Mouse</v>
      </c>
      <c r="BU46">
        <v>1</v>
      </c>
      <c r="BV46">
        <v>39286</v>
      </c>
      <c r="BW46">
        <v>15</v>
      </c>
      <c r="BX46">
        <v>33393.1</v>
      </c>
      <c r="BY46">
        <v>22919.51</v>
      </c>
      <c r="BZ46">
        <v>10473.59</v>
      </c>
      <c r="CA46" t="str">
        <v>UPI</v>
      </c>
      <c r="CB46">
        <v>9</v>
      </c>
      <c r="CC46">
        <v>3.1</v>
      </c>
      <c r="CD46" t="b">
        <f>COUNTIF(Sales_Data!E:E,Sales_Data!E46)&gt;1</f>
        <v>1</v>
      </c>
      <c r="CE46">
        <f>SUM(Sales_Data!$K$2:'Sales_Data'!K46)</f>
        <v>9814612.4999999981</v>
      </c>
      <c r="CF46">
        <f t="shared" si="13"/>
        <v>185803.19999999998</v>
      </c>
      <c r="CG46" t="str">
        <f>CHOOSE(MATCH(C46,{"North","West","South","East"},0),"Zone 1","Zone 2","Zone 3","Zone 4")</f>
        <v>Zone 4</v>
      </c>
      <c r="CH46" t="str" cm="1">
        <f t="array" ref="CH46">_xlfn.SWITCH(N46,"Card","Card Payment","UPI", "UPI Payment","Cash","Cash Payment","NetBanking", "NetBanking Payment", "Unknown")</f>
        <v>Cash Payment</v>
      </c>
      <c r="CI46" t="str" cm="1">
        <f t="array" ref="CI46">_xlfn.IFS(Sales_Data!J46&lt;=5,"Low",Sales_Data!J46&lt;=10,"Medium",Sales_Data!J46&gt;10,"High")</f>
        <v>Low</v>
      </c>
    </row>
    <row r="47" spans="1:87" x14ac:dyDescent="0.3">
      <c r="A47">
        <v>1047</v>
      </c>
      <c r="B47" s="1">
        <v>45373</v>
      </c>
      <c r="C47" t="s">
        <v>33</v>
      </c>
      <c r="D47" t="s">
        <v>57</v>
      </c>
      <c r="E47" t="s">
        <v>73</v>
      </c>
      <c r="F47" t="s">
        <v>25</v>
      </c>
      <c r="G47" t="s">
        <v>65</v>
      </c>
      <c r="H47">
        <v>18</v>
      </c>
      <c r="I47">
        <v>29998</v>
      </c>
      <c r="J47">
        <v>0</v>
      </c>
      <c r="K47">
        <v>539964</v>
      </c>
      <c r="L47">
        <v>403229.11</v>
      </c>
      <c r="M47">
        <v>136734.89000000001</v>
      </c>
      <c r="N47" t="s">
        <v>37</v>
      </c>
      <c r="O47">
        <v>5</v>
      </c>
      <c r="P47">
        <v>3.9</v>
      </c>
      <c r="Q47">
        <f t="shared" si="1"/>
        <v>31</v>
      </c>
      <c r="R47" t="str">
        <f t="shared" si="2"/>
        <v>Mouse</v>
      </c>
      <c r="S47" t="e">
        <f t="shared" si="3"/>
        <v>#N/A</v>
      </c>
      <c r="T47">
        <v>45480</v>
      </c>
      <c r="U47" t="str">
        <v>North</v>
      </c>
      <c r="V47" t="str">
        <v>Aman</v>
      </c>
      <c r="W47" t="str">
        <v>Customer_42</v>
      </c>
      <c r="X47" t="str">
        <v>Furniture</v>
      </c>
      <c r="Y47" t="str">
        <v>Desk</v>
      </c>
      <c r="Z47">
        <v>19</v>
      </c>
      <c r="AA47">
        <v>16452</v>
      </c>
      <c r="AB47">
        <v>20</v>
      </c>
      <c r="AC47">
        <v>250070.39999999999</v>
      </c>
      <c r="AD47">
        <v>209692.45</v>
      </c>
      <c r="AE47">
        <v>40377.949999999997</v>
      </c>
      <c r="AF47" t="str">
        <v>NetBanking</v>
      </c>
      <c r="AG47">
        <v>1</v>
      </c>
      <c r="AH47">
        <v>3.2</v>
      </c>
      <c r="AI47">
        <v>122</v>
      </c>
      <c r="AJ47" t="str">
        <v>Desk</v>
      </c>
      <c r="AK47">
        <v>1114</v>
      </c>
      <c r="AL47">
        <v>45555</v>
      </c>
      <c r="AM47" t="str">
        <v>West</v>
      </c>
      <c r="AN47" t="str">
        <v>Karan</v>
      </c>
      <c r="AO47" t="str">
        <v>Customer_18</v>
      </c>
      <c r="AP47" t="str">
        <v>Electronics</v>
      </c>
      <c r="AQ47" t="str">
        <v>Mouse</v>
      </c>
      <c r="AR47">
        <v>19</v>
      </c>
      <c r="AS47">
        <v>19693</v>
      </c>
      <c r="AT47">
        <v>20</v>
      </c>
      <c r="AU47">
        <v>299333.59999999998</v>
      </c>
      <c r="AV47">
        <v>186352.34</v>
      </c>
      <c r="AW47">
        <v>112981.26</v>
      </c>
      <c r="AX47" t="str">
        <v>NetBanking</v>
      </c>
      <c r="AY47">
        <v>6</v>
      </c>
      <c r="AZ47">
        <v>2.5</v>
      </c>
      <c r="BA47">
        <v>45</v>
      </c>
      <c r="BB47" t="str">
        <v>Mouse</v>
      </c>
      <c r="BC47" s="6">
        <f t="shared" si="4"/>
        <v>1</v>
      </c>
      <c r="BD47" t="str">
        <f t="shared" si="5"/>
        <v>Bonus!</v>
      </c>
      <c r="BE47" s="8">
        <f t="shared" si="6"/>
        <v>0.25322964123534164</v>
      </c>
      <c r="BF47" t="str">
        <v>Customer_20</v>
      </c>
      <c r="BG47" t="str">
        <f t="shared" si="7"/>
        <v>East-Mouse</v>
      </c>
      <c r="BH47">
        <f t="shared" si="8"/>
        <v>2024</v>
      </c>
      <c r="BI47" t="str">
        <f t="shared" si="9"/>
        <v>March</v>
      </c>
      <c r="BJ47">
        <f t="shared" ca="1" si="0"/>
        <v>594</v>
      </c>
      <c r="BK47" s="8">
        <f t="shared" si="10"/>
        <v>0.25322964123534164</v>
      </c>
      <c r="BL47">
        <f t="shared" si="11"/>
        <v>41775</v>
      </c>
      <c r="BM47">
        <f t="shared" si="12"/>
        <v>47</v>
      </c>
      <c r="BN47">
        <v>1046</v>
      </c>
      <c r="BO47">
        <v>45393</v>
      </c>
      <c r="BP47" t="str">
        <v>East</v>
      </c>
      <c r="BQ47" t="str">
        <v>Sneha</v>
      </c>
      <c r="BR47" t="str">
        <v>Customer_10</v>
      </c>
      <c r="BS47" t="str">
        <v>Electronics</v>
      </c>
      <c r="BT47" t="str">
        <v>Monitor</v>
      </c>
      <c r="BU47">
        <v>17</v>
      </c>
      <c r="BV47">
        <v>9504</v>
      </c>
      <c r="BW47">
        <v>0</v>
      </c>
      <c r="BX47">
        <v>161568</v>
      </c>
      <c r="BY47">
        <v>112164.42</v>
      </c>
      <c r="BZ47">
        <v>49403.58</v>
      </c>
      <c r="CA47" t="str">
        <v>Cash</v>
      </c>
      <c r="CB47">
        <v>3</v>
      </c>
      <c r="CC47">
        <v>3.6</v>
      </c>
      <c r="CD47" t="b">
        <f>COUNTIF(Sales_Data!E:E,Sales_Data!E47)&gt;1</f>
        <v>1</v>
      </c>
      <c r="CE47">
        <f>SUM(Sales_Data!$K$2:'Sales_Data'!K47)</f>
        <v>10354576.499999998</v>
      </c>
      <c r="CF47">
        <f t="shared" si="13"/>
        <v>620958.6</v>
      </c>
      <c r="CG47" t="str">
        <f>CHOOSE(MATCH(C47,{"North","West","South","East"},0),"Zone 1","Zone 2","Zone 3","Zone 4")</f>
        <v>Zone 4</v>
      </c>
      <c r="CH47" t="str" cm="1">
        <f t="array" ref="CH47">_xlfn.SWITCH(N47,"Card","Card Payment","UPI", "UPI Payment","Cash","Cash Payment","NetBanking", "NetBanking Payment", "Unknown")</f>
        <v>Cash Payment</v>
      </c>
      <c r="CI47" t="str" cm="1">
        <f t="array" ref="CI47">_xlfn.IFS(Sales_Data!J47&lt;=5,"Low",Sales_Data!J47&lt;=10,"Medium",Sales_Data!J47&gt;10,"High")</f>
        <v>Low</v>
      </c>
    </row>
    <row r="48" spans="1:87" x14ac:dyDescent="0.3">
      <c r="A48">
        <v>1048</v>
      </c>
      <c r="B48" s="1">
        <v>45635</v>
      </c>
      <c r="C48" t="s">
        <v>50</v>
      </c>
      <c r="D48" t="s">
        <v>57</v>
      </c>
      <c r="E48" t="s">
        <v>34</v>
      </c>
      <c r="F48" t="s">
        <v>19</v>
      </c>
      <c r="G48" t="s">
        <v>47</v>
      </c>
      <c r="H48">
        <v>9</v>
      </c>
      <c r="I48">
        <v>6519</v>
      </c>
      <c r="J48">
        <v>5</v>
      </c>
      <c r="K48">
        <v>55737.45</v>
      </c>
      <c r="L48">
        <v>31830.33</v>
      </c>
      <c r="M48">
        <v>23907.119999999999</v>
      </c>
      <c r="N48" t="s">
        <v>21</v>
      </c>
      <c r="O48">
        <v>6</v>
      </c>
      <c r="P48">
        <v>4.2</v>
      </c>
      <c r="Q48">
        <f t="shared" si="1"/>
        <v>139</v>
      </c>
      <c r="R48" t="str">
        <f t="shared" si="2"/>
        <v>Monitor</v>
      </c>
      <c r="S48" t="e">
        <f t="shared" si="3"/>
        <v>#N/A</v>
      </c>
      <c r="T48">
        <v>45517</v>
      </c>
      <c r="U48" t="str">
        <v>North</v>
      </c>
      <c r="V48" t="str">
        <v>Arjun</v>
      </c>
      <c r="W48" t="str">
        <v>Customer_17</v>
      </c>
      <c r="X48" t="str">
        <v>Electronics</v>
      </c>
      <c r="Y48" t="str">
        <v>Keyboard</v>
      </c>
      <c r="Z48">
        <v>13</v>
      </c>
      <c r="AA48">
        <v>22612</v>
      </c>
      <c r="AB48">
        <v>5</v>
      </c>
      <c r="AC48">
        <v>279258.2</v>
      </c>
      <c r="AD48">
        <v>168584.77</v>
      </c>
      <c r="AE48">
        <v>110673.43</v>
      </c>
      <c r="AF48" t="str">
        <v>NetBanking</v>
      </c>
      <c r="AG48">
        <v>6</v>
      </c>
      <c r="AH48">
        <v>2.8</v>
      </c>
      <c r="AI48">
        <v>49</v>
      </c>
      <c r="AJ48" t="str">
        <v>Keyboard</v>
      </c>
      <c r="AK48">
        <v>1070</v>
      </c>
      <c r="AL48">
        <v>45700</v>
      </c>
      <c r="AM48" t="str">
        <v>West</v>
      </c>
      <c r="AN48" t="str">
        <v>Karan</v>
      </c>
      <c r="AO48" t="str">
        <v>Customer_22</v>
      </c>
      <c r="AP48" t="str">
        <v>Office Supplies</v>
      </c>
      <c r="AQ48" t="str">
        <v>Monitor</v>
      </c>
      <c r="AR48">
        <v>10</v>
      </c>
      <c r="AS48">
        <v>39492</v>
      </c>
      <c r="AT48">
        <v>5</v>
      </c>
      <c r="AU48">
        <v>375174</v>
      </c>
      <c r="AV48">
        <v>262269.77</v>
      </c>
      <c r="AW48">
        <v>112904.23</v>
      </c>
      <c r="AX48" t="str">
        <v>UPI</v>
      </c>
      <c r="AY48">
        <v>10</v>
      </c>
      <c r="AZ48">
        <v>2.5</v>
      </c>
      <c r="BA48">
        <v>46</v>
      </c>
      <c r="BB48" t="str">
        <v>Monitor</v>
      </c>
      <c r="BC48" s="6">
        <f t="shared" si="4"/>
        <v>4</v>
      </c>
      <c r="BD48" t="str">
        <f t="shared" si="5"/>
        <v/>
      </c>
      <c r="BE48" s="8">
        <f t="shared" si="6"/>
        <v>0.42892382051923794</v>
      </c>
      <c r="BF48" t="str">
        <v>Customer_20</v>
      </c>
      <c r="BG48" t="str">
        <f t="shared" si="7"/>
        <v>North-Monitor</v>
      </c>
      <c r="BH48">
        <f t="shared" si="8"/>
        <v>2024</v>
      </c>
      <c r="BI48" t="str">
        <f t="shared" si="9"/>
        <v>December</v>
      </c>
      <c r="BJ48">
        <f t="shared" ca="1" si="0"/>
        <v>408</v>
      </c>
      <c r="BK48" s="8">
        <f t="shared" si="10"/>
        <v>0.42892382051923794</v>
      </c>
      <c r="BL48">
        <f t="shared" si="11"/>
        <v>26687</v>
      </c>
      <c r="BM48">
        <f t="shared" si="12"/>
        <v>6</v>
      </c>
      <c r="BN48">
        <v>1047</v>
      </c>
      <c r="BO48">
        <v>45373</v>
      </c>
      <c r="BP48" t="str">
        <v>East</v>
      </c>
      <c r="BQ48" t="str">
        <v>Megha</v>
      </c>
      <c r="BR48" t="str">
        <v>Customer_45</v>
      </c>
      <c r="BS48" t="str">
        <v>Office Supplies</v>
      </c>
      <c r="BT48" t="str">
        <v>Mouse</v>
      </c>
      <c r="BU48">
        <v>18</v>
      </c>
      <c r="BV48">
        <v>29998</v>
      </c>
      <c r="BW48">
        <v>0</v>
      </c>
      <c r="BX48">
        <v>539964</v>
      </c>
      <c r="BY48">
        <v>403229.11</v>
      </c>
      <c r="BZ48">
        <v>136734.89000000001</v>
      </c>
      <c r="CA48" t="str">
        <v>Cash</v>
      </c>
      <c r="CB48">
        <v>5</v>
      </c>
      <c r="CC48">
        <v>3.9</v>
      </c>
      <c r="CD48" t="b">
        <f>COUNTIF(Sales_Data!E:E,Sales_Data!E48)&gt;1</f>
        <v>1</v>
      </c>
      <c r="CE48">
        <f>SUM(Sales_Data!$K$2:'Sales_Data'!K48)</f>
        <v>10410313.949999997</v>
      </c>
      <c r="CF48">
        <f t="shared" si="13"/>
        <v>64098.06749999999</v>
      </c>
      <c r="CG48" t="str">
        <f>CHOOSE(MATCH(C48,{"North","West","South","East"},0),"Zone 1","Zone 2","Zone 3","Zone 4")</f>
        <v>Zone 1</v>
      </c>
      <c r="CH48" t="str" cm="1">
        <f t="array" ref="CH48">_xlfn.SWITCH(N48,"Card","Card Payment","UPI", "UPI Payment","Cash","Cash Payment","NetBanking", "NetBanking Payment", "Unknown")</f>
        <v>Card Payment</v>
      </c>
      <c r="CI48" t="str" cm="1">
        <f t="array" ref="CI48">_xlfn.IFS(Sales_Data!J48&lt;=5,"Low",Sales_Data!J48&lt;=10,"Medium",Sales_Data!J48&gt;10,"High")</f>
        <v>Low</v>
      </c>
    </row>
    <row r="49" spans="1:87" x14ac:dyDescent="0.3">
      <c r="A49">
        <v>1049</v>
      </c>
      <c r="B49" s="1">
        <v>45355</v>
      </c>
      <c r="C49" t="s">
        <v>33</v>
      </c>
      <c r="D49" t="s">
        <v>23</v>
      </c>
      <c r="E49" t="s">
        <v>73</v>
      </c>
      <c r="F49" t="s">
        <v>25</v>
      </c>
      <c r="G49" t="s">
        <v>20</v>
      </c>
      <c r="H49">
        <v>16</v>
      </c>
      <c r="I49">
        <v>34368</v>
      </c>
      <c r="J49">
        <v>20</v>
      </c>
      <c r="K49">
        <v>439910.40000000002</v>
      </c>
      <c r="L49">
        <v>292665.15999999997</v>
      </c>
      <c r="M49">
        <v>147245.24</v>
      </c>
      <c r="N49" t="s">
        <v>21</v>
      </c>
      <c r="O49">
        <v>4</v>
      </c>
      <c r="P49">
        <v>3.2</v>
      </c>
      <c r="Q49">
        <f t="shared" si="1"/>
        <v>25</v>
      </c>
      <c r="R49" t="str">
        <f t="shared" si="2"/>
        <v>Phone</v>
      </c>
      <c r="S49" t="e">
        <f t="shared" si="3"/>
        <v>#N/A</v>
      </c>
      <c r="T49">
        <v>45617</v>
      </c>
      <c r="U49" t="str">
        <v>East</v>
      </c>
      <c r="V49" t="str">
        <v>Neha</v>
      </c>
      <c r="W49" t="str">
        <v>Customer_13</v>
      </c>
      <c r="X49" t="str">
        <v>Office Supplies</v>
      </c>
      <c r="Y49" t="str">
        <v>Keyboard</v>
      </c>
      <c r="Z49">
        <v>13</v>
      </c>
      <c r="AA49">
        <v>33311</v>
      </c>
      <c r="AB49">
        <v>20</v>
      </c>
      <c r="AC49">
        <v>346434.4</v>
      </c>
      <c r="AD49">
        <v>238485.76000000001</v>
      </c>
      <c r="AE49">
        <v>107948.64</v>
      </c>
      <c r="AF49" t="str">
        <v>UPI</v>
      </c>
      <c r="AG49">
        <v>1</v>
      </c>
      <c r="AH49">
        <v>4.9000000000000004</v>
      </c>
      <c r="AI49">
        <v>52</v>
      </c>
      <c r="AJ49" t="str">
        <v>Keyboard</v>
      </c>
      <c r="AK49">
        <v>1121</v>
      </c>
      <c r="AL49">
        <v>45680</v>
      </c>
      <c r="AM49" t="str">
        <v>West</v>
      </c>
      <c r="AN49" t="str">
        <v>Megha</v>
      </c>
      <c r="AO49" t="str">
        <v>Customer_44</v>
      </c>
      <c r="AP49" t="str">
        <v>Electronics</v>
      </c>
      <c r="AQ49" t="str">
        <v>Mouse</v>
      </c>
      <c r="AR49">
        <v>16</v>
      </c>
      <c r="AS49">
        <v>25769</v>
      </c>
      <c r="AT49">
        <v>10</v>
      </c>
      <c r="AU49">
        <v>371073.6</v>
      </c>
      <c r="AV49">
        <v>258303.87</v>
      </c>
      <c r="AW49">
        <v>112769.73</v>
      </c>
      <c r="AX49" t="str">
        <v>Cash</v>
      </c>
      <c r="AY49">
        <v>5</v>
      </c>
      <c r="AZ49">
        <v>2.6</v>
      </c>
      <c r="BA49">
        <v>47</v>
      </c>
      <c r="BB49" t="str">
        <v>Mouse</v>
      </c>
      <c r="BC49" s="6">
        <f t="shared" si="4"/>
        <v>1</v>
      </c>
      <c r="BD49" t="str">
        <f t="shared" si="5"/>
        <v>Bonus!</v>
      </c>
      <c r="BE49" s="8">
        <f t="shared" si="6"/>
        <v>0.33471643316457167</v>
      </c>
      <c r="BF49" t="str">
        <v>Customer_21</v>
      </c>
      <c r="BG49" t="str">
        <f t="shared" si="7"/>
        <v>East-Phone</v>
      </c>
      <c r="BH49">
        <f t="shared" si="8"/>
        <v>2024</v>
      </c>
      <c r="BI49" t="str">
        <f t="shared" si="9"/>
        <v>March</v>
      </c>
      <c r="BJ49">
        <f t="shared" ca="1" si="0"/>
        <v>608</v>
      </c>
      <c r="BK49" s="8">
        <f t="shared" si="10"/>
        <v>0.33471643316457167</v>
      </c>
      <c r="BL49">
        <f t="shared" si="11"/>
        <v>33295</v>
      </c>
      <c r="BM49">
        <f t="shared" si="12"/>
        <v>47</v>
      </c>
      <c r="BN49">
        <v>1048</v>
      </c>
      <c r="BO49">
        <v>45635</v>
      </c>
      <c r="BP49" t="str">
        <v>North</v>
      </c>
      <c r="BQ49" t="str">
        <v>Megha</v>
      </c>
      <c r="BR49" t="str">
        <v>Customer_36</v>
      </c>
      <c r="BS49" t="str">
        <v>Electronics</v>
      </c>
      <c r="BT49" t="str">
        <v>Monitor</v>
      </c>
      <c r="BU49">
        <v>9</v>
      </c>
      <c r="BV49">
        <v>6519</v>
      </c>
      <c r="BW49">
        <v>5</v>
      </c>
      <c r="BX49">
        <v>55737.45</v>
      </c>
      <c r="BY49">
        <v>31830.33</v>
      </c>
      <c r="BZ49">
        <v>23907.119999999999</v>
      </c>
      <c r="CA49" t="str">
        <v>Card</v>
      </c>
      <c r="CB49">
        <v>6</v>
      </c>
      <c r="CC49">
        <v>4.2</v>
      </c>
      <c r="CD49" t="b">
        <f>COUNTIF(Sales_Data!E:E,Sales_Data!E49)&gt;1</f>
        <v>1</v>
      </c>
      <c r="CE49">
        <f>SUM(Sales_Data!$K$2:'Sales_Data'!K49)</f>
        <v>10850224.349999998</v>
      </c>
      <c r="CF49">
        <f t="shared" si="13"/>
        <v>505896.95999999996</v>
      </c>
      <c r="CG49" t="str">
        <f>CHOOSE(MATCH(C49,{"North","West","South","East"},0),"Zone 1","Zone 2","Zone 3","Zone 4")</f>
        <v>Zone 4</v>
      </c>
      <c r="CH49" t="str" cm="1">
        <f t="array" ref="CH49">_xlfn.SWITCH(N49,"Card","Card Payment","UPI", "UPI Payment","Cash","Cash Payment","NetBanking", "NetBanking Payment", "Unknown")</f>
        <v>Card Payment</v>
      </c>
      <c r="CI49" t="str" cm="1">
        <f t="array" ref="CI49">_xlfn.IFS(Sales_Data!J49&lt;=5,"Low",Sales_Data!J49&lt;=10,"Medium",Sales_Data!J49&gt;10,"High")</f>
        <v>High</v>
      </c>
    </row>
    <row r="50" spans="1:87" x14ac:dyDescent="0.3">
      <c r="A50">
        <v>1050</v>
      </c>
      <c r="B50" s="1">
        <v>45601</v>
      </c>
      <c r="C50" t="s">
        <v>22</v>
      </c>
      <c r="D50" t="s">
        <v>42</v>
      </c>
      <c r="E50" t="s">
        <v>74</v>
      </c>
      <c r="F50" t="s">
        <v>25</v>
      </c>
      <c r="G50" t="s">
        <v>30</v>
      </c>
      <c r="H50">
        <v>12</v>
      </c>
      <c r="I50">
        <v>35537</v>
      </c>
      <c r="J50">
        <v>10</v>
      </c>
      <c r="K50">
        <v>383799.6</v>
      </c>
      <c r="L50">
        <v>291454.81</v>
      </c>
      <c r="M50">
        <v>92344.79</v>
      </c>
      <c r="N50" t="s">
        <v>21</v>
      </c>
      <c r="O50">
        <v>3</v>
      </c>
      <c r="P50">
        <v>3.6</v>
      </c>
      <c r="Q50">
        <f t="shared" si="1"/>
        <v>66</v>
      </c>
      <c r="R50" t="str">
        <f t="shared" si="2"/>
        <v>Desk</v>
      </c>
      <c r="S50" t="e">
        <f t="shared" si="3"/>
        <v>#N/A</v>
      </c>
      <c r="T50">
        <v>45581</v>
      </c>
      <c r="U50" t="str">
        <v>West</v>
      </c>
      <c r="V50" t="str">
        <v>Aman</v>
      </c>
      <c r="W50" t="str">
        <v>Customer_30</v>
      </c>
      <c r="X50" t="str">
        <v>Electronics</v>
      </c>
      <c r="Y50" t="str">
        <v>Phone</v>
      </c>
      <c r="Z50">
        <v>9</v>
      </c>
      <c r="AA50">
        <v>46174</v>
      </c>
      <c r="AB50">
        <v>15</v>
      </c>
      <c r="AC50">
        <v>353231.1</v>
      </c>
      <c r="AD50">
        <v>286805.19</v>
      </c>
      <c r="AE50">
        <v>66425.91</v>
      </c>
      <c r="AF50" t="str">
        <v>Cash</v>
      </c>
      <c r="AG50">
        <v>9</v>
      </c>
      <c r="AH50">
        <v>4.9000000000000004</v>
      </c>
      <c r="AI50">
        <v>86</v>
      </c>
      <c r="AJ50" t="str">
        <v>Phone</v>
      </c>
      <c r="AK50">
        <v>1127</v>
      </c>
      <c r="AL50">
        <v>45459</v>
      </c>
      <c r="AM50" t="str">
        <v>East</v>
      </c>
      <c r="AN50" t="str">
        <v>Sneha</v>
      </c>
      <c r="AO50" t="str">
        <v>Customer_47</v>
      </c>
      <c r="AP50" t="str">
        <v>Electronics</v>
      </c>
      <c r="AQ50" t="str">
        <v>Chair</v>
      </c>
      <c r="AR50">
        <v>17</v>
      </c>
      <c r="AS50">
        <v>22457</v>
      </c>
      <c r="AT50">
        <v>20</v>
      </c>
      <c r="AU50">
        <v>305415.2</v>
      </c>
      <c r="AV50">
        <v>193951.39</v>
      </c>
      <c r="AW50">
        <v>111463.81</v>
      </c>
      <c r="AX50" t="str">
        <v>UPI</v>
      </c>
      <c r="AY50">
        <v>3</v>
      </c>
      <c r="AZ50">
        <v>4.5</v>
      </c>
      <c r="BA50">
        <v>48</v>
      </c>
      <c r="BB50" t="str">
        <v>Chair</v>
      </c>
      <c r="BC50" s="6">
        <f t="shared" si="4"/>
        <v>4</v>
      </c>
      <c r="BD50" t="str">
        <f t="shared" si="5"/>
        <v/>
      </c>
      <c r="BE50" s="8">
        <f t="shared" si="6"/>
        <v>0.2406067906271919</v>
      </c>
      <c r="BF50" t="str">
        <v>Customer_21</v>
      </c>
      <c r="BG50" t="str">
        <f t="shared" si="7"/>
        <v>South-Desk</v>
      </c>
      <c r="BH50">
        <f t="shared" si="8"/>
        <v>2024</v>
      </c>
      <c r="BI50" t="str">
        <f t="shared" si="9"/>
        <v>November</v>
      </c>
      <c r="BJ50">
        <f t="shared" ca="1" si="0"/>
        <v>432</v>
      </c>
      <c r="BK50" s="8">
        <f t="shared" si="10"/>
        <v>0.2406067906271919</v>
      </c>
      <c r="BL50">
        <f t="shared" si="11"/>
        <v>13233</v>
      </c>
      <c r="BM50">
        <f t="shared" si="12"/>
        <v>50</v>
      </c>
      <c r="BN50">
        <v>1049</v>
      </c>
      <c r="BO50">
        <v>45355</v>
      </c>
      <c r="BP50" t="str">
        <v>East</v>
      </c>
      <c r="BQ50" t="str">
        <v>Karan</v>
      </c>
      <c r="BR50" t="str">
        <v>Customer_45</v>
      </c>
      <c r="BS50" t="str">
        <v>Office Supplies</v>
      </c>
      <c r="BT50" t="str">
        <v>Phone</v>
      </c>
      <c r="BU50">
        <v>16</v>
      </c>
      <c r="BV50">
        <v>34368</v>
      </c>
      <c r="BW50">
        <v>20</v>
      </c>
      <c r="BX50">
        <v>439910.40000000002</v>
      </c>
      <c r="BY50">
        <v>292665.15999999997</v>
      </c>
      <c r="BZ50">
        <v>147245.24</v>
      </c>
      <c r="CA50" t="str">
        <v>Card</v>
      </c>
      <c r="CB50">
        <v>4</v>
      </c>
      <c r="CC50">
        <v>3.2</v>
      </c>
      <c r="CD50" t="b">
        <f>COUNTIF(Sales_Data!E:E,Sales_Data!E50)&gt;1</f>
        <v>1</v>
      </c>
      <c r="CE50">
        <f>SUM(Sales_Data!$K$2:'Sales_Data'!K50)</f>
        <v>11234023.949999997</v>
      </c>
      <c r="CF50">
        <f t="shared" si="13"/>
        <v>441369.53999999992</v>
      </c>
      <c r="CG50" t="str">
        <f>CHOOSE(MATCH(C50,{"North","West","South","East"},0),"Zone 1","Zone 2","Zone 3","Zone 4")</f>
        <v>Zone 3</v>
      </c>
      <c r="CH50" t="str" cm="1">
        <f t="array" ref="CH50">_xlfn.SWITCH(N50,"Card","Card Payment","UPI", "UPI Payment","Cash","Cash Payment","NetBanking", "NetBanking Payment", "Unknown")</f>
        <v>Card Payment</v>
      </c>
      <c r="CI50" t="str" cm="1">
        <f t="array" ref="CI50">_xlfn.IFS(Sales_Data!J50&lt;=5,"Low",Sales_Data!J50&lt;=10,"Medium",Sales_Data!J50&gt;10,"High")</f>
        <v>Medium</v>
      </c>
    </row>
    <row r="51" spans="1:87" x14ac:dyDescent="0.3">
      <c r="A51">
        <v>1051</v>
      </c>
      <c r="B51" s="1">
        <v>45336</v>
      </c>
      <c r="C51" t="s">
        <v>16</v>
      </c>
      <c r="D51" t="s">
        <v>28</v>
      </c>
      <c r="E51" t="s">
        <v>24</v>
      </c>
      <c r="F51" t="s">
        <v>35</v>
      </c>
      <c r="G51" t="s">
        <v>30</v>
      </c>
      <c r="H51">
        <v>14</v>
      </c>
      <c r="I51">
        <v>42463</v>
      </c>
      <c r="J51">
        <v>0</v>
      </c>
      <c r="K51">
        <v>594482</v>
      </c>
      <c r="L51">
        <v>387207.02</v>
      </c>
      <c r="M51">
        <v>207274.98</v>
      </c>
      <c r="N51" t="s">
        <v>21</v>
      </c>
      <c r="O51">
        <v>10</v>
      </c>
      <c r="P51">
        <v>4.2</v>
      </c>
      <c r="Q51">
        <f t="shared" si="1"/>
        <v>11</v>
      </c>
      <c r="R51" t="str">
        <f t="shared" si="2"/>
        <v>Desk</v>
      </c>
      <c r="S51" t="e">
        <f t="shared" si="3"/>
        <v>#N/A</v>
      </c>
      <c r="T51">
        <v>45425</v>
      </c>
      <c r="U51" t="str">
        <v>North</v>
      </c>
      <c r="V51" t="str">
        <v>Arjun</v>
      </c>
      <c r="W51" t="str">
        <v>Customer_37</v>
      </c>
      <c r="X51" t="str">
        <v>Electronics</v>
      </c>
      <c r="Y51" t="str">
        <v>Monitor</v>
      </c>
      <c r="Z51">
        <v>15</v>
      </c>
      <c r="AA51">
        <v>20968</v>
      </c>
      <c r="AB51">
        <v>20</v>
      </c>
      <c r="AC51">
        <v>251616</v>
      </c>
      <c r="AD51">
        <v>208981.6</v>
      </c>
      <c r="AE51">
        <v>42634.400000000001</v>
      </c>
      <c r="AF51" t="str">
        <v>NetBanking</v>
      </c>
      <c r="AG51">
        <v>8</v>
      </c>
      <c r="AH51">
        <v>2.8</v>
      </c>
      <c r="AI51">
        <v>117</v>
      </c>
      <c r="AJ51" t="str">
        <v>Monitor</v>
      </c>
      <c r="AK51">
        <v>1094</v>
      </c>
      <c r="AL51">
        <v>45517</v>
      </c>
      <c r="AM51" t="str">
        <v>North</v>
      </c>
      <c r="AN51" t="str">
        <v>Arjun</v>
      </c>
      <c r="AO51" t="str">
        <v>Customer_17</v>
      </c>
      <c r="AP51" t="str">
        <v>Electronics</v>
      </c>
      <c r="AQ51" t="str">
        <v>Keyboard</v>
      </c>
      <c r="AR51">
        <v>13</v>
      </c>
      <c r="AS51">
        <v>22612</v>
      </c>
      <c r="AT51">
        <v>5</v>
      </c>
      <c r="AU51">
        <v>279258.2</v>
      </c>
      <c r="AV51">
        <v>168584.77</v>
      </c>
      <c r="AW51">
        <v>110673.43</v>
      </c>
      <c r="AX51" t="str">
        <v>NetBanking</v>
      </c>
      <c r="AY51">
        <v>6</v>
      </c>
      <c r="AZ51">
        <v>2.8</v>
      </c>
      <c r="BA51">
        <v>49</v>
      </c>
      <c r="BB51" t="str">
        <v>Keyboard</v>
      </c>
      <c r="BC51" s="6">
        <f t="shared" si="4"/>
        <v>1</v>
      </c>
      <c r="BD51" t="str">
        <f t="shared" si="5"/>
        <v>Bonus!</v>
      </c>
      <c r="BE51" s="8">
        <f t="shared" si="6"/>
        <v>0.34866485444470985</v>
      </c>
      <c r="BF51" t="str">
        <v>Customer_22</v>
      </c>
      <c r="BG51" t="str">
        <f t="shared" si="7"/>
        <v>West-Desk</v>
      </c>
      <c r="BH51">
        <f t="shared" si="8"/>
        <v>2024</v>
      </c>
      <c r="BI51" t="str">
        <f t="shared" si="9"/>
        <v>February</v>
      </c>
      <c r="BJ51">
        <f t="shared" ca="1" si="0"/>
        <v>621</v>
      </c>
      <c r="BK51" s="8">
        <f t="shared" si="10"/>
        <v>0.34866485444470985</v>
      </c>
      <c r="BL51">
        <f t="shared" si="11"/>
        <v>13233</v>
      </c>
      <c r="BM51">
        <f t="shared" si="12"/>
        <v>3</v>
      </c>
      <c r="BN51">
        <v>1050</v>
      </c>
      <c r="BO51">
        <v>45601</v>
      </c>
      <c r="BP51" t="str">
        <v>South</v>
      </c>
      <c r="BQ51" t="str">
        <v>Priya</v>
      </c>
      <c r="BR51" t="str">
        <v>Customer_34</v>
      </c>
      <c r="BS51" t="str">
        <v>Office Supplies</v>
      </c>
      <c r="BT51" t="str">
        <v>Desk</v>
      </c>
      <c r="BU51">
        <v>12</v>
      </c>
      <c r="BV51">
        <v>35537</v>
      </c>
      <c r="BW51">
        <v>10</v>
      </c>
      <c r="BX51">
        <v>383799.6</v>
      </c>
      <c r="BY51">
        <v>291454.81</v>
      </c>
      <c r="BZ51">
        <v>92344.79</v>
      </c>
      <c r="CA51" t="str">
        <v>Card</v>
      </c>
      <c r="CB51">
        <v>3</v>
      </c>
      <c r="CC51">
        <v>3.6</v>
      </c>
      <c r="CD51" t="b">
        <f>COUNTIF(Sales_Data!E:E,Sales_Data!E51)&gt;1</f>
        <v>1</v>
      </c>
      <c r="CE51">
        <f>SUM(Sales_Data!$K$2:'Sales_Data'!K51)</f>
        <v>11828505.949999997</v>
      </c>
      <c r="CF51">
        <f t="shared" si="13"/>
        <v>683654.29999999993</v>
      </c>
      <c r="CG51" t="str">
        <f>CHOOSE(MATCH(C51,{"North","West","South","East"},0),"Zone 1","Zone 2","Zone 3","Zone 4")</f>
        <v>Zone 2</v>
      </c>
      <c r="CH51" t="str" cm="1">
        <f t="array" ref="CH51">_xlfn.SWITCH(N51,"Card","Card Payment","UPI", "UPI Payment","Cash","Cash Payment","NetBanking", "NetBanking Payment", "Unknown")</f>
        <v>Card Payment</v>
      </c>
      <c r="CI51" t="str" cm="1">
        <f t="array" ref="CI51">_xlfn.IFS(Sales_Data!J51&lt;=5,"Low",Sales_Data!J51&lt;=10,"Medium",Sales_Data!J51&gt;10,"High")</f>
        <v>Low</v>
      </c>
    </row>
    <row r="52" spans="1:87" x14ac:dyDescent="0.3">
      <c r="A52">
        <v>1052</v>
      </c>
      <c r="B52" s="1">
        <v>45754</v>
      </c>
      <c r="C52" t="s">
        <v>16</v>
      </c>
      <c r="D52" t="s">
        <v>28</v>
      </c>
      <c r="E52" t="s">
        <v>75</v>
      </c>
      <c r="F52" t="s">
        <v>35</v>
      </c>
      <c r="G52" t="s">
        <v>44</v>
      </c>
      <c r="H52">
        <v>6</v>
      </c>
      <c r="I52">
        <v>28271</v>
      </c>
      <c r="J52">
        <v>20</v>
      </c>
      <c r="K52">
        <v>135700.79999999999</v>
      </c>
      <c r="L52">
        <v>86148.17</v>
      </c>
      <c r="M52">
        <v>49552.63</v>
      </c>
      <c r="N52" t="s">
        <v>37</v>
      </c>
      <c r="O52">
        <v>4</v>
      </c>
      <c r="P52">
        <v>4.0999999999999996</v>
      </c>
      <c r="Q52">
        <f t="shared" si="1"/>
        <v>107</v>
      </c>
      <c r="R52" t="str">
        <f t="shared" si="2"/>
        <v>Printer</v>
      </c>
      <c r="S52" t="e">
        <f t="shared" si="3"/>
        <v>#N/A</v>
      </c>
      <c r="T52">
        <v>45683</v>
      </c>
      <c r="U52" t="str">
        <v>South</v>
      </c>
      <c r="V52" t="str">
        <v>Arjun</v>
      </c>
      <c r="W52" t="str">
        <v>Customer_21</v>
      </c>
      <c r="X52" t="str">
        <v>Electronics</v>
      </c>
      <c r="Y52" t="str">
        <v>Desk</v>
      </c>
      <c r="Z52">
        <v>8</v>
      </c>
      <c r="AA52">
        <v>48000</v>
      </c>
      <c r="AB52">
        <v>15</v>
      </c>
      <c r="AC52">
        <v>326400</v>
      </c>
      <c r="AD52">
        <v>206323.06</v>
      </c>
      <c r="AE52">
        <v>120076.94</v>
      </c>
      <c r="AF52" t="str">
        <v>Card</v>
      </c>
      <c r="AG52">
        <v>6</v>
      </c>
      <c r="AH52">
        <v>4.3</v>
      </c>
      <c r="AI52">
        <v>41</v>
      </c>
      <c r="AJ52" t="str">
        <v>Desk</v>
      </c>
      <c r="AK52">
        <v>1019</v>
      </c>
      <c r="AL52">
        <v>45437</v>
      </c>
      <c r="AM52" t="str">
        <v>South</v>
      </c>
      <c r="AN52" t="str">
        <v>Megha</v>
      </c>
      <c r="AO52" t="str">
        <v>Customer_42</v>
      </c>
      <c r="AP52" t="str">
        <v>Office Supplies</v>
      </c>
      <c r="AQ52" t="str">
        <v>Laptop</v>
      </c>
      <c r="AR52">
        <v>20</v>
      </c>
      <c r="AS52">
        <v>35904</v>
      </c>
      <c r="AT52">
        <v>0</v>
      </c>
      <c r="AU52">
        <v>718080</v>
      </c>
      <c r="AV52">
        <v>608494.75</v>
      </c>
      <c r="AW52">
        <v>109585.25</v>
      </c>
      <c r="AX52" t="str">
        <v>Card</v>
      </c>
      <c r="AY52">
        <v>8</v>
      </c>
      <c r="AZ52">
        <v>3</v>
      </c>
      <c r="BA52">
        <v>50</v>
      </c>
      <c r="BB52" t="str">
        <v>Laptop</v>
      </c>
      <c r="BC52" s="6">
        <f t="shared" si="4"/>
        <v>1</v>
      </c>
      <c r="BD52" t="str">
        <f t="shared" si="5"/>
        <v/>
      </c>
      <c r="BE52" s="8">
        <f t="shared" si="6"/>
        <v>0.36516092757006591</v>
      </c>
      <c r="BF52" t="str">
        <v>Customer_22</v>
      </c>
      <c r="BG52" t="str">
        <f t="shared" si="7"/>
        <v>West-Printer</v>
      </c>
      <c r="BH52">
        <f t="shared" si="8"/>
        <v>2025</v>
      </c>
      <c r="BI52" t="str">
        <f t="shared" si="9"/>
        <v>April</v>
      </c>
      <c r="BJ52">
        <f t="shared" ca="1" si="0"/>
        <v>323</v>
      </c>
      <c r="BK52" s="8">
        <f t="shared" si="10"/>
        <v>0.36516092757006591</v>
      </c>
      <c r="BL52">
        <f t="shared" si="11"/>
        <v>1561</v>
      </c>
      <c r="BM52">
        <f t="shared" si="12"/>
        <v>52</v>
      </c>
      <c r="BN52">
        <v>1051</v>
      </c>
      <c r="BO52">
        <v>45336</v>
      </c>
      <c r="BP52" t="str">
        <v>West</v>
      </c>
      <c r="BQ52" t="str">
        <v>Arjun</v>
      </c>
      <c r="BR52" t="str">
        <v>Customer_49</v>
      </c>
      <c r="BS52" t="str">
        <v>Furniture</v>
      </c>
      <c r="BT52" t="str">
        <v>Desk</v>
      </c>
      <c r="BU52">
        <v>14</v>
      </c>
      <c r="BV52">
        <v>42463</v>
      </c>
      <c r="BW52">
        <v>0</v>
      </c>
      <c r="BX52">
        <v>594482</v>
      </c>
      <c r="BY52">
        <v>387207.02</v>
      </c>
      <c r="BZ52">
        <v>207274.98</v>
      </c>
      <c r="CA52" t="str">
        <v>Card</v>
      </c>
      <c r="CB52">
        <v>10</v>
      </c>
      <c r="CC52">
        <v>4.2</v>
      </c>
      <c r="CD52" t="b">
        <f>COUNTIF(Sales_Data!E:E,Sales_Data!E52)&gt;1</f>
        <v>1</v>
      </c>
      <c r="CE52">
        <f>SUM(Sales_Data!$K$2:'Sales_Data'!K52)</f>
        <v>11964206.749999998</v>
      </c>
      <c r="CF52">
        <f t="shared" si="13"/>
        <v>156055.91999999998</v>
      </c>
      <c r="CG52" t="str">
        <f>CHOOSE(MATCH(C52,{"North","West","South","East"},0),"Zone 1","Zone 2","Zone 3","Zone 4")</f>
        <v>Zone 2</v>
      </c>
      <c r="CH52" t="str" cm="1">
        <f t="array" ref="CH52">_xlfn.SWITCH(N52,"Card","Card Payment","UPI", "UPI Payment","Cash","Cash Payment","NetBanking", "NetBanking Payment", "Unknown")</f>
        <v>Cash Payment</v>
      </c>
      <c r="CI52" t="str" cm="1">
        <f t="array" ref="CI52">_xlfn.IFS(Sales_Data!J52&lt;=5,"Low",Sales_Data!J52&lt;=10,"Medium",Sales_Data!J52&gt;10,"High")</f>
        <v>High</v>
      </c>
    </row>
    <row r="53" spans="1:87" x14ac:dyDescent="0.3">
      <c r="A53">
        <v>1053</v>
      </c>
      <c r="B53" s="1">
        <v>45372</v>
      </c>
      <c r="C53" t="s">
        <v>33</v>
      </c>
      <c r="D53" t="s">
        <v>31</v>
      </c>
      <c r="E53" t="s">
        <v>61</v>
      </c>
      <c r="F53" t="s">
        <v>25</v>
      </c>
      <c r="G53" t="s">
        <v>47</v>
      </c>
      <c r="H53">
        <v>17</v>
      </c>
      <c r="I53">
        <v>31105</v>
      </c>
      <c r="J53">
        <v>0</v>
      </c>
      <c r="K53">
        <v>528785</v>
      </c>
      <c r="L53">
        <v>443466.77</v>
      </c>
      <c r="M53">
        <v>85318.23</v>
      </c>
      <c r="N53" t="s">
        <v>27</v>
      </c>
      <c r="O53">
        <v>4</v>
      </c>
      <c r="P53">
        <v>2.9</v>
      </c>
      <c r="Q53">
        <f t="shared" si="1"/>
        <v>72</v>
      </c>
      <c r="R53" t="str">
        <f t="shared" si="2"/>
        <v>Monitor</v>
      </c>
      <c r="S53" t="e">
        <f t="shared" si="3"/>
        <v>#N/A</v>
      </c>
      <c r="T53">
        <v>45384</v>
      </c>
      <c r="U53" t="str">
        <v>South</v>
      </c>
      <c r="V53" t="str">
        <v>Priya</v>
      </c>
      <c r="W53" t="str">
        <v>Customer_39</v>
      </c>
      <c r="X53" t="str">
        <v>Office Supplies</v>
      </c>
      <c r="Y53" t="str">
        <v>Printer</v>
      </c>
      <c r="Z53">
        <v>10</v>
      </c>
      <c r="AA53">
        <v>44772</v>
      </c>
      <c r="AB53">
        <v>20</v>
      </c>
      <c r="AC53">
        <v>358176</v>
      </c>
      <c r="AD53">
        <v>251521.29</v>
      </c>
      <c r="AE53">
        <v>106654.71</v>
      </c>
      <c r="AF53" t="str">
        <v>UPI</v>
      </c>
      <c r="AG53">
        <v>6</v>
      </c>
      <c r="AH53">
        <v>4.7</v>
      </c>
      <c r="AI53">
        <v>54</v>
      </c>
      <c r="AJ53" t="str">
        <v>Printer</v>
      </c>
      <c r="AK53">
        <v>1076</v>
      </c>
      <c r="AL53">
        <v>45564</v>
      </c>
      <c r="AM53" t="str">
        <v>South</v>
      </c>
      <c r="AN53" t="str">
        <v>Neha</v>
      </c>
      <c r="AO53" t="str">
        <v>Customer_38</v>
      </c>
      <c r="AP53" t="str">
        <v>Office Supplies</v>
      </c>
      <c r="AQ53" t="str">
        <v>Monitor</v>
      </c>
      <c r="AR53">
        <v>15</v>
      </c>
      <c r="AS53">
        <v>35699</v>
      </c>
      <c r="AT53">
        <v>0</v>
      </c>
      <c r="AU53">
        <v>535485</v>
      </c>
      <c r="AV53">
        <v>427200.9</v>
      </c>
      <c r="AW53">
        <v>108284.1</v>
      </c>
      <c r="AX53" t="str">
        <v>UPI</v>
      </c>
      <c r="AY53">
        <v>1</v>
      </c>
      <c r="AZ53">
        <v>3.7</v>
      </c>
      <c r="BA53">
        <v>51</v>
      </c>
      <c r="BB53" t="str">
        <v>Monitor</v>
      </c>
      <c r="BC53" s="6">
        <f t="shared" si="4"/>
        <v>1</v>
      </c>
      <c r="BD53" t="str">
        <f t="shared" si="5"/>
        <v/>
      </c>
      <c r="BE53" s="8">
        <f t="shared" si="6"/>
        <v>0.16134767438561987</v>
      </c>
      <c r="BF53" t="str">
        <v>Customer_22</v>
      </c>
      <c r="BG53" t="str">
        <f t="shared" si="7"/>
        <v>East-Monitor</v>
      </c>
      <c r="BH53">
        <f t="shared" si="8"/>
        <v>2024</v>
      </c>
      <c r="BI53" t="str">
        <f t="shared" si="9"/>
        <v>March</v>
      </c>
      <c r="BJ53">
        <f t="shared" ca="1" si="0"/>
        <v>595</v>
      </c>
      <c r="BK53" s="8">
        <f t="shared" si="10"/>
        <v>0.16134767438561987</v>
      </c>
      <c r="BL53">
        <f t="shared" si="11"/>
        <v>26687</v>
      </c>
      <c r="BM53">
        <f t="shared" si="12"/>
        <v>24</v>
      </c>
      <c r="BN53">
        <v>1052</v>
      </c>
      <c r="BO53">
        <v>45754</v>
      </c>
      <c r="BP53" t="str">
        <v>West</v>
      </c>
      <c r="BQ53" t="str">
        <v>Arjun</v>
      </c>
      <c r="BR53" t="str">
        <v>Customer_8</v>
      </c>
      <c r="BS53" t="str">
        <v>Furniture</v>
      </c>
      <c r="BT53" t="str">
        <v>Printer</v>
      </c>
      <c r="BU53">
        <v>6</v>
      </c>
      <c r="BV53">
        <v>28271</v>
      </c>
      <c r="BW53">
        <v>20</v>
      </c>
      <c r="BX53">
        <v>135700.79999999999</v>
      </c>
      <c r="BY53">
        <v>86148.17</v>
      </c>
      <c r="BZ53">
        <v>49552.63</v>
      </c>
      <c r="CA53" t="str">
        <v>Cash</v>
      </c>
      <c r="CB53">
        <v>4</v>
      </c>
      <c r="CC53">
        <v>4.0999999999999996</v>
      </c>
      <c r="CD53" t="b">
        <f>COUNTIF(Sales_Data!E:E,Sales_Data!E53)&gt;1</f>
        <v>1</v>
      </c>
      <c r="CE53">
        <f>SUM(Sales_Data!$K$2:'Sales_Data'!K53)</f>
        <v>12492991.749999998</v>
      </c>
      <c r="CF53">
        <f t="shared" si="13"/>
        <v>608102.75</v>
      </c>
      <c r="CG53" t="str">
        <f>CHOOSE(MATCH(C53,{"North","West","South","East"},0),"Zone 1","Zone 2","Zone 3","Zone 4")</f>
        <v>Zone 4</v>
      </c>
      <c r="CH53" t="str" cm="1">
        <f t="array" ref="CH53">_xlfn.SWITCH(N53,"Card","Card Payment","UPI", "UPI Payment","Cash","Cash Payment","NetBanking", "NetBanking Payment", "Unknown")</f>
        <v>UPI Payment</v>
      </c>
      <c r="CI53" t="str" cm="1">
        <f t="array" ref="CI53">_xlfn.IFS(Sales_Data!J53&lt;=5,"Low",Sales_Data!J53&lt;=10,"Medium",Sales_Data!J53&gt;10,"High")</f>
        <v>Low</v>
      </c>
    </row>
    <row r="54" spans="1:87" x14ac:dyDescent="0.3">
      <c r="A54">
        <v>1054</v>
      </c>
      <c r="B54" s="1">
        <v>45506</v>
      </c>
      <c r="C54" t="s">
        <v>16</v>
      </c>
      <c r="D54" t="s">
        <v>51</v>
      </c>
      <c r="E54" t="s">
        <v>73</v>
      </c>
      <c r="F54" t="s">
        <v>25</v>
      </c>
      <c r="G54" t="s">
        <v>44</v>
      </c>
      <c r="H54">
        <v>12</v>
      </c>
      <c r="I54">
        <v>36759</v>
      </c>
      <c r="J54">
        <v>0</v>
      </c>
      <c r="K54">
        <v>441108</v>
      </c>
      <c r="L54">
        <v>309458.3</v>
      </c>
      <c r="M54">
        <v>131649.70000000001</v>
      </c>
      <c r="N54" t="s">
        <v>48</v>
      </c>
      <c r="O54">
        <v>2</v>
      </c>
      <c r="P54">
        <v>4.9000000000000004</v>
      </c>
      <c r="Q54">
        <f t="shared" si="1"/>
        <v>34</v>
      </c>
      <c r="R54" t="str">
        <f t="shared" si="2"/>
        <v>Printer</v>
      </c>
      <c r="S54" t="e">
        <f t="shared" si="3"/>
        <v>#N/A</v>
      </c>
      <c r="T54">
        <v>45500</v>
      </c>
      <c r="U54" t="str">
        <v>South</v>
      </c>
      <c r="V54" t="str">
        <v>Aman</v>
      </c>
      <c r="W54" t="str">
        <v>Customer_49</v>
      </c>
      <c r="X54" t="str">
        <v>Electronics</v>
      </c>
      <c r="Y54" t="str">
        <v>Desk</v>
      </c>
      <c r="Z54">
        <v>11</v>
      </c>
      <c r="AA54">
        <v>27318</v>
      </c>
      <c r="AB54">
        <v>20</v>
      </c>
      <c r="AC54">
        <v>240398.4</v>
      </c>
      <c r="AD54">
        <v>180570.62</v>
      </c>
      <c r="AE54">
        <v>59827.78</v>
      </c>
      <c r="AF54" t="str">
        <v>Cash</v>
      </c>
      <c r="AG54">
        <v>10</v>
      </c>
      <c r="AH54">
        <v>2.9</v>
      </c>
      <c r="AI54">
        <v>94</v>
      </c>
      <c r="AJ54" t="str">
        <v>Desk</v>
      </c>
      <c r="AK54">
        <v>1095</v>
      </c>
      <c r="AL54">
        <v>45617</v>
      </c>
      <c r="AM54" t="str">
        <v>East</v>
      </c>
      <c r="AN54" t="str">
        <v>Neha</v>
      </c>
      <c r="AO54" t="str">
        <v>Customer_13</v>
      </c>
      <c r="AP54" t="str">
        <v>Office Supplies</v>
      </c>
      <c r="AQ54" t="str">
        <v>Keyboard</v>
      </c>
      <c r="AR54">
        <v>13</v>
      </c>
      <c r="AS54">
        <v>33311</v>
      </c>
      <c r="AT54">
        <v>20</v>
      </c>
      <c r="AU54">
        <v>346434.4</v>
      </c>
      <c r="AV54">
        <v>238485.76000000001</v>
      </c>
      <c r="AW54">
        <v>107948.64</v>
      </c>
      <c r="AX54" t="str">
        <v>UPI</v>
      </c>
      <c r="AY54">
        <v>1</v>
      </c>
      <c r="AZ54">
        <v>4.9000000000000004</v>
      </c>
      <c r="BA54">
        <v>52</v>
      </c>
      <c r="BB54" t="str">
        <v>Keyboard</v>
      </c>
      <c r="BC54" s="6">
        <f t="shared" si="4"/>
        <v>3</v>
      </c>
      <c r="BD54" t="str">
        <f t="shared" si="5"/>
        <v>Bonus!</v>
      </c>
      <c r="BE54" s="8">
        <f t="shared" si="6"/>
        <v>0.29845230646463</v>
      </c>
      <c r="BF54" t="str">
        <v>Customer_22</v>
      </c>
      <c r="BG54" t="str">
        <f t="shared" si="7"/>
        <v>West-Printer</v>
      </c>
      <c r="BH54">
        <f t="shared" si="8"/>
        <v>2024</v>
      </c>
      <c r="BI54" t="str">
        <f t="shared" si="9"/>
        <v>August</v>
      </c>
      <c r="BJ54">
        <f t="shared" ca="1" si="0"/>
        <v>499</v>
      </c>
      <c r="BK54" s="8">
        <f t="shared" si="10"/>
        <v>0.29845230646463</v>
      </c>
      <c r="BL54">
        <f t="shared" si="11"/>
        <v>1561</v>
      </c>
      <c r="BM54">
        <f t="shared" si="12"/>
        <v>47</v>
      </c>
      <c r="BN54">
        <v>1053</v>
      </c>
      <c r="BO54">
        <v>45372</v>
      </c>
      <c r="BP54" t="str">
        <v>East</v>
      </c>
      <c r="BQ54" t="str">
        <v>Neha</v>
      </c>
      <c r="BR54" t="str">
        <v>Customer_11</v>
      </c>
      <c r="BS54" t="str">
        <v>Office Supplies</v>
      </c>
      <c r="BT54" t="str">
        <v>Monitor</v>
      </c>
      <c r="BU54">
        <v>17</v>
      </c>
      <c r="BV54">
        <v>31105</v>
      </c>
      <c r="BW54">
        <v>0</v>
      </c>
      <c r="BX54">
        <v>528785</v>
      </c>
      <c r="BY54">
        <v>443466.77</v>
      </c>
      <c r="BZ54">
        <v>85318.23</v>
      </c>
      <c r="CA54" t="str">
        <v>UPI</v>
      </c>
      <c r="CB54">
        <v>4</v>
      </c>
      <c r="CC54">
        <v>2.9</v>
      </c>
      <c r="CD54" t="b">
        <f>COUNTIF(Sales_Data!E:E,Sales_Data!E54)&gt;1</f>
        <v>1</v>
      </c>
      <c r="CE54">
        <f>SUM(Sales_Data!$K$2:'Sales_Data'!K54)</f>
        <v>12934099.749999998</v>
      </c>
      <c r="CF54">
        <f t="shared" si="13"/>
        <v>507274.19999999995</v>
      </c>
      <c r="CG54" t="str">
        <f>CHOOSE(MATCH(C54,{"North","West","South","East"},0),"Zone 1","Zone 2","Zone 3","Zone 4")</f>
        <v>Zone 2</v>
      </c>
      <c r="CH54" t="str" cm="1">
        <f t="array" ref="CH54">_xlfn.SWITCH(N54,"Card","Card Payment","UPI", "UPI Payment","Cash","Cash Payment","NetBanking", "NetBanking Payment", "Unknown")</f>
        <v>NetBanking Payment</v>
      </c>
      <c r="CI54" t="str" cm="1">
        <f t="array" ref="CI54">_xlfn.IFS(Sales_Data!J54&lt;=5,"Low",Sales_Data!J54&lt;=10,"Medium",Sales_Data!J54&gt;10,"High")</f>
        <v>Low</v>
      </c>
    </row>
    <row r="55" spans="1:87" x14ac:dyDescent="0.3">
      <c r="A55">
        <v>1055</v>
      </c>
      <c r="B55" s="1">
        <v>45398</v>
      </c>
      <c r="C55" t="s">
        <v>50</v>
      </c>
      <c r="D55" t="s">
        <v>51</v>
      </c>
      <c r="E55" t="s">
        <v>74</v>
      </c>
      <c r="F55" t="s">
        <v>19</v>
      </c>
      <c r="G55" t="s">
        <v>44</v>
      </c>
      <c r="H55">
        <v>8</v>
      </c>
      <c r="I55">
        <v>47404</v>
      </c>
      <c r="J55">
        <v>10</v>
      </c>
      <c r="K55">
        <v>341308.8</v>
      </c>
      <c r="L55">
        <v>203218.78</v>
      </c>
      <c r="M55">
        <v>138090.01999999999</v>
      </c>
      <c r="N55" t="s">
        <v>21</v>
      </c>
      <c r="O55">
        <v>10</v>
      </c>
      <c r="P55">
        <v>3.5</v>
      </c>
      <c r="Q55">
        <f t="shared" si="1"/>
        <v>30</v>
      </c>
      <c r="R55" t="str">
        <f t="shared" si="2"/>
        <v>Printer</v>
      </c>
      <c r="S55" t="e">
        <f t="shared" si="3"/>
        <v>#N/A</v>
      </c>
      <c r="T55">
        <v>45443</v>
      </c>
      <c r="U55" t="str">
        <v>South</v>
      </c>
      <c r="V55" t="str">
        <v>Neha</v>
      </c>
      <c r="W55" t="str">
        <v>Customer_37</v>
      </c>
      <c r="X55" t="str">
        <v>Furniture</v>
      </c>
      <c r="Y55" t="str">
        <v>Chair</v>
      </c>
      <c r="Z55">
        <v>9</v>
      </c>
      <c r="AA55">
        <v>42540</v>
      </c>
      <c r="AB55">
        <v>0</v>
      </c>
      <c r="AC55">
        <v>382860</v>
      </c>
      <c r="AD55">
        <v>290496.99</v>
      </c>
      <c r="AE55">
        <v>92363.01</v>
      </c>
      <c r="AF55" t="str">
        <v>UPI</v>
      </c>
      <c r="AG55">
        <v>7</v>
      </c>
      <c r="AH55">
        <v>3</v>
      </c>
      <c r="AI55">
        <v>65</v>
      </c>
      <c r="AJ55" t="str">
        <v>Chair</v>
      </c>
      <c r="AK55">
        <v>1072</v>
      </c>
      <c r="AL55">
        <v>45305</v>
      </c>
      <c r="AM55" t="str">
        <v>North</v>
      </c>
      <c r="AN55" t="str">
        <v>Neha</v>
      </c>
      <c r="AO55" t="str">
        <v>Customer_49</v>
      </c>
      <c r="AP55" t="str">
        <v>Office Supplies</v>
      </c>
      <c r="AQ55" t="str">
        <v>Chair</v>
      </c>
      <c r="AR55">
        <v>11</v>
      </c>
      <c r="AS55">
        <v>44624</v>
      </c>
      <c r="AT55">
        <v>20</v>
      </c>
      <c r="AU55">
        <v>392691.20000000001</v>
      </c>
      <c r="AV55">
        <v>285914.5</v>
      </c>
      <c r="AW55">
        <v>106776.7</v>
      </c>
      <c r="AX55" t="str">
        <v>NetBanking</v>
      </c>
      <c r="AY55">
        <v>6</v>
      </c>
      <c r="AZ55">
        <v>2.6</v>
      </c>
      <c r="BA55">
        <v>53</v>
      </c>
      <c r="BB55" t="str">
        <v>Chair</v>
      </c>
      <c r="BC55" s="6">
        <f t="shared" si="4"/>
        <v>1</v>
      </c>
      <c r="BD55" t="str">
        <f t="shared" si="5"/>
        <v>Bonus!</v>
      </c>
      <c r="BE55" s="8">
        <f t="shared" si="6"/>
        <v>0.40458968535238471</v>
      </c>
      <c r="BF55" t="str">
        <v>Customer_23</v>
      </c>
      <c r="BG55" t="str">
        <f t="shared" si="7"/>
        <v>North-Printer</v>
      </c>
      <c r="BH55">
        <f t="shared" si="8"/>
        <v>2024</v>
      </c>
      <c r="BI55" t="str">
        <f t="shared" si="9"/>
        <v>April</v>
      </c>
      <c r="BJ55">
        <f t="shared" ca="1" si="0"/>
        <v>577</v>
      </c>
      <c r="BK55" s="8">
        <f t="shared" si="10"/>
        <v>0.40458968535238471</v>
      </c>
      <c r="BL55">
        <f t="shared" si="11"/>
        <v>1561</v>
      </c>
      <c r="BM55">
        <f t="shared" si="12"/>
        <v>50</v>
      </c>
      <c r="BN55">
        <v>1054</v>
      </c>
      <c r="BO55">
        <v>45506</v>
      </c>
      <c r="BP55" t="str">
        <v>West</v>
      </c>
      <c r="BQ55" t="str">
        <v>Aman</v>
      </c>
      <c r="BR55" t="str">
        <v>Customer_45</v>
      </c>
      <c r="BS55" t="str">
        <v>Office Supplies</v>
      </c>
      <c r="BT55" t="str">
        <v>Printer</v>
      </c>
      <c r="BU55">
        <v>12</v>
      </c>
      <c r="BV55">
        <v>36759</v>
      </c>
      <c r="BW55">
        <v>0</v>
      </c>
      <c r="BX55">
        <v>441108</v>
      </c>
      <c r="BY55">
        <v>309458.3</v>
      </c>
      <c r="BZ55">
        <v>131649.70000000001</v>
      </c>
      <c r="CA55" t="str">
        <v>NetBanking</v>
      </c>
      <c r="CB55">
        <v>2</v>
      </c>
      <c r="CC55">
        <v>4.9000000000000004</v>
      </c>
      <c r="CD55" t="b">
        <f>COUNTIF(Sales_Data!E:E,Sales_Data!E55)&gt;1</f>
        <v>1</v>
      </c>
      <c r="CE55">
        <f>SUM(Sales_Data!$K$2:'Sales_Data'!K55)</f>
        <v>13275408.549999999</v>
      </c>
      <c r="CF55">
        <f t="shared" si="13"/>
        <v>392505.11999999994</v>
      </c>
      <c r="CG55" t="str">
        <f>CHOOSE(MATCH(C55,{"North","West","South","East"},0),"Zone 1","Zone 2","Zone 3","Zone 4")</f>
        <v>Zone 1</v>
      </c>
      <c r="CH55" t="str" cm="1">
        <f t="array" ref="CH55">_xlfn.SWITCH(N55,"Card","Card Payment","UPI", "UPI Payment","Cash","Cash Payment","NetBanking", "NetBanking Payment", "Unknown")</f>
        <v>Card Payment</v>
      </c>
      <c r="CI55" t="str" cm="1">
        <f t="array" ref="CI55">_xlfn.IFS(Sales_Data!J55&lt;=5,"Low",Sales_Data!J55&lt;=10,"Medium",Sales_Data!J55&gt;10,"High")</f>
        <v>Medium</v>
      </c>
    </row>
    <row r="56" spans="1:87" x14ac:dyDescent="0.3">
      <c r="A56">
        <v>1056</v>
      </c>
      <c r="B56" s="1">
        <v>45696</v>
      </c>
      <c r="C56" t="s">
        <v>22</v>
      </c>
      <c r="D56" t="s">
        <v>28</v>
      </c>
      <c r="E56" t="s">
        <v>54</v>
      </c>
      <c r="F56" t="s">
        <v>35</v>
      </c>
      <c r="G56" t="s">
        <v>41</v>
      </c>
      <c r="H56">
        <v>16</v>
      </c>
      <c r="I56">
        <v>2265</v>
      </c>
      <c r="J56">
        <v>0</v>
      </c>
      <c r="K56">
        <v>36240</v>
      </c>
      <c r="L56">
        <v>27967.15</v>
      </c>
      <c r="M56">
        <v>8272.85</v>
      </c>
      <c r="N56" t="s">
        <v>21</v>
      </c>
      <c r="O56">
        <v>3</v>
      </c>
      <c r="P56">
        <v>2.7</v>
      </c>
      <c r="Q56">
        <f t="shared" si="1"/>
        <v>178</v>
      </c>
      <c r="R56" t="str">
        <f t="shared" si="2"/>
        <v>Chair</v>
      </c>
      <c r="S56" t="e">
        <f t="shared" si="3"/>
        <v>#N/A</v>
      </c>
      <c r="T56">
        <v>45555</v>
      </c>
      <c r="U56" t="str">
        <v>West</v>
      </c>
      <c r="V56" t="str">
        <v>Karan</v>
      </c>
      <c r="W56" t="str">
        <v>Customer_18</v>
      </c>
      <c r="X56" t="str">
        <v>Electronics</v>
      </c>
      <c r="Y56" t="str">
        <v>Mouse</v>
      </c>
      <c r="Z56">
        <v>19</v>
      </c>
      <c r="AA56">
        <v>19693</v>
      </c>
      <c r="AB56">
        <v>20</v>
      </c>
      <c r="AC56">
        <v>299333.59999999998</v>
      </c>
      <c r="AD56">
        <v>186352.34</v>
      </c>
      <c r="AE56">
        <v>112981.26</v>
      </c>
      <c r="AF56" t="str">
        <v>NetBanking</v>
      </c>
      <c r="AG56">
        <v>6</v>
      </c>
      <c r="AH56">
        <v>2.5</v>
      </c>
      <c r="AI56">
        <v>45</v>
      </c>
      <c r="AJ56" t="str">
        <v>Mouse</v>
      </c>
      <c r="AK56">
        <v>1102</v>
      </c>
      <c r="AL56">
        <v>45384</v>
      </c>
      <c r="AM56" t="str">
        <v>South</v>
      </c>
      <c r="AN56" t="str">
        <v>Priya</v>
      </c>
      <c r="AO56" t="str">
        <v>Customer_39</v>
      </c>
      <c r="AP56" t="str">
        <v>Office Supplies</v>
      </c>
      <c r="AQ56" t="str">
        <v>Printer</v>
      </c>
      <c r="AR56">
        <v>10</v>
      </c>
      <c r="AS56">
        <v>44772</v>
      </c>
      <c r="AT56">
        <v>20</v>
      </c>
      <c r="AU56">
        <v>358176</v>
      </c>
      <c r="AV56">
        <v>251521.29</v>
      </c>
      <c r="AW56">
        <v>106654.71</v>
      </c>
      <c r="AX56" t="str">
        <v>UPI</v>
      </c>
      <c r="AY56">
        <v>6</v>
      </c>
      <c r="AZ56">
        <v>4.7</v>
      </c>
      <c r="BA56">
        <v>54</v>
      </c>
      <c r="BB56" t="str">
        <v>Printer</v>
      </c>
      <c r="BC56" s="6">
        <f t="shared" si="4"/>
        <v>1</v>
      </c>
      <c r="BD56" t="str">
        <f t="shared" si="5"/>
        <v/>
      </c>
      <c r="BE56" s="8">
        <f t="shared" si="6"/>
        <v>0.22827952538631346</v>
      </c>
      <c r="BF56" t="str">
        <v>Customer_23</v>
      </c>
      <c r="BG56" t="str">
        <f t="shared" si="7"/>
        <v>South-Chair</v>
      </c>
      <c r="BH56">
        <f t="shared" si="8"/>
        <v>2025</v>
      </c>
      <c r="BI56" t="str">
        <f t="shared" si="9"/>
        <v>February</v>
      </c>
      <c r="BJ56">
        <f t="shared" ca="1" si="0"/>
        <v>363</v>
      </c>
      <c r="BK56" s="8">
        <f t="shared" si="10"/>
        <v>0.22827952538631346</v>
      </c>
      <c r="BL56">
        <f t="shared" si="11"/>
        <v>4972</v>
      </c>
      <c r="BM56">
        <f t="shared" si="12"/>
        <v>16</v>
      </c>
      <c r="BN56">
        <v>1055</v>
      </c>
      <c r="BO56">
        <v>45398</v>
      </c>
      <c r="BP56" t="str">
        <v>North</v>
      </c>
      <c r="BQ56" t="str">
        <v>Aman</v>
      </c>
      <c r="BR56" t="str">
        <v>Customer_34</v>
      </c>
      <c r="BS56" t="str">
        <v>Electronics</v>
      </c>
      <c r="BT56" t="str">
        <v>Printer</v>
      </c>
      <c r="BU56">
        <v>8</v>
      </c>
      <c r="BV56">
        <v>47404</v>
      </c>
      <c r="BW56">
        <v>10</v>
      </c>
      <c r="BX56">
        <v>341308.8</v>
      </c>
      <c r="BY56">
        <v>203218.78</v>
      </c>
      <c r="BZ56">
        <v>138090.01999999999</v>
      </c>
      <c r="CA56" t="str">
        <v>Card</v>
      </c>
      <c r="CB56">
        <v>10</v>
      </c>
      <c r="CC56">
        <v>3.5</v>
      </c>
      <c r="CD56" t="b">
        <f>COUNTIF(Sales_Data!E:E,Sales_Data!E56)&gt;1</f>
        <v>1</v>
      </c>
      <c r="CE56">
        <f>SUM(Sales_Data!$K$2:'Sales_Data'!K56)</f>
        <v>13311648.549999999</v>
      </c>
      <c r="CF56">
        <f t="shared" si="13"/>
        <v>41676</v>
      </c>
      <c r="CG56" t="str">
        <f>CHOOSE(MATCH(C56,{"North","West","South","East"},0),"Zone 1","Zone 2","Zone 3","Zone 4")</f>
        <v>Zone 3</v>
      </c>
      <c r="CH56" t="str" cm="1">
        <f t="array" ref="CH56">_xlfn.SWITCH(N56,"Card","Card Payment","UPI", "UPI Payment","Cash","Cash Payment","NetBanking", "NetBanking Payment", "Unknown")</f>
        <v>Card Payment</v>
      </c>
      <c r="CI56" t="str" cm="1">
        <f t="array" ref="CI56">_xlfn.IFS(Sales_Data!J56&lt;=5,"Low",Sales_Data!J56&lt;=10,"Medium",Sales_Data!J56&gt;10,"High")</f>
        <v>Low</v>
      </c>
    </row>
    <row r="57" spans="1:87" x14ac:dyDescent="0.3">
      <c r="A57">
        <v>1057</v>
      </c>
      <c r="B57" s="1">
        <v>45586</v>
      </c>
      <c r="C57" t="s">
        <v>50</v>
      </c>
      <c r="D57" t="s">
        <v>17</v>
      </c>
      <c r="E57" t="s">
        <v>62</v>
      </c>
      <c r="F57" t="s">
        <v>25</v>
      </c>
      <c r="G57" t="s">
        <v>65</v>
      </c>
      <c r="H57">
        <v>6</v>
      </c>
      <c r="I57">
        <v>15241</v>
      </c>
      <c r="J57">
        <v>15</v>
      </c>
      <c r="K57">
        <v>77729.100000000006</v>
      </c>
      <c r="L57">
        <v>48819.92</v>
      </c>
      <c r="M57">
        <v>28909.18</v>
      </c>
      <c r="N57" t="s">
        <v>21</v>
      </c>
      <c r="O57">
        <v>5</v>
      </c>
      <c r="P57">
        <v>4.9000000000000004</v>
      </c>
      <c r="Q57">
        <f t="shared" si="1"/>
        <v>133</v>
      </c>
      <c r="R57" t="str">
        <f t="shared" si="2"/>
        <v>Mouse</v>
      </c>
      <c r="S57" t="e">
        <f t="shared" si="3"/>
        <v>#N/A</v>
      </c>
      <c r="T57">
        <v>45506</v>
      </c>
      <c r="U57" t="str">
        <v>North</v>
      </c>
      <c r="V57" t="str">
        <v>Rohan</v>
      </c>
      <c r="W57" t="str">
        <v>Customer_15</v>
      </c>
      <c r="X57" t="str">
        <v>Electronics</v>
      </c>
      <c r="Y57" t="str">
        <v>Mouse</v>
      </c>
      <c r="Z57">
        <v>13</v>
      </c>
      <c r="AA57">
        <v>44823</v>
      </c>
      <c r="AB57">
        <v>10</v>
      </c>
      <c r="AC57">
        <v>524429.1</v>
      </c>
      <c r="AD57">
        <v>365810.59</v>
      </c>
      <c r="AE57">
        <v>158618.51</v>
      </c>
      <c r="AF57" t="str">
        <v>NetBanking</v>
      </c>
      <c r="AG57">
        <v>1</v>
      </c>
      <c r="AH57">
        <v>3.8</v>
      </c>
      <c r="AI57">
        <v>22</v>
      </c>
      <c r="AJ57" t="str">
        <v>Mouse</v>
      </c>
      <c r="AK57">
        <v>1080</v>
      </c>
      <c r="AL57">
        <v>45626</v>
      </c>
      <c r="AM57" t="str">
        <v>West</v>
      </c>
      <c r="AN57" t="str">
        <v>Karan</v>
      </c>
      <c r="AO57" t="str">
        <v>Customer_28</v>
      </c>
      <c r="AP57" t="str">
        <v>Office Supplies</v>
      </c>
      <c r="AQ57" t="str">
        <v>Mouse</v>
      </c>
      <c r="AR57">
        <v>14</v>
      </c>
      <c r="AS57">
        <v>35691</v>
      </c>
      <c r="AT57">
        <v>5</v>
      </c>
      <c r="AU57">
        <v>474690.3</v>
      </c>
      <c r="AV57">
        <v>370420.11</v>
      </c>
      <c r="AW57">
        <v>104270.19</v>
      </c>
      <c r="AX57" t="str">
        <v>NetBanking</v>
      </c>
      <c r="AY57">
        <v>8</v>
      </c>
      <c r="AZ57">
        <v>2.6</v>
      </c>
      <c r="BA57">
        <v>55</v>
      </c>
      <c r="BB57" t="str">
        <v>Mouse</v>
      </c>
      <c r="BC57" s="6">
        <f t="shared" si="4"/>
        <v>3</v>
      </c>
      <c r="BD57" t="str">
        <f t="shared" si="5"/>
        <v/>
      </c>
      <c r="BE57" s="8">
        <f t="shared" si="6"/>
        <v>0.37192222732541608</v>
      </c>
      <c r="BF57" t="str">
        <v>Customer_24</v>
      </c>
      <c r="BG57" t="str">
        <f t="shared" si="7"/>
        <v>North-Mouse</v>
      </c>
      <c r="BH57">
        <f t="shared" si="8"/>
        <v>2024</v>
      </c>
      <c r="BI57" t="str">
        <f t="shared" si="9"/>
        <v>October</v>
      </c>
      <c r="BJ57">
        <f t="shared" ca="1" si="0"/>
        <v>443</v>
      </c>
      <c r="BK57" s="8">
        <f t="shared" si="10"/>
        <v>0.37192222732541608</v>
      </c>
      <c r="BL57">
        <f t="shared" si="11"/>
        <v>41775</v>
      </c>
      <c r="BM57">
        <f t="shared" si="12"/>
        <v>25</v>
      </c>
      <c r="BN57">
        <v>1056</v>
      </c>
      <c r="BO57">
        <v>45696</v>
      </c>
      <c r="BP57" t="str">
        <v>South</v>
      </c>
      <c r="BQ57" t="str">
        <v>Arjun</v>
      </c>
      <c r="BR57" t="str">
        <v>Customer_25</v>
      </c>
      <c r="BS57" t="str">
        <v>Furniture</v>
      </c>
      <c r="BT57" t="str">
        <v>Chair</v>
      </c>
      <c r="BU57">
        <v>16</v>
      </c>
      <c r="BV57">
        <v>2265</v>
      </c>
      <c r="BW57">
        <v>0</v>
      </c>
      <c r="BX57">
        <v>36240</v>
      </c>
      <c r="BY57">
        <v>27967.15</v>
      </c>
      <c r="BZ57">
        <v>8272.85</v>
      </c>
      <c r="CA57" t="str">
        <v>Card</v>
      </c>
      <c r="CB57">
        <v>3</v>
      </c>
      <c r="CC57">
        <v>2.7</v>
      </c>
      <c r="CD57" t="b">
        <f>COUNTIF(Sales_Data!E:E,Sales_Data!E57)&gt;1</f>
        <v>1</v>
      </c>
      <c r="CE57">
        <f>SUM(Sales_Data!$K$2:'Sales_Data'!K57)</f>
        <v>13389377.649999999</v>
      </c>
      <c r="CF57">
        <f t="shared" si="13"/>
        <v>89388.464999999997</v>
      </c>
      <c r="CG57" t="str">
        <f>CHOOSE(MATCH(C57,{"North","West","South","East"},0),"Zone 1","Zone 2","Zone 3","Zone 4")</f>
        <v>Zone 1</v>
      </c>
      <c r="CH57" t="str" cm="1">
        <f t="array" ref="CH57">_xlfn.SWITCH(N57,"Card","Card Payment","UPI", "UPI Payment","Cash","Cash Payment","NetBanking", "NetBanking Payment", "Unknown")</f>
        <v>Card Payment</v>
      </c>
      <c r="CI57" t="str" cm="1">
        <f t="array" ref="CI57">_xlfn.IFS(Sales_Data!J57&lt;=5,"Low",Sales_Data!J57&lt;=10,"Medium",Sales_Data!J57&gt;10,"High")</f>
        <v>High</v>
      </c>
    </row>
    <row r="58" spans="1:87" x14ac:dyDescent="0.3">
      <c r="A58">
        <v>1058</v>
      </c>
      <c r="B58" s="1">
        <v>45346</v>
      </c>
      <c r="C58" t="s">
        <v>22</v>
      </c>
      <c r="D58" t="s">
        <v>57</v>
      </c>
      <c r="E58" t="s">
        <v>46</v>
      </c>
      <c r="F58" t="s">
        <v>25</v>
      </c>
      <c r="G58" t="s">
        <v>47</v>
      </c>
      <c r="H58">
        <v>12</v>
      </c>
      <c r="I58">
        <v>6347</v>
      </c>
      <c r="J58">
        <v>5</v>
      </c>
      <c r="K58">
        <v>72355.8</v>
      </c>
      <c r="L58">
        <v>55819.1</v>
      </c>
      <c r="M58">
        <v>16536.7</v>
      </c>
      <c r="N58" t="s">
        <v>37</v>
      </c>
      <c r="O58">
        <v>9</v>
      </c>
      <c r="P58">
        <v>2.6</v>
      </c>
      <c r="Q58">
        <f t="shared" si="1"/>
        <v>154</v>
      </c>
      <c r="R58" t="str">
        <f t="shared" si="2"/>
        <v>Monitor</v>
      </c>
      <c r="S58" t="e">
        <f t="shared" si="3"/>
        <v>#N/A</v>
      </c>
      <c r="T58">
        <v>45729</v>
      </c>
      <c r="U58" t="str">
        <v>North</v>
      </c>
      <c r="V58" t="str">
        <v>Aman</v>
      </c>
      <c r="W58" t="str">
        <v>Customer_18</v>
      </c>
      <c r="X58" t="str">
        <v>Furniture</v>
      </c>
      <c r="Y58" t="str">
        <v>Phone</v>
      </c>
      <c r="Z58">
        <v>15</v>
      </c>
      <c r="AA58">
        <v>46801</v>
      </c>
      <c r="AB58">
        <v>10</v>
      </c>
      <c r="AC58">
        <v>631813.5</v>
      </c>
      <c r="AD58">
        <v>395768.98</v>
      </c>
      <c r="AE58">
        <v>236044.52</v>
      </c>
      <c r="AF58" t="str">
        <v>NetBanking</v>
      </c>
      <c r="AG58">
        <v>10</v>
      </c>
      <c r="AH58">
        <v>4.5999999999999996</v>
      </c>
      <c r="AI58">
        <v>7</v>
      </c>
      <c r="AJ58" t="str">
        <v>Phone</v>
      </c>
      <c r="AK58">
        <v>1062</v>
      </c>
      <c r="AL58">
        <v>45767</v>
      </c>
      <c r="AM58" t="str">
        <v>East</v>
      </c>
      <c r="AN58" t="str">
        <v>Sneha</v>
      </c>
      <c r="AO58" t="str">
        <v>Customer_42</v>
      </c>
      <c r="AP58" t="str">
        <v>Furniture</v>
      </c>
      <c r="AQ58" t="str">
        <v>Desk</v>
      </c>
      <c r="AR58">
        <v>6</v>
      </c>
      <c r="AS58">
        <v>49659</v>
      </c>
      <c r="AT58">
        <v>20</v>
      </c>
      <c r="AU58">
        <v>238363.2</v>
      </c>
      <c r="AV58">
        <v>137285.84</v>
      </c>
      <c r="AW58">
        <v>101077.36</v>
      </c>
      <c r="AX58" t="str">
        <v>Cash</v>
      </c>
      <c r="AY58">
        <v>5</v>
      </c>
      <c r="AZ58">
        <v>4.8</v>
      </c>
      <c r="BA58">
        <v>56</v>
      </c>
      <c r="BB58" t="str">
        <v>Desk</v>
      </c>
      <c r="BC58" s="6">
        <f t="shared" si="4"/>
        <v>1</v>
      </c>
      <c r="BD58" t="str">
        <f t="shared" si="5"/>
        <v/>
      </c>
      <c r="BE58" s="8">
        <f t="shared" si="6"/>
        <v>0.22854698586706249</v>
      </c>
      <c r="BF58" t="str">
        <v>Customer_25</v>
      </c>
      <c r="BG58" t="str">
        <f t="shared" si="7"/>
        <v>South-Monitor</v>
      </c>
      <c r="BH58">
        <f t="shared" si="8"/>
        <v>2024</v>
      </c>
      <c r="BI58" t="str">
        <f t="shared" si="9"/>
        <v>February</v>
      </c>
      <c r="BJ58">
        <f t="shared" ca="1" si="0"/>
        <v>613</v>
      </c>
      <c r="BK58" s="8">
        <f t="shared" si="10"/>
        <v>0.22854698586706249</v>
      </c>
      <c r="BL58">
        <f t="shared" si="11"/>
        <v>26687</v>
      </c>
      <c r="BM58">
        <f t="shared" si="12"/>
        <v>12</v>
      </c>
      <c r="BN58">
        <v>1057</v>
      </c>
      <c r="BO58">
        <v>45586</v>
      </c>
      <c r="BP58" t="str">
        <v>North</v>
      </c>
      <c r="BQ58" t="str">
        <v>Rohan</v>
      </c>
      <c r="BR58" t="str">
        <v>Customer_43</v>
      </c>
      <c r="BS58" t="str">
        <v>Office Supplies</v>
      </c>
      <c r="BT58" t="str">
        <v>Mouse</v>
      </c>
      <c r="BU58">
        <v>6</v>
      </c>
      <c r="BV58">
        <v>15241</v>
      </c>
      <c r="BW58">
        <v>15</v>
      </c>
      <c r="BX58">
        <v>77729.100000000006</v>
      </c>
      <c r="BY58">
        <v>48819.92</v>
      </c>
      <c r="BZ58">
        <v>28909.18</v>
      </c>
      <c r="CA58" t="str">
        <v>Card</v>
      </c>
      <c r="CB58">
        <v>5</v>
      </c>
      <c r="CC58">
        <v>4.9000000000000004</v>
      </c>
      <c r="CD58" t="b">
        <f>COUNTIF(Sales_Data!E:E,Sales_Data!E58)&gt;1</f>
        <v>1</v>
      </c>
      <c r="CE58">
        <f>SUM(Sales_Data!$K$2:'Sales_Data'!K58)</f>
        <v>13461733.449999999</v>
      </c>
      <c r="CF58">
        <f t="shared" si="13"/>
        <v>83209.17</v>
      </c>
      <c r="CG58" t="str">
        <f>CHOOSE(MATCH(C58,{"North","West","South","East"},0),"Zone 1","Zone 2","Zone 3","Zone 4")</f>
        <v>Zone 3</v>
      </c>
      <c r="CH58" t="str" cm="1">
        <f t="array" ref="CH58">_xlfn.SWITCH(N58,"Card","Card Payment","UPI", "UPI Payment","Cash","Cash Payment","NetBanking", "NetBanking Payment", "Unknown")</f>
        <v>Cash Payment</v>
      </c>
      <c r="CI58" t="str" cm="1">
        <f t="array" ref="CI58">_xlfn.IFS(Sales_Data!J58&lt;=5,"Low",Sales_Data!J58&lt;=10,"Medium",Sales_Data!J58&gt;10,"High")</f>
        <v>Low</v>
      </c>
    </row>
    <row r="59" spans="1:87" x14ac:dyDescent="0.3">
      <c r="A59">
        <v>1059</v>
      </c>
      <c r="B59" s="1">
        <v>45618</v>
      </c>
      <c r="C59" t="s">
        <v>22</v>
      </c>
      <c r="D59" t="s">
        <v>51</v>
      </c>
      <c r="E59" t="s">
        <v>38</v>
      </c>
      <c r="F59" t="s">
        <v>19</v>
      </c>
      <c r="G59" t="s">
        <v>20</v>
      </c>
      <c r="H59">
        <v>9</v>
      </c>
      <c r="I59">
        <v>28994</v>
      </c>
      <c r="J59">
        <v>15</v>
      </c>
      <c r="K59">
        <v>221804.1</v>
      </c>
      <c r="L59">
        <v>143013.17000000001</v>
      </c>
      <c r="M59">
        <v>78790.929999999993</v>
      </c>
      <c r="N59" t="s">
        <v>48</v>
      </c>
      <c r="O59">
        <v>6</v>
      </c>
      <c r="P59">
        <v>4.7</v>
      </c>
      <c r="Q59">
        <f t="shared" si="1"/>
        <v>76</v>
      </c>
      <c r="R59" t="str">
        <f t="shared" si="2"/>
        <v>Phone</v>
      </c>
      <c r="S59" t="e">
        <f t="shared" si="3"/>
        <v>#N/A</v>
      </c>
      <c r="T59">
        <v>45453</v>
      </c>
      <c r="U59" t="str">
        <v>East</v>
      </c>
      <c r="V59" t="str">
        <v>Priya</v>
      </c>
      <c r="W59" t="str">
        <v>Customer_37</v>
      </c>
      <c r="X59" t="str">
        <v>Electronics</v>
      </c>
      <c r="Y59" t="str">
        <v>Monitor</v>
      </c>
      <c r="Z59">
        <v>12</v>
      </c>
      <c r="AA59">
        <v>27694</v>
      </c>
      <c r="AB59">
        <v>10</v>
      </c>
      <c r="AC59">
        <v>299095.2</v>
      </c>
      <c r="AD59">
        <v>167642.43</v>
      </c>
      <c r="AE59">
        <v>131452.76999999999</v>
      </c>
      <c r="AF59" t="str">
        <v>Cash</v>
      </c>
      <c r="AG59">
        <v>5</v>
      </c>
      <c r="AH59">
        <v>4.7</v>
      </c>
      <c r="AI59">
        <v>35</v>
      </c>
      <c r="AJ59" t="str">
        <v>Monitor</v>
      </c>
      <c r="AK59">
        <v>1147</v>
      </c>
      <c r="AL59">
        <v>45561</v>
      </c>
      <c r="AM59" t="str">
        <v>North</v>
      </c>
      <c r="AN59" t="str">
        <v>Arjun</v>
      </c>
      <c r="AO59" t="str">
        <v>Customer_29</v>
      </c>
      <c r="AP59" t="str">
        <v>Office Supplies</v>
      </c>
      <c r="AQ59" t="str">
        <v>Desk</v>
      </c>
      <c r="AR59">
        <v>8</v>
      </c>
      <c r="AS59">
        <v>43297</v>
      </c>
      <c r="AT59">
        <v>0</v>
      </c>
      <c r="AU59">
        <v>346376</v>
      </c>
      <c r="AV59">
        <v>246056.51</v>
      </c>
      <c r="AW59">
        <v>100319.49</v>
      </c>
      <c r="AX59" t="str">
        <v>Cash</v>
      </c>
      <c r="AY59">
        <v>6</v>
      </c>
      <c r="AZ59">
        <v>4.5</v>
      </c>
      <c r="BA59">
        <v>57</v>
      </c>
      <c r="BB59" t="str">
        <v>Desk</v>
      </c>
      <c r="BC59" s="6">
        <f t="shared" si="4"/>
        <v>4</v>
      </c>
      <c r="BD59" t="str">
        <f t="shared" si="5"/>
        <v/>
      </c>
      <c r="BE59" s="8">
        <f t="shared" si="6"/>
        <v>0.35522756342195655</v>
      </c>
      <c r="BF59" t="str">
        <v>Customer_25</v>
      </c>
      <c r="BG59" t="str">
        <f t="shared" si="7"/>
        <v>South-Phone</v>
      </c>
      <c r="BH59">
        <f t="shared" si="8"/>
        <v>2024</v>
      </c>
      <c r="BI59" t="str">
        <f t="shared" si="9"/>
        <v>November</v>
      </c>
      <c r="BJ59">
        <f t="shared" ca="1" si="0"/>
        <v>419</v>
      </c>
      <c r="BK59" s="8">
        <f t="shared" si="10"/>
        <v>0.35522756342195655</v>
      </c>
      <c r="BL59">
        <f t="shared" si="11"/>
        <v>33295</v>
      </c>
      <c r="BM59">
        <f t="shared" si="12"/>
        <v>7</v>
      </c>
      <c r="BN59">
        <v>1058</v>
      </c>
      <c r="BO59">
        <v>45346</v>
      </c>
      <c r="BP59" t="str">
        <v>South</v>
      </c>
      <c r="BQ59" t="str">
        <v>Megha</v>
      </c>
      <c r="BR59" t="str">
        <v>Customer_20</v>
      </c>
      <c r="BS59" t="str">
        <v>Office Supplies</v>
      </c>
      <c r="BT59" t="str">
        <v>Monitor</v>
      </c>
      <c r="BU59">
        <v>12</v>
      </c>
      <c r="BV59">
        <v>6347</v>
      </c>
      <c r="BW59">
        <v>5</v>
      </c>
      <c r="BX59">
        <v>72355.8</v>
      </c>
      <c r="BY59">
        <v>55819.1</v>
      </c>
      <c r="BZ59">
        <v>16536.7</v>
      </c>
      <c r="CA59" t="str">
        <v>Cash</v>
      </c>
      <c r="CB59">
        <v>9</v>
      </c>
      <c r="CC59">
        <v>2.6</v>
      </c>
      <c r="CD59" t="b">
        <f>COUNTIF(Sales_Data!E:E,Sales_Data!E59)&gt;1</f>
        <v>1</v>
      </c>
      <c r="CE59">
        <f>SUM(Sales_Data!$K$2:'Sales_Data'!K59)</f>
        <v>13683537.549999999</v>
      </c>
      <c r="CF59">
        <f t="shared" si="13"/>
        <v>255074.715</v>
      </c>
      <c r="CG59" t="str">
        <f>CHOOSE(MATCH(C59,{"North","West","South","East"},0),"Zone 1","Zone 2","Zone 3","Zone 4")</f>
        <v>Zone 3</v>
      </c>
      <c r="CH59" t="str" cm="1">
        <f t="array" ref="CH59">_xlfn.SWITCH(N59,"Card","Card Payment","UPI", "UPI Payment","Cash","Cash Payment","NetBanking", "NetBanking Payment", "Unknown")</f>
        <v>NetBanking Payment</v>
      </c>
      <c r="CI59" t="str" cm="1">
        <f t="array" ref="CI59">_xlfn.IFS(Sales_Data!J59&lt;=5,"Low",Sales_Data!J59&lt;=10,"Medium",Sales_Data!J59&gt;10,"High")</f>
        <v>High</v>
      </c>
    </row>
    <row r="60" spans="1:87" x14ac:dyDescent="0.3">
      <c r="A60">
        <v>1060</v>
      </c>
      <c r="B60" s="1">
        <v>45701</v>
      </c>
      <c r="C60" t="s">
        <v>50</v>
      </c>
      <c r="D60" t="s">
        <v>17</v>
      </c>
      <c r="E60" t="s">
        <v>63</v>
      </c>
      <c r="F60" t="s">
        <v>35</v>
      </c>
      <c r="G60" t="s">
        <v>30</v>
      </c>
      <c r="H60">
        <v>7</v>
      </c>
      <c r="I60">
        <v>37200</v>
      </c>
      <c r="J60">
        <v>0</v>
      </c>
      <c r="K60">
        <v>260400</v>
      </c>
      <c r="L60">
        <v>169126.08</v>
      </c>
      <c r="M60">
        <v>91273.919999999998</v>
      </c>
      <c r="N60" t="s">
        <v>37</v>
      </c>
      <c r="O60">
        <v>9</v>
      </c>
      <c r="P60">
        <v>3.3</v>
      </c>
      <c r="Q60">
        <f t="shared" si="1"/>
        <v>67</v>
      </c>
      <c r="R60" t="str">
        <f t="shared" si="2"/>
        <v>Desk</v>
      </c>
      <c r="S60" t="e">
        <f t="shared" si="3"/>
        <v>#N/A</v>
      </c>
      <c r="T60">
        <v>45554</v>
      </c>
      <c r="U60" t="str">
        <v>South</v>
      </c>
      <c r="V60" t="str">
        <v>Sneha</v>
      </c>
      <c r="W60" t="str">
        <v>Customer_35</v>
      </c>
      <c r="X60" t="str">
        <v>Furniture</v>
      </c>
      <c r="Y60" t="str">
        <v>Keyboard</v>
      </c>
      <c r="Z60">
        <v>12</v>
      </c>
      <c r="AA60">
        <v>28911</v>
      </c>
      <c r="AB60">
        <v>0</v>
      </c>
      <c r="AC60">
        <v>346932</v>
      </c>
      <c r="AD60">
        <v>264406.14</v>
      </c>
      <c r="AE60">
        <v>82525.86</v>
      </c>
      <c r="AF60" t="str">
        <v>NetBanking</v>
      </c>
      <c r="AG60">
        <v>1</v>
      </c>
      <c r="AH60">
        <v>2.7</v>
      </c>
      <c r="AI60">
        <v>75</v>
      </c>
      <c r="AJ60" t="str">
        <v>Keyboard</v>
      </c>
      <c r="AK60">
        <v>1025</v>
      </c>
      <c r="AL60">
        <v>45472</v>
      </c>
      <c r="AM60" t="str">
        <v>East</v>
      </c>
      <c r="AN60" t="str">
        <v>Megha</v>
      </c>
      <c r="AO60" t="str">
        <v>Customer_43</v>
      </c>
      <c r="AP60" t="str">
        <v>Office Supplies</v>
      </c>
      <c r="AQ60" t="str">
        <v>Printer</v>
      </c>
      <c r="AR60">
        <v>7</v>
      </c>
      <c r="AS60">
        <v>42639</v>
      </c>
      <c r="AT60">
        <v>15</v>
      </c>
      <c r="AU60">
        <v>253702.05</v>
      </c>
      <c r="AV60">
        <v>153492.84</v>
      </c>
      <c r="AW60">
        <v>100209.21</v>
      </c>
      <c r="AX60" t="str">
        <v>UPI</v>
      </c>
      <c r="AY60">
        <v>1</v>
      </c>
      <c r="AZ60">
        <v>2.8</v>
      </c>
      <c r="BA60">
        <v>58</v>
      </c>
      <c r="BB60" t="str">
        <v>Printer</v>
      </c>
      <c r="BC60" s="6">
        <f t="shared" si="4"/>
        <v>1</v>
      </c>
      <c r="BD60" t="str">
        <f t="shared" si="5"/>
        <v/>
      </c>
      <c r="BE60" s="8">
        <f t="shared" si="6"/>
        <v>0.35051428571428572</v>
      </c>
      <c r="BF60" t="str">
        <v>Customer_25</v>
      </c>
      <c r="BG60" t="str">
        <f t="shared" si="7"/>
        <v>North-Desk</v>
      </c>
      <c r="BH60">
        <f t="shared" si="8"/>
        <v>2025</v>
      </c>
      <c r="BI60" t="str">
        <f t="shared" si="9"/>
        <v>February</v>
      </c>
      <c r="BJ60">
        <f t="shared" ca="1" si="0"/>
        <v>360</v>
      </c>
      <c r="BK60" s="8">
        <f t="shared" si="10"/>
        <v>0.35051428571428572</v>
      </c>
      <c r="BL60">
        <f t="shared" si="11"/>
        <v>13233</v>
      </c>
      <c r="BM60">
        <f t="shared" si="12"/>
        <v>27</v>
      </c>
      <c r="BN60">
        <v>1059</v>
      </c>
      <c r="BO60">
        <v>45618</v>
      </c>
      <c r="BP60" t="str">
        <v>South</v>
      </c>
      <c r="BQ60" t="str">
        <v>Aman</v>
      </c>
      <c r="BR60" t="str">
        <v>Customer_12</v>
      </c>
      <c r="BS60" t="str">
        <v>Electronics</v>
      </c>
      <c r="BT60" t="str">
        <v>Phone</v>
      </c>
      <c r="BU60">
        <v>9</v>
      </c>
      <c r="BV60">
        <v>28994</v>
      </c>
      <c r="BW60">
        <v>15</v>
      </c>
      <c r="BX60">
        <v>221804.1</v>
      </c>
      <c r="BY60">
        <v>143013.17000000001</v>
      </c>
      <c r="BZ60">
        <v>78790.929999999993</v>
      </c>
      <c r="CA60" t="str">
        <v>NetBanking</v>
      </c>
      <c r="CB60">
        <v>6</v>
      </c>
      <c r="CC60">
        <v>4.7</v>
      </c>
      <c r="CD60" t="b">
        <f>COUNTIF(Sales_Data!E:E,Sales_Data!E60)&gt;1</f>
        <v>1</v>
      </c>
      <c r="CE60">
        <f>SUM(Sales_Data!$K$2:'Sales_Data'!K60)</f>
        <v>13943937.549999999</v>
      </c>
      <c r="CF60">
        <f t="shared" si="13"/>
        <v>299460</v>
      </c>
      <c r="CG60" t="str">
        <f>CHOOSE(MATCH(C60,{"North","West","South","East"},0),"Zone 1","Zone 2","Zone 3","Zone 4")</f>
        <v>Zone 1</v>
      </c>
      <c r="CH60" t="str" cm="1">
        <f t="array" ref="CH60">_xlfn.SWITCH(N60,"Card","Card Payment","UPI", "UPI Payment","Cash","Cash Payment","NetBanking", "NetBanking Payment", "Unknown")</f>
        <v>Cash Payment</v>
      </c>
      <c r="CI60" t="str" cm="1">
        <f t="array" ref="CI60">_xlfn.IFS(Sales_Data!J60&lt;=5,"Low",Sales_Data!J60&lt;=10,"Medium",Sales_Data!J60&gt;10,"High")</f>
        <v>Low</v>
      </c>
    </row>
    <row r="61" spans="1:87" x14ac:dyDescent="0.3">
      <c r="A61">
        <v>1061</v>
      </c>
      <c r="B61" s="1">
        <v>45397</v>
      </c>
      <c r="C61" t="s">
        <v>22</v>
      </c>
      <c r="D61" t="s">
        <v>42</v>
      </c>
      <c r="E61" t="s">
        <v>58</v>
      </c>
      <c r="F61" t="s">
        <v>25</v>
      </c>
      <c r="G61" t="s">
        <v>65</v>
      </c>
      <c r="H61">
        <v>13</v>
      </c>
      <c r="I61">
        <v>24831</v>
      </c>
      <c r="J61">
        <v>0</v>
      </c>
      <c r="K61">
        <v>322803</v>
      </c>
      <c r="L61">
        <v>199823.29</v>
      </c>
      <c r="M61">
        <v>122979.71</v>
      </c>
      <c r="N61" t="s">
        <v>21</v>
      </c>
      <c r="O61">
        <v>4</v>
      </c>
      <c r="P61">
        <v>3.2</v>
      </c>
      <c r="Q61">
        <f t="shared" si="1"/>
        <v>40</v>
      </c>
      <c r="R61" t="str">
        <f t="shared" si="2"/>
        <v>Mouse</v>
      </c>
      <c r="S61" t="e">
        <f t="shared" si="3"/>
        <v>#N/A</v>
      </c>
      <c r="T61">
        <v>45680</v>
      </c>
      <c r="U61" t="str">
        <v>West</v>
      </c>
      <c r="V61" t="str">
        <v>Megha</v>
      </c>
      <c r="W61" t="str">
        <v>Customer_44</v>
      </c>
      <c r="X61" t="str">
        <v>Electronics</v>
      </c>
      <c r="Y61" t="str">
        <v>Mouse</v>
      </c>
      <c r="Z61">
        <v>16</v>
      </c>
      <c r="AA61">
        <v>25769</v>
      </c>
      <c r="AB61">
        <v>10</v>
      </c>
      <c r="AC61">
        <v>371073.6</v>
      </c>
      <c r="AD61">
        <v>258303.87</v>
      </c>
      <c r="AE61">
        <v>112769.73</v>
      </c>
      <c r="AF61" t="str">
        <v>Cash</v>
      </c>
      <c r="AG61">
        <v>5</v>
      </c>
      <c r="AH61">
        <v>2.6</v>
      </c>
      <c r="AI61">
        <v>47</v>
      </c>
      <c r="AJ61" t="str">
        <v>Mouse</v>
      </c>
      <c r="AK61">
        <v>1166</v>
      </c>
      <c r="AL61">
        <v>45628</v>
      </c>
      <c r="AM61" t="str">
        <v>North</v>
      </c>
      <c r="AN61" t="str">
        <v>Sneha</v>
      </c>
      <c r="AO61" t="str">
        <v>Customer_37</v>
      </c>
      <c r="AP61" t="str">
        <v>Furniture</v>
      </c>
      <c r="AQ61" t="str">
        <v>Phone</v>
      </c>
      <c r="AR61">
        <v>8</v>
      </c>
      <c r="AS61">
        <v>39543</v>
      </c>
      <c r="AT61">
        <v>5</v>
      </c>
      <c r="AU61">
        <v>300526.8</v>
      </c>
      <c r="AV61">
        <v>200580.67</v>
      </c>
      <c r="AW61">
        <v>99946.13</v>
      </c>
      <c r="AX61" t="str">
        <v>UPI</v>
      </c>
      <c r="AY61">
        <v>8</v>
      </c>
      <c r="AZ61">
        <v>4.0999999999999996</v>
      </c>
      <c r="BA61">
        <v>59</v>
      </c>
      <c r="BB61" t="str">
        <v>Phone</v>
      </c>
      <c r="BC61" s="6">
        <f t="shared" si="4"/>
        <v>1</v>
      </c>
      <c r="BD61" t="str">
        <f t="shared" si="5"/>
        <v>Bonus!</v>
      </c>
      <c r="BE61" s="8">
        <f t="shared" si="6"/>
        <v>0.38097449528040322</v>
      </c>
      <c r="BF61" t="str">
        <v>Customer_25</v>
      </c>
      <c r="BG61" t="str">
        <f t="shared" si="7"/>
        <v>South-Mouse</v>
      </c>
      <c r="BH61">
        <f t="shared" si="8"/>
        <v>2024</v>
      </c>
      <c r="BI61" t="str">
        <f t="shared" si="9"/>
        <v>April</v>
      </c>
      <c r="BJ61">
        <f t="shared" ca="1" si="0"/>
        <v>578</v>
      </c>
      <c r="BK61" s="8">
        <f t="shared" si="10"/>
        <v>0.38097449528040322</v>
      </c>
      <c r="BL61">
        <f t="shared" si="11"/>
        <v>41775</v>
      </c>
      <c r="BM61">
        <f t="shared" si="12"/>
        <v>19</v>
      </c>
      <c r="BN61">
        <v>1060</v>
      </c>
      <c r="BO61">
        <v>45701</v>
      </c>
      <c r="BP61" t="str">
        <v>North</v>
      </c>
      <c r="BQ61" t="str">
        <v>Rohan</v>
      </c>
      <c r="BR61" t="str">
        <v>Customer_13</v>
      </c>
      <c r="BS61" t="str">
        <v>Furniture</v>
      </c>
      <c r="BT61" t="str">
        <v>Desk</v>
      </c>
      <c r="BU61">
        <v>7</v>
      </c>
      <c r="BV61">
        <v>37200</v>
      </c>
      <c r="BW61">
        <v>0</v>
      </c>
      <c r="BX61">
        <v>260400</v>
      </c>
      <c r="BY61">
        <v>169126.08</v>
      </c>
      <c r="BZ61">
        <v>91273.919999999998</v>
      </c>
      <c r="CA61" t="str">
        <v>Cash</v>
      </c>
      <c r="CB61">
        <v>9</v>
      </c>
      <c r="CC61">
        <v>3.3</v>
      </c>
      <c r="CD61" t="b">
        <f>COUNTIF(Sales_Data!E:E,Sales_Data!E61)&gt;1</f>
        <v>1</v>
      </c>
      <c r="CE61">
        <f>SUM(Sales_Data!$K$2:'Sales_Data'!K61)</f>
        <v>14266740.549999999</v>
      </c>
      <c r="CF61">
        <f t="shared" si="13"/>
        <v>371223.44999999995</v>
      </c>
      <c r="CG61" t="str">
        <f>CHOOSE(MATCH(C61,{"North","West","South","East"},0),"Zone 1","Zone 2","Zone 3","Zone 4")</f>
        <v>Zone 3</v>
      </c>
      <c r="CH61" t="str" cm="1">
        <f t="array" ref="CH61">_xlfn.SWITCH(N61,"Card","Card Payment","UPI", "UPI Payment","Cash","Cash Payment","NetBanking", "NetBanking Payment", "Unknown")</f>
        <v>Card Payment</v>
      </c>
      <c r="CI61" t="str" cm="1">
        <f t="array" ref="CI61">_xlfn.IFS(Sales_Data!J61&lt;=5,"Low",Sales_Data!J61&lt;=10,"Medium",Sales_Data!J61&gt;10,"High")</f>
        <v>Low</v>
      </c>
    </row>
    <row r="62" spans="1:87" x14ac:dyDescent="0.3">
      <c r="A62">
        <v>1062</v>
      </c>
      <c r="B62" s="1">
        <v>45767</v>
      </c>
      <c r="C62" t="s">
        <v>33</v>
      </c>
      <c r="D62" t="s">
        <v>39</v>
      </c>
      <c r="E62" t="s">
        <v>58</v>
      </c>
      <c r="F62" t="s">
        <v>35</v>
      </c>
      <c r="G62" t="s">
        <v>30</v>
      </c>
      <c r="H62">
        <v>6</v>
      </c>
      <c r="I62">
        <v>49659</v>
      </c>
      <c r="J62">
        <v>20</v>
      </c>
      <c r="K62">
        <v>238363.2</v>
      </c>
      <c r="L62">
        <v>137285.84</v>
      </c>
      <c r="M62">
        <v>101077.36</v>
      </c>
      <c r="N62" t="s">
        <v>37</v>
      </c>
      <c r="O62">
        <v>5</v>
      </c>
      <c r="P62">
        <v>4.8</v>
      </c>
      <c r="Q62">
        <f t="shared" si="1"/>
        <v>56</v>
      </c>
      <c r="R62" t="str">
        <f t="shared" si="2"/>
        <v>Desk</v>
      </c>
      <c r="S62" t="e">
        <f t="shared" si="3"/>
        <v>#N/A</v>
      </c>
      <c r="T62">
        <v>45432</v>
      </c>
      <c r="U62" t="str">
        <v>South</v>
      </c>
      <c r="V62" t="str">
        <v>Priya</v>
      </c>
      <c r="W62" t="str">
        <v>Customer_8</v>
      </c>
      <c r="X62" t="str">
        <v>Furniture</v>
      </c>
      <c r="Y62" t="str">
        <v>Desk</v>
      </c>
      <c r="Z62">
        <v>20</v>
      </c>
      <c r="AA62">
        <v>31953</v>
      </c>
      <c r="AB62">
        <v>5</v>
      </c>
      <c r="AC62">
        <v>607107</v>
      </c>
      <c r="AD62">
        <v>483067.54</v>
      </c>
      <c r="AE62">
        <v>124039.46</v>
      </c>
      <c r="AF62" t="str">
        <v>NetBanking</v>
      </c>
      <c r="AG62">
        <v>9</v>
      </c>
      <c r="AH62">
        <v>4.5999999999999996</v>
      </c>
      <c r="AI62">
        <v>39</v>
      </c>
      <c r="AJ62" t="str">
        <v>Desk</v>
      </c>
      <c r="AK62">
        <v>1067</v>
      </c>
      <c r="AL62">
        <v>45603</v>
      </c>
      <c r="AM62" t="str">
        <v>West</v>
      </c>
      <c r="AN62" t="str">
        <v>Rohan</v>
      </c>
      <c r="AO62" t="str">
        <v>Customer_45</v>
      </c>
      <c r="AP62" t="str">
        <v>Electronics</v>
      </c>
      <c r="AQ62" t="str">
        <v>Laptop</v>
      </c>
      <c r="AR62">
        <v>19</v>
      </c>
      <c r="AS62">
        <v>26262</v>
      </c>
      <c r="AT62">
        <v>20</v>
      </c>
      <c r="AU62">
        <v>399182.4</v>
      </c>
      <c r="AV62">
        <v>300998.57</v>
      </c>
      <c r="AW62">
        <v>98183.83</v>
      </c>
      <c r="AX62" t="str">
        <v>Card</v>
      </c>
      <c r="AY62">
        <v>6</v>
      </c>
      <c r="AZ62">
        <v>3.8</v>
      </c>
      <c r="BA62">
        <v>60</v>
      </c>
      <c r="BB62" t="str">
        <v>Laptop</v>
      </c>
      <c r="BC62" s="6">
        <f t="shared" si="4"/>
        <v>1</v>
      </c>
      <c r="BD62" t="str">
        <f t="shared" si="5"/>
        <v>Bonus!</v>
      </c>
      <c r="BE62" s="8">
        <f t="shared" si="6"/>
        <v>0.42404767178826258</v>
      </c>
      <c r="BF62" t="str">
        <v>Customer_25</v>
      </c>
      <c r="BG62" t="str">
        <f t="shared" si="7"/>
        <v>East-Desk</v>
      </c>
      <c r="BH62">
        <f t="shared" si="8"/>
        <v>2025</v>
      </c>
      <c r="BI62" t="str">
        <f t="shared" si="9"/>
        <v>April</v>
      </c>
      <c r="BJ62">
        <f t="shared" ca="1" si="0"/>
        <v>313</v>
      </c>
      <c r="BK62" s="8">
        <f t="shared" si="10"/>
        <v>0.42404767178826258</v>
      </c>
      <c r="BL62">
        <f t="shared" si="11"/>
        <v>13233</v>
      </c>
      <c r="BM62">
        <f t="shared" si="12"/>
        <v>19</v>
      </c>
      <c r="BN62">
        <v>1061</v>
      </c>
      <c r="BO62">
        <v>45397</v>
      </c>
      <c r="BP62" t="str">
        <v>South</v>
      </c>
      <c r="BQ62" t="str">
        <v>Priya</v>
      </c>
      <c r="BR62" t="str">
        <v>Customer_42</v>
      </c>
      <c r="BS62" t="str">
        <v>Office Supplies</v>
      </c>
      <c r="BT62" t="str">
        <v>Mouse</v>
      </c>
      <c r="BU62">
        <v>13</v>
      </c>
      <c r="BV62">
        <v>24831</v>
      </c>
      <c r="BW62">
        <v>0</v>
      </c>
      <c r="BX62">
        <v>322803</v>
      </c>
      <c r="BY62">
        <v>199823.29</v>
      </c>
      <c r="BZ62">
        <v>122979.71</v>
      </c>
      <c r="CA62" t="str">
        <v>Card</v>
      </c>
      <c r="CB62">
        <v>4</v>
      </c>
      <c r="CC62">
        <v>3.2</v>
      </c>
      <c r="CD62" t="b">
        <f>COUNTIF(Sales_Data!E:E,Sales_Data!E62)&gt;1</f>
        <v>1</v>
      </c>
      <c r="CE62">
        <f>SUM(Sales_Data!$K$2:'Sales_Data'!K62)</f>
        <v>14505103.749999998</v>
      </c>
      <c r="CF62">
        <f t="shared" si="13"/>
        <v>274117.68</v>
      </c>
      <c r="CG62" t="str">
        <f>CHOOSE(MATCH(C62,{"North","West","South","East"},0),"Zone 1","Zone 2","Zone 3","Zone 4")</f>
        <v>Zone 4</v>
      </c>
      <c r="CH62" t="str" cm="1">
        <f t="array" ref="CH62">_xlfn.SWITCH(N62,"Card","Card Payment","UPI", "UPI Payment","Cash","Cash Payment","NetBanking", "NetBanking Payment", "Unknown")</f>
        <v>Cash Payment</v>
      </c>
      <c r="CI62" t="str" cm="1">
        <f t="array" ref="CI62">_xlfn.IFS(Sales_Data!J62&lt;=5,"Low",Sales_Data!J62&lt;=10,"Medium",Sales_Data!J62&gt;10,"High")</f>
        <v>High</v>
      </c>
    </row>
    <row r="63" spans="1:87" x14ac:dyDescent="0.3">
      <c r="A63">
        <v>1063</v>
      </c>
      <c r="B63" s="1">
        <v>45597</v>
      </c>
      <c r="C63" t="s">
        <v>33</v>
      </c>
      <c r="D63" t="s">
        <v>17</v>
      </c>
      <c r="E63" t="s">
        <v>76</v>
      </c>
      <c r="F63" t="s">
        <v>25</v>
      </c>
      <c r="G63" t="s">
        <v>20</v>
      </c>
      <c r="H63">
        <v>14</v>
      </c>
      <c r="I63">
        <v>43915</v>
      </c>
      <c r="J63">
        <v>10</v>
      </c>
      <c r="K63">
        <v>553329</v>
      </c>
      <c r="L63">
        <v>308406.03999999998</v>
      </c>
      <c r="M63">
        <v>244922.96</v>
      </c>
      <c r="N63" t="s">
        <v>37</v>
      </c>
      <c r="O63">
        <v>10</v>
      </c>
      <c r="P63">
        <v>3</v>
      </c>
      <c r="Q63">
        <f t="shared" si="1"/>
        <v>5</v>
      </c>
      <c r="R63" t="str">
        <f t="shared" si="2"/>
        <v>Phone</v>
      </c>
      <c r="S63" t="e">
        <f t="shared" si="3"/>
        <v>#N/A</v>
      </c>
      <c r="T63">
        <v>45777</v>
      </c>
      <c r="U63" t="str">
        <v>East</v>
      </c>
      <c r="V63" t="str">
        <v>Aman</v>
      </c>
      <c r="W63" t="str">
        <v>Customer_38</v>
      </c>
      <c r="X63" t="str">
        <v>Office Supplies</v>
      </c>
      <c r="Y63" t="str">
        <v>Desk</v>
      </c>
      <c r="Z63">
        <v>20</v>
      </c>
      <c r="AA63">
        <v>25850</v>
      </c>
      <c r="AB63">
        <v>10</v>
      </c>
      <c r="AC63">
        <v>465300</v>
      </c>
      <c r="AD63">
        <v>322127.03000000003</v>
      </c>
      <c r="AE63">
        <v>143172.97</v>
      </c>
      <c r="AF63" t="str">
        <v>Card</v>
      </c>
      <c r="AG63">
        <v>7</v>
      </c>
      <c r="AH63">
        <v>3.7</v>
      </c>
      <c r="AI63">
        <v>27</v>
      </c>
      <c r="AJ63" t="str">
        <v>Desk</v>
      </c>
      <c r="AK63">
        <v>1006</v>
      </c>
      <c r="AL63">
        <v>45384</v>
      </c>
      <c r="AM63" t="str">
        <v>East</v>
      </c>
      <c r="AN63" t="str">
        <v>Rohan</v>
      </c>
      <c r="AO63" t="str">
        <v>Customer_36</v>
      </c>
      <c r="AP63" t="str">
        <v>Furniture</v>
      </c>
      <c r="AQ63" t="str">
        <v>Laptop</v>
      </c>
      <c r="AR63">
        <v>9</v>
      </c>
      <c r="AS63">
        <v>30283</v>
      </c>
      <c r="AT63">
        <v>10</v>
      </c>
      <c r="AU63">
        <v>245292.3</v>
      </c>
      <c r="AV63">
        <v>149179.91</v>
      </c>
      <c r="AW63">
        <v>96112.39</v>
      </c>
      <c r="AX63" t="str">
        <v>Cash</v>
      </c>
      <c r="AY63">
        <v>10</v>
      </c>
      <c r="AZ63">
        <v>2.8</v>
      </c>
      <c r="BA63">
        <v>61</v>
      </c>
      <c r="BB63" t="str">
        <v>Laptop</v>
      </c>
      <c r="BC63" s="6">
        <f t="shared" si="4"/>
        <v>4</v>
      </c>
      <c r="BD63" t="str">
        <f t="shared" si="5"/>
        <v>Bonus!</v>
      </c>
      <c r="BE63" s="8">
        <f t="shared" si="6"/>
        <v>0.4426353218428819</v>
      </c>
      <c r="BF63" t="str">
        <v>Customer_26</v>
      </c>
      <c r="BG63" t="str">
        <f t="shared" si="7"/>
        <v>East-Phone</v>
      </c>
      <c r="BH63">
        <f t="shared" si="8"/>
        <v>2024</v>
      </c>
      <c r="BI63" t="str">
        <f t="shared" si="9"/>
        <v>November</v>
      </c>
      <c r="BJ63">
        <f t="shared" ca="1" si="0"/>
        <v>434</v>
      </c>
      <c r="BK63" s="8">
        <f t="shared" si="10"/>
        <v>0.4426353218428819</v>
      </c>
      <c r="BL63">
        <f t="shared" si="11"/>
        <v>33295</v>
      </c>
      <c r="BM63">
        <f t="shared" si="12"/>
        <v>63</v>
      </c>
      <c r="BN63">
        <v>1062</v>
      </c>
      <c r="BO63">
        <v>45767</v>
      </c>
      <c r="BP63" t="str">
        <v>East</v>
      </c>
      <c r="BQ63" t="str">
        <v>Sneha</v>
      </c>
      <c r="BR63" t="str">
        <v>Customer_42</v>
      </c>
      <c r="BS63" t="str">
        <v>Furniture</v>
      </c>
      <c r="BT63" t="str">
        <v>Desk</v>
      </c>
      <c r="BU63">
        <v>6</v>
      </c>
      <c r="BV63">
        <v>49659</v>
      </c>
      <c r="BW63">
        <v>20</v>
      </c>
      <c r="BX63">
        <v>238363.2</v>
      </c>
      <c r="BY63">
        <v>137285.84</v>
      </c>
      <c r="BZ63">
        <v>101077.36</v>
      </c>
      <c r="CA63" t="str">
        <v>Cash</v>
      </c>
      <c r="CB63">
        <v>5</v>
      </c>
      <c r="CC63">
        <v>4.8</v>
      </c>
      <c r="CD63" t="b">
        <f>COUNTIF(Sales_Data!E:E,Sales_Data!E63)&gt;1</f>
        <v>1</v>
      </c>
      <c r="CE63">
        <f>SUM(Sales_Data!$K$2:'Sales_Data'!K63)</f>
        <v>15058432.749999998</v>
      </c>
      <c r="CF63">
        <f t="shared" si="13"/>
        <v>636328.35</v>
      </c>
      <c r="CG63" t="str">
        <f>CHOOSE(MATCH(C63,{"North","West","South","East"},0),"Zone 1","Zone 2","Zone 3","Zone 4")</f>
        <v>Zone 4</v>
      </c>
      <c r="CH63" t="str" cm="1">
        <f t="array" ref="CH63">_xlfn.SWITCH(N63,"Card","Card Payment","UPI", "UPI Payment","Cash","Cash Payment","NetBanking", "NetBanking Payment", "Unknown")</f>
        <v>Cash Payment</v>
      </c>
      <c r="CI63" t="str" cm="1">
        <f t="array" ref="CI63">_xlfn.IFS(Sales_Data!J63&lt;=5,"Low",Sales_Data!J63&lt;=10,"Medium",Sales_Data!J63&gt;10,"High")</f>
        <v>Medium</v>
      </c>
    </row>
    <row r="64" spans="1:87" x14ac:dyDescent="0.3">
      <c r="A64">
        <v>1064</v>
      </c>
      <c r="B64" s="1">
        <v>45420</v>
      </c>
      <c r="C64" t="s">
        <v>33</v>
      </c>
      <c r="D64" t="s">
        <v>39</v>
      </c>
      <c r="E64" t="s">
        <v>77</v>
      </c>
      <c r="F64" t="s">
        <v>25</v>
      </c>
      <c r="G64" t="s">
        <v>36</v>
      </c>
      <c r="H64">
        <v>19</v>
      </c>
      <c r="I64">
        <v>6726</v>
      </c>
      <c r="J64">
        <v>10</v>
      </c>
      <c r="K64">
        <v>115014.6</v>
      </c>
      <c r="L64">
        <v>75213.81</v>
      </c>
      <c r="M64">
        <v>39800.79</v>
      </c>
      <c r="N64" t="s">
        <v>21</v>
      </c>
      <c r="O64">
        <v>4</v>
      </c>
      <c r="P64">
        <v>4.8</v>
      </c>
      <c r="Q64">
        <f t="shared" si="1"/>
        <v>123</v>
      </c>
      <c r="R64" t="str">
        <f t="shared" si="2"/>
        <v>Laptop</v>
      </c>
      <c r="S64" t="e">
        <f t="shared" si="3"/>
        <v>#N/A</v>
      </c>
      <c r="T64">
        <v>45459</v>
      </c>
      <c r="U64" t="str">
        <v>East</v>
      </c>
      <c r="V64" t="str">
        <v>Sneha</v>
      </c>
      <c r="W64" t="str">
        <v>Customer_47</v>
      </c>
      <c r="X64" t="str">
        <v>Electronics</v>
      </c>
      <c r="Y64" t="str">
        <v>Chair</v>
      </c>
      <c r="Z64">
        <v>17</v>
      </c>
      <c r="AA64">
        <v>22457</v>
      </c>
      <c r="AB64">
        <v>20</v>
      </c>
      <c r="AC64">
        <v>305415.2</v>
      </c>
      <c r="AD64">
        <v>193951.39</v>
      </c>
      <c r="AE64">
        <v>111463.81</v>
      </c>
      <c r="AF64" t="str">
        <v>UPI</v>
      </c>
      <c r="AG64">
        <v>3</v>
      </c>
      <c r="AH64">
        <v>4.5</v>
      </c>
      <c r="AI64">
        <v>48</v>
      </c>
      <c r="AJ64" t="str">
        <v>Chair</v>
      </c>
      <c r="AK64">
        <v>1179</v>
      </c>
      <c r="AL64">
        <v>45522</v>
      </c>
      <c r="AM64" t="str">
        <v>South</v>
      </c>
      <c r="AN64" t="str">
        <v>Priya</v>
      </c>
      <c r="AO64" t="str">
        <v>Customer_47</v>
      </c>
      <c r="AP64" t="str">
        <v>Furniture</v>
      </c>
      <c r="AQ64" t="str">
        <v>Mouse</v>
      </c>
      <c r="AR64">
        <v>7</v>
      </c>
      <c r="AS64">
        <v>42298</v>
      </c>
      <c r="AT64">
        <v>5</v>
      </c>
      <c r="AU64">
        <v>281281.7</v>
      </c>
      <c r="AV64">
        <v>185208.7</v>
      </c>
      <c r="AW64">
        <v>96073</v>
      </c>
      <c r="AX64" t="str">
        <v>Card</v>
      </c>
      <c r="AY64">
        <v>7</v>
      </c>
      <c r="AZ64">
        <v>4.8</v>
      </c>
      <c r="BA64">
        <v>62</v>
      </c>
      <c r="BB64" t="str">
        <v>Mouse</v>
      </c>
      <c r="BC64" s="6">
        <f t="shared" si="4"/>
        <v>2</v>
      </c>
      <c r="BD64" t="str">
        <f t="shared" si="5"/>
        <v/>
      </c>
      <c r="BE64" s="8">
        <f t="shared" si="6"/>
        <v>0.34604989279621889</v>
      </c>
      <c r="BF64" t="str">
        <v>Customer_26</v>
      </c>
      <c r="BG64" t="str">
        <f t="shared" si="7"/>
        <v>East-Laptop</v>
      </c>
      <c r="BH64">
        <f t="shared" si="8"/>
        <v>2024</v>
      </c>
      <c r="BI64" t="str">
        <f t="shared" si="9"/>
        <v>May</v>
      </c>
      <c r="BJ64">
        <f t="shared" ca="1" si="0"/>
        <v>561</v>
      </c>
      <c r="BK64" s="8">
        <f t="shared" si="10"/>
        <v>0.34604989279621889</v>
      </c>
      <c r="BL64">
        <f t="shared" si="11"/>
        <v>30283</v>
      </c>
      <c r="BM64">
        <f t="shared" si="12"/>
        <v>64</v>
      </c>
      <c r="BN64">
        <v>1063</v>
      </c>
      <c r="BO64">
        <v>45597</v>
      </c>
      <c r="BP64" t="str">
        <v>East</v>
      </c>
      <c r="BQ64" t="str">
        <v>Rohan</v>
      </c>
      <c r="BR64" t="str">
        <v>Customer_37</v>
      </c>
      <c r="BS64" t="str">
        <v>Office Supplies</v>
      </c>
      <c r="BT64" t="str">
        <v>Phone</v>
      </c>
      <c r="BU64">
        <v>14</v>
      </c>
      <c r="BV64">
        <v>43915</v>
      </c>
      <c r="BW64">
        <v>10</v>
      </c>
      <c r="BX64">
        <v>553329</v>
      </c>
      <c r="BY64">
        <v>308406.03999999998</v>
      </c>
      <c r="BZ64">
        <v>244922.96</v>
      </c>
      <c r="CA64" t="str">
        <v>Cash</v>
      </c>
      <c r="CB64">
        <v>10</v>
      </c>
      <c r="CC64">
        <v>3</v>
      </c>
      <c r="CD64" t="b">
        <f>COUNTIF(Sales_Data!E:E,Sales_Data!E64)&gt;1</f>
        <v>1</v>
      </c>
      <c r="CE64">
        <f>SUM(Sales_Data!$K$2:'Sales_Data'!K64)</f>
        <v>15173447.349999998</v>
      </c>
      <c r="CF64">
        <f t="shared" si="13"/>
        <v>132266.79</v>
      </c>
      <c r="CG64" t="str">
        <f>CHOOSE(MATCH(C64,{"North","West","South","East"},0),"Zone 1","Zone 2","Zone 3","Zone 4")</f>
        <v>Zone 4</v>
      </c>
      <c r="CH64" t="str" cm="1">
        <f t="array" ref="CH64">_xlfn.SWITCH(N64,"Card","Card Payment","UPI", "UPI Payment","Cash","Cash Payment","NetBanking", "NetBanking Payment", "Unknown")</f>
        <v>Card Payment</v>
      </c>
      <c r="CI64" t="str" cm="1">
        <f t="array" ref="CI64">_xlfn.IFS(Sales_Data!J64&lt;=5,"Low",Sales_Data!J64&lt;=10,"Medium",Sales_Data!J64&gt;10,"High")</f>
        <v>Medium</v>
      </c>
    </row>
    <row r="65" spans="1:87" x14ac:dyDescent="0.3">
      <c r="A65">
        <v>1065</v>
      </c>
      <c r="B65" s="1">
        <v>45311</v>
      </c>
      <c r="C65" t="s">
        <v>50</v>
      </c>
      <c r="D65" t="s">
        <v>17</v>
      </c>
      <c r="E65" t="s">
        <v>70</v>
      </c>
      <c r="F65" t="s">
        <v>25</v>
      </c>
      <c r="G65" t="s">
        <v>36</v>
      </c>
      <c r="H65">
        <v>10</v>
      </c>
      <c r="I65">
        <v>38964</v>
      </c>
      <c r="J65">
        <v>0</v>
      </c>
      <c r="K65">
        <v>389640</v>
      </c>
      <c r="L65">
        <v>256468.2</v>
      </c>
      <c r="M65">
        <v>133171.79999999999</v>
      </c>
      <c r="N65" t="s">
        <v>48</v>
      </c>
      <c r="O65">
        <v>5</v>
      </c>
      <c r="P65">
        <v>4.7</v>
      </c>
      <c r="Q65">
        <f t="shared" si="1"/>
        <v>33</v>
      </c>
      <c r="R65" t="str">
        <f t="shared" si="2"/>
        <v>Laptop</v>
      </c>
      <c r="S65" t="e">
        <f t="shared" si="3"/>
        <v>#N/A</v>
      </c>
      <c r="T65">
        <v>45789</v>
      </c>
      <c r="U65" t="str">
        <v>East</v>
      </c>
      <c r="V65" t="str">
        <v>Megha</v>
      </c>
      <c r="W65" t="str">
        <v>Customer_27</v>
      </c>
      <c r="X65" t="str">
        <v>Electronics</v>
      </c>
      <c r="Y65" t="str">
        <v>Laptop</v>
      </c>
      <c r="Z65">
        <v>12</v>
      </c>
      <c r="AA65">
        <v>42610</v>
      </c>
      <c r="AB65">
        <v>5</v>
      </c>
      <c r="AC65">
        <v>485754</v>
      </c>
      <c r="AD65">
        <v>306428.53000000003</v>
      </c>
      <c r="AE65">
        <v>179325.47</v>
      </c>
      <c r="AF65" t="str">
        <v>Cash</v>
      </c>
      <c r="AG65">
        <v>3</v>
      </c>
      <c r="AH65">
        <v>4</v>
      </c>
      <c r="AI65">
        <v>14</v>
      </c>
      <c r="AJ65" t="str">
        <v>Laptop</v>
      </c>
      <c r="AK65">
        <v>1005</v>
      </c>
      <c r="AL65">
        <v>45677</v>
      </c>
      <c r="AM65" t="str">
        <v>South</v>
      </c>
      <c r="AN65" t="str">
        <v>Neha</v>
      </c>
      <c r="AO65" t="str">
        <v>Customer_6</v>
      </c>
      <c r="AP65" t="str">
        <v>Electronics</v>
      </c>
      <c r="AQ65" t="str">
        <v>Phone</v>
      </c>
      <c r="AR65">
        <v>14</v>
      </c>
      <c r="AS65">
        <v>44162</v>
      </c>
      <c r="AT65">
        <v>15</v>
      </c>
      <c r="AU65">
        <v>525527.80000000005</v>
      </c>
      <c r="AV65">
        <v>431802.75</v>
      </c>
      <c r="AW65">
        <v>93725.05</v>
      </c>
      <c r="AX65" t="str">
        <v>UPI</v>
      </c>
      <c r="AY65">
        <v>3</v>
      </c>
      <c r="AZ65">
        <v>5</v>
      </c>
      <c r="BA65">
        <v>63</v>
      </c>
      <c r="BB65" t="str">
        <v>Phone</v>
      </c>
      <c r="BC65" s="6">
        <f t="shared" si="4"/>
        <v>0</v>
      </c>
      <c r="BD65" t="str">
        <f t="shared" si="5"/>
        <v>Bonus!</v>
      </c>
      <c r="BE65" s="8">
        <f t="shared" si="6"/>
        <v>0.34178164459501076</v>
      </c>
      <c r="BF65" t="str">
        <v>Customer_26</v>
      </c>
      <c r="BG65" t="str">
        <f t="shared" si="7"/>
        <v>North-Laptop</v>
      </c>
      <c r="BH65">
        <f t="shared" si="8"/>
        <v>2024</v>
      </c>
      <c r="BI65" t="str">
        <f t="shared" si="9"/>
        <v>January</v>
      </c>
      <c r="BJ65">
        <f t="shared" ca="1" si="0"/>
        <v>638</v>
      </c>
      <c r="BK65" s="8">
        <f t="shared" si="10"/>
        <v>0.34178164459501076</v>
      </c>
      <c r="BL65">
        <f t="shared" si="11"/>
        <v>30283</v>
      </c>
      <c r="BM65">
        <f t="shared" si="12"/>
        <v>42</v>
      </c>
      <c r="BN65">
        <v>1064</v>
      </c>
      <c r="BO65">
        <v>45420</v>
      </c>
      <c r="BP65" t="str">
        <v>East</v>
      </c>
      <c r="BQ65" t="str">
        <v>Sneha</v>
      </c>
      <c r="BR65" t="str">
        <v>Customer_19</v>
      </c>
      <c r="BS65" t="str">
        <v>Office Supplies</v>
      </c>
      <c r="BT65" t="str">
        <v>Laptop</v>
      </c>
      <c r="BU65">
        <v>19</v>
      </c>
      <c r="BV65">
        <v>6726</v>
      </c>
      <c r="BW65">
        <v>10</v>
      </c>
      <c r="BX65">
        <v>115014.6</v>
      </c>
      <c r="BY65">
        <v>75213.81</v>
      </c>
      <c r="BZ65">
        <v>39800.79</v>
      </c>
      <c r="CA65" t="str">
        <v>Card</v>
      </c>
      <c r="CB65">
        <v>4</v>
      </c>
      <c r="CC65">
        <v>4.8</v>
      </c>
      <c r="CD65" t="b">
        <f>COUNTIF(Sales_Data!E:E,Sales_Data!E65)&gt;1</f>
        <v>1</v>
      </c>
      <c r="CE65">
        <f>SUM(Sales_Data!$K$2:'Sales_Data'!K65)</f>
        <v>15563087.349999998</v>
      </c>
      <c r="CF65">
        <f t="shared" si="13"/>
        <v>448085.99999999994</v>
      </c>
      <c r="CG65" t="str">
        <f>CHOOSE(MATCH(C65,{"North","West","South","East"},0),"Zone 1","Zone 2","Zone 3","Zone 4")</f>
        <v>Zone 1</v>
      </c>
      <c r="CH65" t="str" cm="1">
        <f t="array" ref="CH65">_xlfn.SWITCH(N65,"Card","Card Payment","UPI", "UPI Payment","Cash","Cash Payment","NetBanking", "NetBanking Payment", "Unknown")</f>
        <v>NetBanking Payment</v>
      </c>
      <c r="CI65" t="str" cm="1">
        <f t="array" ref="CI65">_xlfn.IFS(Sales_Data!J65&lt;=5,"Low",Sales_Data!J65&lt;=10,"Medium",Sales_Data!J65&gt;10,"High")</f>
        <v>Low</v>
      </c>
    </row>
    <row r="66" spans="1:87" x14ac:dyDescent="0.3">
      <c r="A66">
        <v>1066</v>
      </c>
      <c r="B66" s="1">
        <v>45460</v>
      </c>
      <c r="C66" t="s">
        <v>50</v>
      </c>
      <c r="D66" t="s">
        <v>39</v>
      </c>
      <c r="E66" t="s">
        <v>74</v>
      </c>
      <c r="F66" t="s">
        <v>19</v>
      </c>
      <c r="G66" t="s">
        <v>36</v>
      </c>
      <c r="H66">
        <v>5</v>
      </c>
      <c r="I66">
        <v>37787</v>
      </c>
      <c r="J66">
        <v>0</v>
      </c>
      <c r="K66">
        <v>188935</v>
      </c>
      <c r="L66">
        <v>117508.49</v>
      </c>
      <c r="M66">
        <v>71426.509999999995</v>
      </c>
      <c r="N66" t="s">
        <v>27</v>
      </c>
      <c r="O66">
        <v>1</v>
      </c>
      <c r="P66">
        <v>3.7</v>
      </c>
      <c r="Q66">
        <f t="shared" si="1"/>
        <v>81</v>
      </c>
      <c r="R66" t="str">
        <f t="shared" si="2"/>
        <v>Laptop</v>
      </c>
      <c r="S66" t="e">
        <f t="shared" si="3"/>
        <v>#N/A</v>
      </c>
      <c r="T66">
        <v>45617</v>
      </c>
      <c r="U66" t="str">
        <v>East</v>
      </c>
      <c r="V66" t="str">
        <v>Aman</v>
      </c>
      <c r="W66" t="str">
        <v>Customer_8</v>
      </c>
      <c r="X66" t="str">
        <v>Electronics</v>
      </c>
      <c r="Y66" t="str">
        <v>Printer</v>
      </c>
      <c r="Z66">
        <v>20</v>
      </c>
      <c r="AA66">
        <v>16396</v>
      </c>
      <c r="AB66">
        <v>0</v>
      </c>
      <c r="AC66">
        <v>327920</v>
      </c>
      <c r="AD66">
        <v>186074.48</v>
      </c>
      <c r="AE66">
        <v>141845.51999999999</v>
      </c>
      <c r="AF66" t="str">
        <v>NetBanking</v>
      </c>
      <c r="AG66">
        <v>8</v>
      </c>
      <c r="AH66">
        <v>4.4000000000000004</v>
      </c>
      <c r="AI66">
        <v>29</v>
      </c>
      <c r="AJ66" t="str">
        <v>Printer</v>
      </c>
      <c r="AK66">
        <v>1012</v>
      </c>
      <c r="AL66">
        <v>45297</v>
      </c>
      <c r="AM66" t="str">
        <v>East</v>
      </c>
      <c r="AN66" t="str">
        <v>Rohan</v>
      </c>
      <c r="AO66" t="str">
        <v>Customer_20</v>
      </c>
      <c r="AP66" t="str">
        <v>Office Supplies</v>
      </c>
      <c r="AQ66" t="str">
        <v>Monitor</v>
      </c>
      <c r="AR66">
        <v>18</v>
      </c>
      <c r="AS66">
        <v>26687</v>
      </c>
      <c r="AT66">
        <v>0</v>
      </c>
      <c r="AU66">
        <v>480366</v>
      </c>
      <c r="AV66">
        <v>387524.91</v>
      </c>
      <c r="AW66">
        <v>92841.09</v>
      </c>
      <c r="AX66" t="str">
        <v>NetBanking</v>
      </c>
      <c r="AY66">
        <v>8</v>
      </c>
      <c r="AZ66">
        <v>4.8</v>
      </c>
      <c r="BA66">
        <v>64</v>
      </c>
      <c r="BB66" t="str">
        <v>Monitor</v>
      </c>
      <c r="BC66" s="6">
        <f t="shared" si="4"/>
        <v>2</v>
      </c>
      <c r="BD66" t="str">
        <f t="shared" si="5"/>
        <v/>
      </c>
      <c r="BE66" s="8">
        <f t="shared" si="6"/>
        <v>0.37804805885622039</v>
      </c>
      <c r="BF66" t="str">
        <v>Customer_27</v>
      </c>
      <c r="BG66" t="str">
        <f t="shared" si="7"/>
        <v>North-Laptop</v>
      </c>
      <c r="BH66">
        <f t="shared" si="8"/>
        <v>2024</v>
      </c>
      <c r="BI66" t="str">
        <f t="shared" si="9"/>
        <v>June</v>
      </c>
      <c r="BJ66">
        <f t="shared" ref="BJ66:BJ129" ca="1" si="14">NETWORKDAYS(B66,TODAY())</f>
        <v>533</v>
      </c>
      <c r="BK66" s="8">
        <f t="shared" si="10"/>
        <v>0.37804805885622039</v>
      </c>
      <c r="BL66">
        <f t="shared" si="11"/>
        <v>30283</v>
      </c>
      <c r="BM66">
        <f t="shared" si="12"/>
        <v>50</v>
      </c>
      <c r="BN66">
        <v>1065</v>
      </c>
      <c r="BO66">
        <v>45311</v>
      </c>
      <c r="BP66" t="str">
        <v>North</v>
      </c>
      <c r="BQ66" t="str">
        <v>Rohan</v>
      </c>
      <c r="BR66" t="str">
        <v>Customer_35</v>
      </c>
      <c r="BS66" t="str">
        <v>Office Supplies</v>
      </c>
      <c r="BT66" t="str">
        <v>Laptop</v>
      </c>
      <c r="BU66">
        <v>10</v>
      </c>
      <c r="BV66">
        <v>38964</v>
      </c>
      <c r="BW66">
        <v>0</v>
      </c>
      <c r="BX66">
        <v>389640</v>
      </c>
      <c r="BY66">
        <v>256468.2</v>
      </c>
      <c r="BZ66">
        <v>133171.79999999999</v>
      </c>
      <c r="CA66" t="str">
        <v>NetBanking</v>
      </c>
      <c r="CB66">
        <v>5</v>
      </c>
      <c r="CC66">
        <v>4.7</v>
      </c>
      <c r="CD66" t="b">
        <f>COUNTIF(Sales_Data!E:E,Sales_Data!E66)&gt;1</f>
        <v>1</v>
      </c>
      <c r="CE66">
        <f>SUM(Sales_Data!$K$2:'Sales_Data'!K66)</f>
        <v>15752022.349999998</v>
      </c>
      <c r="CF66">
        <f t="shared" si="13"/>
        <v>217275.24999999997</v>
      </c>
      <c r="CG66" t="str">
        <f>CHOOSE(MATCH(C66,{"North","West","South","East"},0),"Zone 1","Zone 2","Zone 3","Zone 4")</f>
        <v>Zone 1</v>
      </c>
      <c r="CH66" t="str" cm="1">
        <f t="array" ref="CH66">_xlfn.SWITCH(N66,"Card","Card Payment","UPI", "UPI Payment","Cash","Cash Payment","NetBanking", "NetBanking Payment", "Unknown")</f>
        <v>UPI Payment</v>
      </c>
      <c r="CI66" t="str" cm="1">
        <f t="array" ref="CI66">_xlfn.IFS(Sales_Data!J66&lt;=5,"Low",Sales_Data!J66&lt;=10,"Medium",Sales_Data!J66&gt;10,"High")</f>
        <v>Low</v>
      </c>
    </row>
    <row r="67" spans="1:87" x14ac:dyDescent="0.3">
      <c r="A67">
        <v>1067</v>
      </c>
      <c r="B67" s="1">
        <v>45603</v>
      </c>
      <c r="C67" t="s">
        <v>16</v>
      </c>
      <c r="D67" t="s">
        <v>17</v>
      </c>
      <c r="E67" t="s">
        <v>73</v>
      </c>
      <c r="F67" t="s">
        <v>19</v>
      </c>
      <c r="G67" t="s">
        <v>36</v>
      </c>
      <c r="H67">
        <v>19</v>
      </c>
      <c r="I67">
        <v>26262</v>
      </c>
      <c r="J67">
        <v>20</v>
      </c>
      <c r="K67">
        <v>399182.4</v>
      </c>
      <c r="L67">
        <v>300998.57</v>
      </c>
      <c r="M67">
        <v>98183.83</v>
      </c>
      <c r="N67" t="s">
        <v>21</v>
      </c>
      <c r="O67">
        <v>6</v>
      </c>
      <c r="P67">
        <v>3.8</v>
      </c>
      <c r="Q67">
        <f t="shared" ref="Q67:Q130" si="15">RANK(M67,$M$2:$M$1000)</f>
        <v>60</v>
      </c>
      <c r="R67" t="str">
        <f t="shared" ref="R67:R130" si="16">_xlfn.XLOOKUP(A67,A:A,G:G,"")</f>
        <v>Laptop</v>
      </c>
      <c r="S67" t="e">
        <f t="shared" ref="S67:S130" si="17">INDEX(D:D,MATCH($T$1,A:A,0))</f>
        <v>#N/A</v>
      </c>
      <c r="T67">
        <v>45540</v>
      </c>
      <c r="U67" t="str">
        <v>West</v>
      </c>
      <c r="V67" t="str">
        <v>Karan</v>
      </c>
      <c r="W67" t="str">
        <v>Customer_23</v>
      </c>
      <c r="X67" t="str">
        <v>Office Supplies</v>
      </c>
      <c r="Y67" t="str">
        <v>Mouse</v>
      </c>
      <c r="Z67">
        <v>13</v>
      </c>
      <c r="AA67">
        <v>26633</v>
      </c>
      <c r="AB67">
        <v>10</v>
      </c>
      <c r="AC67">
        <v>311606.09999999998</v>
      </c>
      <c r="AD67">
        <v>258772</v>
      </c>
      <c r="AE67">
        <v>52834.1</v>
      </c>
      <c r="AF67" t="str">
        <v>UPI</v>
      </c>
      <c r="AG67">
        <v>1</v>
      </c>
      <c r="AH67">
        <v>3.5</v>
      </c>
      <c r="AI67">
        <v>103</v>
      </c>
      <c r="AJ67" t="str">
        <v>Mouse</v>
      </c>
      <c r="AK67">
        <v>1105</v>
      </c>
      <c r="AL67">
        <v>45443</v>
      </c>
      <c r="AM67" t="str">
        <v>South</v>
      </c>
      <c r="AN67" t="str">
        <v>Neha</v>
      </c>
      <c r="AO67" t="str">
        <v>Customer_37</v>
      </c>
      <c r="AP67" t="str">
        <v>Furniture</v>
      </c>
      <c r="AQ67" t="str">
        <v>Chair</v>
      </c>
      <c r="AR67">
        <v>9</v>
      </c>
      <c r="AS67">
        <v>42540</v>
      </c>
      <c r="AT67">
        <v>0</v>
      </c>
      <c r="AU67">
        <v>382860</v>
      </c>
      <c r="AV67">
        <v>290496.99</v>
      </c>
      <c r="AW67">
        <v>92363.01</v>
      </c>
      <c r="AX67" t="str">
        <v>UPI</v>
      </c>
      <c r="AY67">
        <v>7</v>
      </c>
      <c r="AZ67">
        <v>3</v>
      </c>
      <c r="BA67">
        <v>65</v>
      </c>
      <c r="BB67" t="str">
        <v>Chair</v>
      </c>
      <c r="BC67" s="6">
        <f t="shared" ref="BC67:BC130" si="18">ROUND(MONTH(B67)/3,0)</f>
        <v>4</v>
      </c>
      <c r="BD67" t="str">
        <f t="shared" ref="BD67:BD130" si="19">IF(M67&gt;100000,"Bonus!","")</f>
        <v/>
      </c>
      <c r="BE67" s="8">
        <f t="shared" ref="BE67:BE130" si="20">_xlfn.LET(_xlpm.profit,M67,_xlpm.sales,K67,_xlpm.profit/_xlpm.sales)</f>
        <v>0.24596232198613965</v>
      </c>
      <c r="BF67" t="str">
        <v>Customer_27</v>
      </c>
      <c r="BG67" t="str">
        <f t="shared" ref="BG67:BG130" si="21">_xlfn.TEXTJOIN("-",TRUE,C67,G67)</f>
        <v>West-Laptop</v>
      </c>
      <c r="BH67">
        <f t="shared" ref="BH67:BH130" si="22">YEAR(B67)</f>
        <v>2024</v>
      </c>
      <c r="BI67" t="str">
        <f t="shared" ref="BI67:BI130" si="23">TEXT(B67,"mmmm")</f>
        <v>November</v>
      </c>
      <c r="BJ67">
        <f t="shared" ca="1" si="14"/>
        <v>430</v>
      </c>
      <c r="BK67" s="8">
        <f t="shared" ref="BK67:BK130" si="24">M67/K67</f>
        <v>0.24596232198613965</v>
      </c>
      <c r="BL67">
        <f t="shared" ref="BL67:BL130" si="25">_xlfn.XLOOKUP(G67,G:G,I:I,"",0)</f>
        <v>30283</v>
      </c>
      <c r="BM67">
        <f t="shared" ref="BM67:BM130" si="26">_xlfn.XMATCH(E67,E:E,0)</f>
        <v>47</v>
      </c>
      <c r="BN67">
        <v>1066</v>
      </c>
      <c r="BO67">
        <v>45460</v>
      </c>
      <c r="BP67" t="str">
        <v>North</v>
      </c>
      <c r="BQ67" t="str">
        <v>Sneha</v>
      </c>
      <c r="BR67" t="str">
        <v>Customer_34</v>
      </c>
      <c r="BS67" t="str">
        <v>Electronics</v>
      </c>
      <c r="BT67" t="str">
        <v>Laptop</v>
      </c>
      <c r="BU67">
        <v>5</v>
      </c>
      <c r="BV67">
        <v>37787</v>
      </c>
      <c r="BW67">
        <v>0</v>
      </c>
      <c r="BX67">
        <v>188935</v>
      </c>
      <c r="BY67">
        <v>117508.49</v>
      </c>
      <c r="BZ67">
        <v>71426.509999999995</v>
      </c>
      <c r="CA67" t="str">
        <v>UPI</v>
      </c>
      <c r="CB67">
        <v>1</v>
      </c>
      <c r="CC67">
        <v>3.7</v>
      </c>
      <c r="CD67" t="b">
        <f>COUNTIF(Sales_Data!E:E,Sales_Data!E67)&gt;1</f>
        <v>1</v>
      </c>
      <c r="CE67">
        <f>SUM(Sales_Data!$K$2:'Sales_Data'!K67)</f>
        <v>16151204.749999998</v>
      </c>
      <c r="CF67">
        <f t="shared" ref="CF67:CF130" si="27">K67*1.15</f>
        <v>459059.76</v>
      </c>
      <c r="CG67" t="str">
        <f>CHOOSE(MATCH(C67,{"North","West","South","East"},0),"Zone 1","Zone 2","Zone 3","Zone 4")</f>
        <v>Zone 2</v>
      </c>
      <c r="CH67" t="str" cm="1">
        <f t="array" ref="CH67">_xlfn.SWITCH(N67,"Card","Card Payment","UPI", "UPI Payment","Cash","Cash Payment","NetBanking", "NetBanking Payment", "Unknown")</f>
        <v>Card Payment</v>
      </c>
      <c r="CI67" t="str" cm="1">
        <f t="array" ref="CI67">_xlfn.IFS(Sales_Data!J67&lt;=5,"Low",Sales_Data!J67&lt;=10,"Medium",Sales_Data!J67&gt;10,"High")</f>
        <v>High</v>
      </c>
    </row>
    <row r="68" spans="1:87" x14ac:dyDescent="0.3">
      <c r="A68">
        <v>1068</v>
      </c>
      <c r="B68" s="1">
        <v>45325</v>
      </c>
      <c r="C68" t="s">
        <v>16</v>
      </c>
      <c r="D68" t="s">
        <v>57</v>
      </c>
      <c r="E68" t="s">
        <v>78</v>
      </c>
      <c r="F68" t="s">
        <v>35</v>
      </c>
      <c r="G68" t="s">
        <v>47</v>
      </c>
      <c r="H68">
        <v>18</v>
      </c>
      <c r="I68">
        <v>3192</v>
      </c>
      <c r="J68">
        <v>5</v>
      </c>
      <c r="K68">
        <v>54583.199999999997</v>
      </c>
      <c r="L68">
        <v>41584.82</v>
      </c>
      <c r="M68">
        <v>12998.38</v>
      </c>
      <c r="N68" t="s">
        <v>37</v>
      </c>
      <c r="O68">
        <v>4</v>
      </c>
      <c r="P68">
        <v>4.4000000000000004</v>
      </c>
      <c r="Q68">
        <f t="shared" si="15"/>
        <v>166</v>
      </c>
      <c r="R68" t="str">
        <f t="shared" si="16"/>
        <v>Monitor</v>
      </c>
      <c r="S68" t="e">
        <f t="shared" si="17"/>
        <v>#N/A</v>
      </c>
      <c r="T68">
        <v>45756</v>
      </c>
      <c r="U68" t="str">
        <v>East</v>
      </c>
      <c r="V68" t="str">
        <v>Karan</v>
      </c>
      <c r="W68" t="str">
        <v>Customer_32</v>
      </c>
      <c r="X68" t="str">
        <v>Office Supplies</v>
      </c>
      <c r="Y68" t="str">
        <v>Keyboard</v>
      </c>
      <c r="Z68">
        <v>14</v>
      </c>
      <c r="AA68">
        <v>28351</v>
      </c>
      <c r="AB68">
        <v>5</v>
      </c>
      <c r="AC68">
        <v>377068.3</v>
      </c>
      <c r="AD68">
        <v>215159.89</v>
      </c>
      <c r="AE68">
        <v>161908.41</v>
      </c>
      <c r="AF68" t="str">
        <v>Cash</v>
      </c>
      <c r="AG68">
        <v>4</v>
      </c>
      <c r="AH68">
        <v>2.5</v>
      </c>
      <c r="AI68">
        <v>19</v>
      </c>
      <c r="AJ68" t="str">
        <v>Keyboard</v>
      </c>
      <c r="AK68">
        <v>1050</v>
      </c>
      <c r="AL68">
        <v>45601</v>
      </c>
      <c r="AM68" t="str">
        <v>South</v>
      </c>
      <c r="AN68" t="str">
        <v>Priya</v>
      </c>
      <c r="AO68" t="str">
        <v>Customer_34</v>
      </c>
      <c r="AP68" t="str">
        <v>Office Supplies</v>
      </c>
      <c r="AQ68" t="str">
        <v>Desk</v>
      </c>
      <c r="AR68">
        <v>12</v>
      </c>
      <c r="AS68">
        <v>35537</v>
      </c>
      <c r="AT68">
        <v>10</v>
      </c>
      <c r="AU68">
        <v>383799.6</v>
      </c>
      <c r="AV68">
        <v>291454.81</v>
      </c>
      <c r="AW68">
        <v>92344.79</v>
      </c>
      <c r="AX68" t="str">
        <v>Card</v>
      </c>
      <c r="AY68">
        <v>3</v>
      </c>
      <c r="AZ68">
        <v>3.6</v>
      </c>
      <c r="BA68">
        <v>66</v>
      </c>
      <c r="BB68" t="str">
        <v>Desk</v>
      </c>
      <c r="BC68" s="6">
        <f t="shared" si="18"/>
        <v>1</v>
      </c>
      <c r="BD68" t="str">
        <f t="shared" si="19"/>
        <v/>
      </c>
      <c r="BE68" s="8">
        <f t="shared" si="20"/>
        <v>0.23813884125518475</v>
      </c>
      <c r="BF68" t="str">
        <v>Customer_27</v>
      </c>
      <c r="BG68" t="str">
        <f t="shared" si="21"/>
        <v>West-Monitor</v>
      </c>
      <c r="BH68">
        <f t="shared" si="22"/>
        <v>2024</v>
      </c>
      <c r="BI68" t="str">
        <f t="shared" si="23"/>
        <v>February</v>
      </c>
      <c r="BJ68">
        <f t="shared" ca="1" si="14"/>
        <v>628</v>
      </c>
      <c r="BK68" s="8">
        <f t="shared" si="24"/>
        <v>0.23813884125518475</v>
      </c>
      <c r="BL68">
        <f t="shared" si="25"/>
        <v>26687</v>
      </c>
      <c r="BM68">
        <f t="shared" si="26"/>
        <v>68</v>
      </c>
      <c r="BN68">
        <v>1067</v>
      </c>
      <c r="BO68">
        <v>45603</v>
      </c>
      <c r="BP68" t="str">
        <v>West</v>
      </c>
      <c r="BQ68" t="str">
        <v>Rohan</v>
      </c>
      <c r="BR68" t="str">
        <v>Customer_45</v>
      </c>
      <c r="BS68" t="str">
        <v>Electronics</v>
      </c>
      <c r="BT68" t="str">
        <v>Laptop</v>
      </c>
      <c r="BU68">
        <v>19</v>
      </c>
      <c r="BV68">
        <v>26262</v>
      </c>
      <c r="BW68">
        <v>20</v>
      </c>
      <c r="BX68">
        <v>399182.4</v>
      </c>
      <c r="BY68">
        <v>300998.57</v>
      </c>
      <c r="BZ68">
        <v>98183.83</v>
      </c>
      <c r="CA68" t="str">
        <v>Card</v>
      </c>
      <c r="CB68">
        <v>6</v>
      </c>
      <c r="CC68">
        <v>3.8</v>
      </c>
      <c r="CD68" t="b">
        <f>COUNTIF(Sales_Data!E:E,Sales_Data!E68)&gt;1</f>
        <v>1</v>
      </c>
      <c r="CE68">
        <f>SUM(Sales_Data!$K$2:'Sales_Data'!K68)</f>
        <v>16205787.949999997</v>
      </c>
      <c r="CF68">
        <f t="shared" si="27"/>
        <v>62770.679999999993</v>
      </c>
      <c r="CG68" t="str">
        <f>CHOOSE(MATCH(C68,{"North","West","South","East"},0),"Zone 1","Zone 2","Zone 3","Zone 4")</f>
        <v>Zone 2</v>
      </c>
      <c r="CH68" t="str" cm="1">
        <f t="array" ref="CH68">_xlfn.SWITCH(N68,"Card","Card Payment","UPI", "UPI Payment","Cash","Cash Payment","NetBanking", "NetBanking Payment", "Unknown")</f>
        <v>Cash Payment</v>
      </c>
      <c r="CI68" t="str" cm="1">
        <f t="array" ref="CI68">_xlfn.IFS(Sales_Data!J68&lt;=5,"Low",Sales_Data!J68&lt;=10,"Medium",Sales_Data!J68&gt;10,"High")</f>
        <v>Low</v>
      </c>
    </row>
    <row r="69" spans="1:87" x14ac:dyDescent="0.3">
      <c r="A69">
        <v>1069</v>
      </c>
      <c r="B69" s="1">
        <v>45549</v>
      </c>
      <c r="C69" t="s">
        <v>16</v>
      </c>
      <c r="D69" t="s">
        <v>42</v>
      </c>
      <c r="E69" t="s">
        <v>79</v>
      </c>
      <c r="F69" t="s">
        <v>35</v>
      </c>
      <c r="G69" t="s">
        <v>65</v>
      </c>
      <c r="H69">
        <v>1</v>
      </c>
      <c r="I69">
        <v>672</v>
      </c>
      <c r="J69">
        <v>20</v>
      </c>
      <c r="K69">
        <v>537.6</v>
      </c>
      <c r="L69">
        <v>316.74</v>
      </c>
      <c r="M69">
        <v>220.86</v>
      </c>
      <c r="N69" t="s">
        <v>48</v>
      </c>
      <c r="O69">
        <v>6</v>
      </c>
      <c r="P69">
        <v>4.4000000000000004</v>
      </c>
      <c r="Q69">
        <f t="shared" si="15"/>
        <v>200</v>
      </c>
      <c r="R69" t="str">
        <f t="shared" si="16"/>
        <v>Mouse</v>
      </c>
      <c r="S69" t="e">
        <f t="shared" si="17"/>
        <v>#N/A</v>
      </c>
      <c r="T69">
        <v>45561</v>
      </c>
      <c r="U69" t="str">
        <v>North</v>
      </c>
      <c r="V69" t="str">
        <v>Arjun</v>
      </c>
      <c r="W69" t="str">
        <v>Customer_29</v>
      </c>
      <c r="X69" t="str">
        <v>Office Supplies</v>
      </c>
      <c r="Y69" t="str">
        <v>Desk</v>
      </c>
      <c r="Z69">
        <v>8</v>
      </c>
      <c r="AA69">
        <v>43297</v>
      </c>
      <c r="AB69">
        <v>0</v>
      </c>
      <c r="AC69">
        <v>346376</v>
      </c>
      <c r="AD69">
        <v>246056.51</v>
      </c>
      <c r="AE69">
        <v>100319.49</v>
      </c>
      <c r="AF69" t="str">
        <v>Cash</v>
      </c>
      <c r="AG69">
        <v>6</v>
      </c>
      <c r="AH69">
        <v>4.5</v>
      </c>
      <c r="AI69">
        <v>57</v>
      </c>
      <c r="AJ69" t="str">
        <v>Desk</v>
      </c>
      <c r="AK69">
        <v>1060</v>
      </c>
      <c r="AL69">
        <v>45701</v>
      </c>
      <c r="AM69" t="str">
        <v>North</v>
      </c>
      <c r="AN69" t="str">
        <v>Rohan</v>
      </c>
      <c r="AO69" t="str">
        <v>Customer_13</v>
      </c>
      <c r="AP69" t="str">
        <v>Furniture</v>
      </c>
      <c r="AQ69" t="str">
        <v>Desk</v>
      </c>
      <c r="AR69">
        <v>7</v>
      </c>
      <c r="AS69">
        <v>37200</v>
      </c>
      <c r="AT69">
        <v>0</v>
      </c>
      <c r="AU69">
        <v>260400</v>
      </c>
      <c r="AV69">
        <v>169126.08</v>
      </c>
      <c r="AW69">
        <v>91273.919999999998</v>
      </c>
      <c r="AX69" t="str">
        <v>Cash</v>
      </c>
      <c r="AY69">
        <v>9</v>
      </c>
      <c r="AZ69">
        <v>3.3</v>
      </c>
      <c r="BA69">
        <v>67</v>
      </c>
      <c r="BB69" t="str">
        <v>Desk</v>
      </c>
      <c r="BC69" s="6">
        <f t="shared" si="18"/>
        <v>3</v>
      </c>
      <c r="BD69" t="str">
        <f t="shared" si="19"/>
        <v/>
      </c>
      <c r="BE69" s="8">
        <f t="shared" si="20"/>
        <v>0.41082589285714288</v>
      </c>
      <c r="BF69" t="str">
        <v>Customer_27</v>
      </c>
      <c r="BG69" t="str">
        <f t="shared" si="21"/>
        <v>West-Mouse</v>
      </c>
      <c r="BH69">
        <f t="shared" si="22"/>
        <v>2024</v>
      </c>
      <c r="BI69" t="str">
        <f t="shared" si="23"/>
        <v>September</v>
      </c>
      <c r="BJ69">
        <f t="shared" ca="1" si="14"/>
        <v>468</v>
      </c>
      <c r="BK69" s="8">
        <f t="shared" si="24"/>
        <v>0.41082589285714288</v>
      </c>
      <c r="BL69">
        <f t="shared" si="25"/>
        <v>41775</v>
      </c>
      <c r="BM69">
        <f t="shared" si="26"/>
        <v>69</v>
      </c>
      <c r="BN69">
        <v>1068</v>
      </c>
      <c r="BO69">
        <v>45325</v>
      </c>
      <c r="BP69" t="str">
        <v>West</v>
      </c>
      <c r="BQ69" t="str">
        <v>Megha</v>
      </c>
      <c r="BR69" t="str">
        <v>Customer_4</v>
      </c>
      <c r="BS69" t="str">
        <v>Furniture</v>
      </c>
      <c r="BT69" t="str">
        <v>Monitor</v>
      </c>
      <c r="BU69">
        <v>18</v>
      </c>
      <c r="BV69">
        <v>3192</v>
      </c>
      <c r="BW69">
        <v>5</v>
      </c>
      <c r="BX69">
        <v>54583.199999999997</v>
      </c>
      <c r="BY69">
        <v>41584.82</v>
      </c>
      <c r="BZ69">
        <v>12998.38</v>
      </c>
      <c r="CA69" t="str">
        <v>Cash</v>
      </c>
      <c r="CB69">
        <v>4</v>
      </c>
      <c r="CC69">
        <v>4.4000000000000004</v>
      </c>
      <c r="CD69" t="b">
        <f>COUNTIF(Sales_Data!E:E,Sales_Data!E69)&gt;1</f>
        <v>1</v>
      </c>
      <c r="CE69">
        <f>SUM(Sales_Data!$K$2:'Sales_Data'!K69)</f>
        <v>16206325.549999997</v>
      </c>
      <c r="CF69">
        <f t="shared" si="27"/>
        <v>618.24</v>
      </c>
      <c r="CG69" t="str">
        <f>CHOOSE(MATCH(C69,{"North","West","South","East"},0),"Zone 1","Zone 2","Zone 3","Zone 4")</f>
        <v>Zone 2</v>
      </c>
      <c r="CH69" t="str" cm="1">
        <f t="array" ref="CH69">_xlfn.SWITCH(N69,"Card","Card Payment","UPI", "UPI Payment","Cash","Cash Payment","NetBanking", "NetBanking Payment", "Unknown")</f>
        <v>NetBanking Payment</v>
      </c>
      <c r="CI69" t="str" cm="1">
        <f t="array" ref="CI69">_xlfn.IFS(Sales_Data!J69&lt;=5,"Low",Sales_Data!J69&lt;=10,"Medium",Sales_Data!J69&gt;10,"High")</f>
        <v>High</v>
      </c>
    </row>
    <row r="70" spans="1:87" x14ac:dyDescent="0.3">
      <c r="A70">
        <v>1070</v>
      </c>
      <c r="B70" s="1">
        <v>45700</v>
      </c>
      <c r="C70" t="s">
        <v>16</v>
      </c>
      <c r="D70" t="s">
        <v>23</v>
      </c>
      <c r="E70" t="s">
        <v>71</v>
      </c>
      <c r="F70" t="s">
        <v>25</v>
      </c>
      <c r="G70" t="s">
        <v>47</v>
      </c>
      <c r="H70">
        <v>10</v>
      </c>
      <c r="I70">
        <v>39492</v>
      </c>
      <c r="J70">
        <v>5</v>
      </c>
      <c r="K70">
        <v>375174</v>
      </c>
      <c r="L70">
        <v>262269.77</v>
      </c>
      <c r="M70">
        <v>112904.23</v>
      </c>
      <c r="N70" t="s">
        <v>27</v>
      </c>
      <c r="O70">
        <v>10</v>
      </c>
      <c r="P70">
        <v>2.5</v>
      </c>
      <c r="Q70">
        <f t="shared" si="15"/>
        <v>46</v>
      </c>
      <c r="R70" t="str">
        <f t="shared" si="16"/>
        <v>Monitor</v>
      </c>
      <c r="S70" t="e">
        <f t="shared" si="17"/>
        <v>#N/A</v>
      </c>
      <c r="T70">
        <v>45569</v>
      </c>
      <c r="U70" t="str">
        <v>West</v>
      </c>
      <c r="V70" t="str">
        <v>Arjun</v>
      </c>
      <c r="W70" t="str">
        <v>Customer_3</v>
      </c>
      <c r="X70" t="str">
        <v>Electronics</v>
      </c>
      <c r="Y70" t="str">
        <v>Chair</v>
      </c>
      <c r="Z70">
        <v>19</v>
      </c>
      <c r="AA70">
        <v>37146</v>
      </c>
      <c r="AB70">
        <v>10</v>
      </c>
      <c r="AC70">
        <v>635196.6</v>
      </c>
      <c r="AD70">
        <v>393954.8</v>
      </c>
      <c r="AE70">
        <v>241241.8</v>
      </c>
      <c r="AF70" t="str">
        <v>NetBanking</v>
      </c>
      <c r="AG70">
        <v>10</v>
      </c>
      <c r="AH70">
        <v>3.5</v>
      </c>
      <c r="AI70">
        <v>6</v>
      </c>
      <c r="AJ70" t="str">
        <v>Chair</v>
      </c>
      <c r="AK70">
        <v>1036</v>
      </c>
      <c r="AL70">
        <v>45396</v>
      </c>
      <c r="AM70" t="str">
        <v>North</v>
      </c>
      <c r="AN70" t="str">
        <v>Neha</v>
      </c>
      <c r="AO70" t="str">
        <v>Customer_43</v>
      </c>
      <c r="AP70" t="str">
        <v>Electronics</v>
      </c>
      <c r="AQ70" t="str">
        <v>Monitor</v>
      </c>
      <c r="AR70">
        <v>15</v>
      </c>
      <c r="AS70">
        <v>25927</v>
      </c>
      <c r="AT70">
        <v>5</v>
      </c>
      <c r="AU70">
        <v>369459.75</v>
      </c>
      <c r="AV70">
        <v>278874.74</v>
      </c>
      <c r="AW70">
        <v>90585.01</v>
      </c>
      <c r="AX70" t="str">
        <v>Cash</v>
      </c>
      <c r="AY70">
        <v>3</v>
      </c>
      <c r="AZ70">
        <v>2.7</v>
      </c>
      <c r="BA70">
        <v>68</v>
      </c>
      <c r="BB70" t="str">
        <v>Monitor</v>
      </c>
      <c r="BC70" s="6">
        <f t="shared" si="18"/>
        <v>1</v>
      </c>
      <c r="BD70" t="str">
        <f t="shared" si="19"/>
        <v>Bonus!</v>
      </c>
      <c r="BE70" s="8">
        <f t="shared" si="20"/>
        <v>0.30093831129022797</v>
      </c>
      <c r="BF70" t="str">
        <v>Customer_28</v>
      </c>
      <c r="BG70" t="str">
        <f t="shared" si="21"/>
        <v>West-Monitor</v>
      </c>
      <c r="BH70">
        <f t="shared" si="22"/>
        <v>2025</v>
      </c>
      <c r="BI70" t="str">
        <f t="shared" si="23"/>
        <v>February</v>
      </c>
      <c r="BJ70">
        <f t="shared" ca="1" si="14"/>
        <v>361</v>
      </c>
      <c r="BK70" s="8">
        <f t="shared" si="24"/>
        <v>0.30093831129022797</v>
      </c>
      <c r="BL70">
        <f t="shared" si="25"/>
        <v>26687</v>
      </c>
      <c r="BM70">
        <f t="shared" si="26"/>
        <v>43</v>
      </c>
      <c r="BN70">
        <v>1069</v>
      </c>
      <c r="BO70">
        <v>45549</v>
      </c>
      <c r="BP70" t="str">
        <v>West</v>
      </c>
      <c r="BQ70" t="str">
        <v>Priya</v>
      </c>
      <c r="BR70" t="str">
        <v>Customer_33</v>
      </c>
      <c r="BS70" t="str">
        <v>Furniture</v>
      </c>
      <c r="BT70" t="str">
        <v>Mouse</v>
      </c>
      <c r="BU70">
        <v>1</v>
      </c>
      <c r="BV70">
        <v>672</v>
      </c>
      <c r="BW70">
        <v>20</v>
      </c>
      <c r="BX70">
        <v>537.6</v>
      </c>
      <c r="BY70">
        <v>316.74</v>
      </c>
      <c r="BZ70">
        <v>220.86</v>
      </c>
      <c r="CA70" t="str">
        <v>NetBanking</v>
      </c>
      <c r="CB70">
        <v>6</v>
      </c>
      <c r="CC70">
        <v>4.4000000000000004</v>
      </c>
      <c r="CD70" t="b">
        <f>COUNTIF(Sales_Data!E:E,Sales_Data!E70)&gt;1</f>
        <v>1</v>
      </c>
      <c r="CE70">
        <f>SUM(Sales_Data!$K$2:'Sales_Data'!K70)</f>
        <v>16581499.549999997</v>
      </c>
      <c r="CF70">
        <f t="shared" si="27"/>
        <v>431450.1</v>
      </c>
      <c r="CG70" t="str">
        <f>CHOOSE(MATCH(C70,{"North","West","South","East"},0),"Zone 1","Zone 2","Zone 3","Zone 4")</f>
        <v>Zone 2</v>
      </c>
      <c r="CH70" t="str" cm="1">
        <f t="array" ref="CH70">_xlfn.SWITCH(N70,"Card","Card Payment","UPI", "UPI Payment","Cash","Cash Payment","NetBanking", "NetBanking Payment", "Unknown")</f>
        <v>UPI Payment</v>
      </c>
      <c r="CI70" t="str" cm="1">
        <f t="array" ref="CI70">_xlfn.IFS(Sales_Data!J70&lt;=5,"Low",Sales_Data!J70&lt;=10,"Medium",Sales_Data!J70&gt;10,"High")</f>
        <v>Low</v>
      </c>
    </row>
    <row r="71" spans="1:87" x14ac:dyDescent="0.3">
      <c r="A71">
        <v>1071</v>
      </c>
      <c r="B71" s="1">
        <v>45607</v>
      </c>
      <c r="C71" t="s">
        <v>50</v>
      </c>
      <c r="D71" t="s">
        <v>57</v>
      </c>
      <c r="E71" t="s">
        <v>40</v>
      </c>
      <c r="F71" t="s">
        <v>19</v>
      </c>
      <c r="G71" t="s">
        <v>26</v>
      </c>
      <c r="H71">
        <v>20</v>
      </c>
      <c r="I71">
        <v>38353</v>
      </c>
      <c r="J71">
        <v>10</v>
      </c>
      <c r="K71">
        <v>690354</v>
      </c>
      <c r="L71">
        <v>395833.99</v>
      </c>
      <c r="M71">
        <v>294520.01</v>
      </c>
      <c r="N71" t="s">
        <v>37</v>
      </c>
      <c r="O71">
        <v>8</v>
      </c>
      <c r="P71">
        <v>4.5</v>
      </c>
      <c r="Q71">
        <f t="shared" si="15"/>
        <v>1</v>
      </c>
      <c r="R71" t="str">
        <f t="shared" si="16"/>
        <v>Keyboard</v>
      </c>
      <c r="S71" t="e">
        <f t="shared" si="17"/>
        <v>#N/A</v>
      </c>
      <c r="T71">
        <v>45373</v>
      </c>
      <c r="U71" t="str">
        <v>East</v>
      </c>
      <c r="V71" t="str">
        <v>Karan</v>
      </c>
      <c r="W71" t="str">
        <v>Customer_41</v>
      </c>
      <c r="X71" t="str">
        <v>Electronics</v>
      </c>
      <c r="Y71" t="str">
        <v>Laptop</v>
      </c>
      <c r="Z71">
        <v>15</v>
      </c>
      <c r="AA71">
        <v>34259</v>
      </c>
      <c r="AB71">
        <v>10</v>
      </c>
      <c r="AC71">
        <v>462496.5</v>
      </c>
      <c r="AD71">
        <v>287530.43</v>
      </c>
      <c r="AE71">
        <v>174966.07</v>
      </c>
      <c r="AF71" t="str">
        <v>NetBanking</v>
      </c>
      <c r="AG71">
        <v>4</v>
      </c>
      <c r="AH71">
        <v>2.8</v>
      </c>
      <c r="AI71">
        <v>16</v>
      </c>
      <c r="AJ71" t="str">
        <v>Laptop</v>
      </c>
      <c r="AK71">
        <v>1043</v>
      </c>
      <c r="AL71">
        <v>45788</v>
      </c>
      <c r="AM71" t="str">
        <v>North</v>
      </c>
      <c r="AN71" t="str">
        <v>Neha</v>
      </c>
      <c r="AO71" t="str">
        <v>Customer_22</v>
      </c>
      <c r="AP71" t="str">
        <v>Furniture</v>
      </c>
      <c r="AQ71" t="str">
        <v>Chair</v>
      </c>
      <c r="AR71">
        <v>6</v>
      </c>
      <c r="AS71">
        <v>44157</v>
      </c>
      <c r="AT71">
        <v>10</v>
      </c>
      <c r="AU71">
        <v>238447.8</v>
      </c>
      <c r="AV71">
        <v>150981.59</v>
      </c>
      <c r="AW71">
        <v>87466.21</v>
      </c>
      <c r="AX71" t="str">
        <v>NetBanking</v>
      </c>
      <c r="AY71">
        <v>5</v>
      </c>
      <c r="AZ71">
        <v>4.8</v>
      </c>
      <c r="BA71">
        <v>69</v>
      </c>
      <c r="BB71" t="str">
        <v>Chair</v>
      </c>
      <c r="BC71" s="6">
        <f t="shared" si="18"/>
        <v>4</v>
      </c>
      <c r="BD71" t="str">
        <f t="shared" si="19"/>
        <v>Bonus!</v>
      </c>
      <c r="BE71" s="8">
        <f t="shared" si="20"/>
        <v>0.42662171871242871</v>
      </c>
      <c r="BF71" t="str">
        <v>Customer_28</v>
      </c>
      <c r="BG71" t="str">
        <f t="shared" si="21"/>
        <v>North-Keyboard</v>
      </c>
      <c r="BH71">
        <f t="shared" si="22"/>
        <v>2024</v>
      </c>
      <c r="BI71" t="str">
        <f t="shared" si="23"/>
        <v>November</v>
      </c>
      <c r="BJ71">
        <f t="shared" ca="1" si="14"/>
        <v>428</v>
      </c>
      <c r="BK71" s="8">
        <f t="shared" si="24"/>
        <v>0.42662171871242871</v>
      </c>
      <c r="BL71">
        <f t="shared" si="25"/>
        <v>23829</v>
      </c>
      <c r="BM71">
        <f t="shared" si="26"/>
        <v>8</v>
      </c>
      <c r="BN71">
        <v>1070</v>
      </c>
      <c r="BO71">
        <v>45700</v>
      </c>
      <c r="BP71" t="str">
        <v>West</v>
      </c>
      <c r="BQ71" t="str">
        <v>Karan</v>
      </c>
      <c r="BR71" t="str">
        <v>Customer_22</v>
      </c>
      <c r="BS71" t="str">
        <v>Office Supplies</v>
      </c>
      <c r="BT71" t="str">
        <v>Monitor</v>
      </c>
      <c r="BU71">
        <v>10</v>
      </c>
      <c r="BV71">
        <v>39492</v>
      </c>
      <c r="BW71">
        <v>5</v>
      </c>
      <c r="BX71">
        <v>375174</v>
      </c>
      <c r="BY71">
        <v>262269.77</v>
      </c>
      <c r="BZ71">
        <v>112904.23</v>
      </c>
      <c r="CA71" t="str">
        <v>UPI</v>
      </c>
      <c r="CB71">
        <v>10</v>
      </c>
      <c r="CC71">
        <v>2.5</v>
      </c>
      <c r="CD71" t="b">
        <f>COUNTIF(Sales_Data!E:E,Sales_Data!E71)&gt;1</f>
        <v>1</v>
      </c>
      <c r="CE71">
        <f>SUM(Sales_Data!$K$2:'Sales_Data'!K71)</f>
        <v>17271853.549999997</v>
      </c>
      <c r="CF71">
        <f t="shared" si="27"/>
        <v>793907.1</v>
      </c>
      <c r="CG71" t="str">
        <f>CHOOSE(MATCH(C71,{"North","West","South","East"},0),"Zone 1","Zone 2","Zone 3","Zone 4")</f>
        <v>Zone 1</v>
      </c>
      <c r="CH71" t="str" cm="1">
        <f t="array" ref="CH71">_xlfn.SWITCH(N71,"Card","Card Payment","UPI", "UPI Payment","Cash","Cash Payment","NetBanking", "NetBanking Payment", "Unknown")</f>
        <v>Cash Payment</v>
      </c>
      <c r="CI71" t="str" cm="1">
        <f t="array" ref="CI71">_xlfn.IFS(Sales_Data!J71&lt;=5,"Low",Sales_Data!J71&lt;=10,"Medium",Sales_Data!J71&gt;10,"High")</f>
        <v>Medium</v>
      </c>
    </row>
    <row r="72" spans="1:87" x14ac:dyDescent="0.3">
      <c r="A72">
        <v>1072</v>
      </c>
      <c r="B72" s="1">
        <v>45305</v>
      </c>
      <c r="C72" t="s">
        <v>50</v>
      </c>
      <c r="D72" t="s">
        <v>31</v>
      </c>
      <c r="E72" t="s">
        <v>24</v>
      </c>
      <c r="F72" t="s">
        <v>25</v>
      </c>
      <c r="G72" t="s">
        <v>41</v>
      </c>
      <c r="H72">
        <v>11</v>
      </c>
      <c r="I72">
        <v>44624</v>
      </c>
      <c r="J72">
        <v>20</v>
      </c>
      <c r="K72">
        <v>392691.20000000001</v>
      </c>
      <c r="L72">
        <v>285914.5</v>
      </c>
      <c r="M72">
        <v>106776.7</v>
      </c>
      <c r="N72" t="s">
        <v>48</v>
      </c>
      <c r="O72">
        <v>6</v>
      </c>
      <c r="P72">
        <v>2.6</v>
      </c>
      <c r="Q72">
        <f t="shared" si="15"/>
        <v>53</v>
      </c>
      <c r="R72" t="str">
        <f t="shared" si="16"/>
        <v>Chair</v>
      </c>
      <c r="S72" t="e">
        <f t="shared" si="17"/>
        <v>#N/A</v>
      </c>
      <c r="T72">
        <v>45747</v>
      </c>
      <c r="U72" t="str">
        <v>East</v>
      </c>
      <c r="V72" t="str">
        <v>Priya</v>
      </c>
      <c r="W72" t="str">
        <v>Customer_39</v>
      </c>
      <c r="X72" t="str">
        <v>Office Supplies</v>
      </c>
      <c r="Y72" t="str">
        <v>Monitor</v>
      </c>
      <c r="Z72">
        <v>19</v>
      </c>
      <c r="AA72">
        <v>15439</v>
      </c>
      <c r="AB72">
        <v>15</v>
      </c>
      <c r="AC72">
        <v>249339.85</v>
      </c>
      <c r="AD72">
        <v>178284.92</v>
      </c>
      <c r="AE72">
        <v>71054.929999999993</v>
      </c>
      <c r="AF72" t="str">
        <v>Cash</v>
      </c>
      <c r="AG72">
        <v>6</v>
      </c>
      <c r="AH72">
        <v>4.9000000000000004</v>
      </c>
      <c r="AI72">
        <v>82</v>
      </c>
      <c r="AJ72" t="str">
        <v>Monitor</v>
      </c>
      <c r="AK72">
        <v>1085</v>
      </c>
      <c r="AL72">
        <v>45560</v>
      </c>
      <c r="AM72" t="str">
        <v>North</v>
      </c>
      <c r="AN72" t="str">
        <v>Aman</v>
      </c>
      <c r="AO72" t="str">
        <v>Customer_3</v>
      </c>
      <c r="AP72" t="str">
        <v>Furniture</v>
      </c>
      <c r="AQ72" t="str">
        <v>Laptop</v>
      </c>
      <c r="AR72">
        <v>14</v>
      </c>
      <c r="AS72">
        <v>25079</v>
      </c>
      <c r="AT72">
        <v>0</v>
      </c>
      <c r="AU72">
        <v>351106</v>
      </c>
      <c r="AV72">
        <v>264213.65000000002</v>
      </c>
      <c r="AW72">
        <v>86892.35</v>
      </c>
      <c r="AX72" t="str">
        <v>UPI</v>
      </c>
      <c r="AY72">
        <v>10</v>
      </c>
      <c r="AZ72">
        <v>2.8</v>
      </c>
      <c r="BA72">
        <v>70</v>
      </c>
      <c r="BB72" t="str">
        <v>Laptop</v>
      </c>
      <c r="BC72" s="6">
        <f t="shared" si="18"/>
        <v>0</v>
      </c>
      <c r="BD72" t="str">
        <f t="shared" si="19"/>
        <v>Bonus!</v>
      </c>
      <c r="BE72" s="8">
        <f t="shared" si="20"/>
        <v>0.27191009118615339</v>
      </c>
      <c r="BF72" t="str">
        <v>Customer_28</v>
      </c>
      <c r="BG72" t="str">
        <f t="shared" si="21"/>
        <v>North-Chair</v>
      </c>
      <c r="BH72">
        <f t="shared" si="22"/>
        <v>2024</v>
      </c>
      <c r="BI72" t="str">
        <f t="shared" si="23"/>
        <v>January</v>
      </c>
      <c r="BJ72">
        <f t="shared" ca="1" si="14"/>
        <v>643</v>
      </c>
      <c r="BK72" s="8">
        <f t="shared" si="24"/>
        <v>0.27191009118615339</v>
      </c>
      <c r="BL72">
        <f t="shared" si="25"/>
        <v>4972</v>
      </c>
      <c r="BM72">
        <f t="shared" si="26"/>
        <v>3</v>
      </c>
      <c r="BN72">
        <v>1071</v>
      </c>
      <c r="BO72">
        <v>45607</v>
      </c>
      <c r="BP72" t="str">
        <v>North</v>
      </c>
      <c r="BQ72" t="str">
        <v>Megha</v>
      </c>
      <c r="BR72" t="str">
        <v>Customer_30</v>
      </c>
      <c r="BS72" t="str">
        <v>Electronics</v>
      </c>
      <c r="BT72" t="str">
        <v>Keyboard</v>
      </c>
      <c r="BU72">
        <v>20</v>
      </c>
      <c r="BV72">
        <v>38353</v>
      </c>
      <c r="BW72">
        <v>10</v>
      </c>
      <c r="BX72">
        <v>690354</v>
      </c>
      <c r="BY72">
        <v>395833.99</v>
      </c>
      <c r="BZ72">
        <v>294520.01</v>
      </c>
      <c r="CA72" t="str">
        <v>Cash</v>
      </c>
      <c r="CB72">
        <v>8</v>
      </c>
      <c r="CC72">
        <v>4.5</v>
      </c>
      <c r="CD72" t="b">
        <f>COUNTIF(Sales_Data!E:E,Sales_Data!E72)&gt;1</f>
        <v>1</v>
      </c>
      <c r="CE72">
        <f>SUM(Sales_Data!$K$2:'Sales_Data'!K72)</f>
        <v>17664544.749999996</v>
      </c>
      <c r="CF72">
        <f t="shared" si="27"/>
        <v>451594.88</v>
      </c>
      <c r="CG72" t="str">
        <f>CHOOSE(MATCH(C72,{"North","West","South","East"},0),"Zone 1","Zone 2","Zone 3","Zone 4")</f>
        <v>Zone 1</v>
      </c>
      <c r="CH72" t="str" cm="1">
        <f t="array" ref="CH72">_xlfn.SWITCH(N72,"Card","Card Payment","UPI", "UPI Payment","Cash","Cash Payment","NetBanking", "NetBanking Payment", "Unknown")</f>
        <v>NetBanking Payment</v>
      </c>
      <c r="CI72" t="str" cm="1">
        <f t="array" ref="CI72">_xlfn.IFS(Sales_Data!J72&lt;=5,"Low",Sales_Data!J72&lt;=10,"Medium",Sales_Data!J72&gt;10,"High")</f>
        <v>High</v>
      </c>
    </row>
    <row r="73" spans="1:87" x14ac:dyDescent="0.3">
      <c r="A73">
        <v>1073</v>
      </c>
      <c r="B73" s="1">
        <v>45657</v>
      </c>
      <c r="C73" t="s">
        <v>16</v>
      </c>
      <c r="D73" t="s">
        <v>51</v>
      </c>
      <c r="E73" t="s">
        <v>62</v>
      </c>
      <c r="F73" t="s">
        <v>19</v>
      </c>
      <c r="G73" t="s">
        <v>47</v>
      </c>
      <c r="H73">
        <v>4</v>
      </c>
      <c r="I73">
        <v>20463</v>
      </c>
      <c r="J73">
        <v>0</v>
      </c>
      <c r="K73">
        <v>81852</v>
      </c>
      <c r="L73">
        <v>67274.78</v>
      </c>
      <c r="M73">
        <v>14577.22</v>
      </c>
      <c r="N73" t="s">
        <v>48</v>
      </c>
      <c r="O73">
        <v>2</v>
      </c>
      <c r="P73">
        <v>4.5</v>
      </c>
      <c r="Q73">
        <f t="shared" si="15"/>
        <v>159</v>
      </c>
      <c r="R73" t="str">
        <f t="shared" si="16"/>
        <v>Monitor</v>
      </c>
      <c r="S73" t="e">
        <f t="shared" si="17"/>
        <v>#N/A</v>
      </c>
      <c r="T73">
        <v>45336</v>
      </c>
      <c r="U73" t="str">
        <v>North</v>
      </c>
      <c r="V73" t="str">
        <v>Neha</v>
      </c>
      <c r="W73" t="str">
        <v>Customer_47</v>
      </c>
      <c r="X73" t="str">
        <v>Furniture</v>
      </c>
      <c r="Y73" t="str">
        <v>Monitor</v>
      </c>
      <c r="Z73">
        <v>20</v>
      </c>
      <c r="AA73">
        <v>43635</v>
      </c>
      <c r="AB73">
        <v>5</v>
      </c>
      <c r="AC73">
        <v>829065</v>
      </c>
      <c r="AD73">
        <v>563160.05000000005</v>
      </c>
      <c r="AE73">
        <v>265904.95</v>
      </c>
      <c r="AF73" t="str">
        <v>UPI</v>
      </c>
      <c r="AG73">
        <v>1</v>
      </c>
      <c r="AH73">
        <v>4.8</v>
      </c>
      <c r="AI73">
        <v>4</v>
      </c>
      <c r="AJ73" t="str">
        <v>Monitor</v>
      </c>
      <c r="AK73">
        <v>1087</v>
      </c>
      <c r="AL73">
        <v>45436</v>
      </c>
      <c r="AM73" t="str">
        <v>East</v>
      </c>
      <c r="AN73" t="str">
        <v>Aman</v>
      </c>
      <c r="AO73" t="str">
        <v>Customer_11</v>
      </c>
      <c r="AP73" t="str">
        <v>Furniture</v>
      </c>
      <c r="AQ73" t="str">
        <v>Monitor</v>
      </c>
      <c r="AR73">
        <v>14</v>
      </c>
      <c r="AS73">
        <v>38489</v>
      </c>
      <c r="AT73">
        <v>20</v>
      </c>
      <c r="AU73">
        <v>431076.8</v>
      </c>
      <c r="AV73">
        <v>344938.96</v>
      </c>
      <c r="AW73">
        <v>86137.84</v>
      </c>
      <c r="AX73" t="str">
        <v>UPI</v>
      </c>
      <c r="AY73">
        <v>2</v>
      </c>
      <c r="AZ73">
        <v>4.0999999999999996</v>
      </c>
      <c r="BA73">
        <v>71</v>
      </c>
      <c r="BB73" t="str">
        <v>Monitor</v>
      </c>
      <c r="BC73" s="6">
        <f t="shared" si="18"/>
        <v>4</v>
      </c>
      <c r="BD73" t="str">
        <f t="shared" si="19"/>
        <v/>
      </c>
      <c r="BE73" s="8">
        <f t="shared" si="20"/>
        <v>0.17809241069246934</v>
      </c>
      <c r="BF73" t="str">
        <v>Customer_28</v>
      </c>
      <c r="BG73" t="str">
        <f t="shared" si="21"/>
        <v>West-Monitor</v>
      </c>
      <c r="BH73">
        <f t="shared" si="22"/>
        <v>2024</v>
      </c>
      <c r="BI73" t="str">
        <f t="shared" si="23"/>
        <v>December</v>
      </c>
      <c r="BJ73">
        <f t="shared" ca="1" si="14"/>
        <v>392</v>
      </c>
      <c r="BK73" s="8">
        <f t="shared" si="24"/>
        <v>0.17809241069246934</v>
      </c>
      <c r="BL73">
        <f t="shared" si="25"/>
        <v>26687</v>
      </c>
      <c r="BM73">
        <f t="shared" si="26"/>
        <v>25</v>
      </c>
      <c r="BN73">
        <v>1072</v>
      </c>
      <c r="BO73">
        <v>45305</v>
      </c>
      <c r="BP73" t="str">
        <v>North</v>
      </c>
      <c r="BQ73" t="str">
        <v>Neha</v>
      </c>
      <c r="BR73" t="str">
        <v>Customer_49</v>
      </c>
      <c r="BS73" t="str">
        <v>Office Supplies</v>
      </c>
      <c r="BT73" t="str">
        <v>Chair</v>
      </c>
      <c r="BU73">
        <v>11</v>
      </c>
      <c r="BV73">
        <v>44624</v>
      </c>
      <c r="BW73">
        <v>20</v>
      </c>
      <c r="BX73">
        <v>392691.20000000001</v>
      </c>
      <c r="BY73">
        <v>285914.5</v>
      </c>
      <c r="BZ73">
        <v>106776.7</v>
      </c>
      <c r="CA73" t="str">
        <v>NetBanking</v>
      </c>
      <c r="CB73">
        <v>6</v>
      </c>
      <c r="CC73">
        <v>2.6</v>
      </c>
      <c r="CD73" t="b">
        <f>COUNTIF(Sales_Data!E:E,Sales_Data!E73)&gt;1</f>
        <v>1</v>
      </c>
      <c r="CE73">
        <f>SUM(Sales_Data!$K$2:'Sales_Data'!K73)</f>
        <v>17746396.749999996</v>
      </c>
      <c r="CF73">
        <f t="shared" si="27"/>
        <v>94129.799999999988</v>
      </c>
      <c r="CG73" t="str">
        <f>CHOOSE(MATCH(C73,{"North","West","South","East"},0),"Zone 1","Zone 2","Zone 3","Zone 4")</f>
        <v>Zone 2</v>
      </c>
      <c r="CH73" t="str" cm="1">
        <f t="array" ref="CH73">_xlfn.SWITCH(N73,"Card","Card Payment","UPI", "UPI Payment","Cash","Cash Payment","NetBanking", "NetBanking Payment", "Unknown")</f>
        <v>NetBanking Payment</v>
      </c>
      <c r="CI73" t="str" cm="1">
        <f t="array" ref="CI73">_xlfn.IFS(Sales_Data!J73&lt;=5,"Low",Sales_Data!J73&lt;=10,"Medium",Sales_Data!J73&gt;10,"High")</f>
        <v>Low</v>
      </c>
    </row>
    <row r="74" spans="1:87" x14ac:dyDescent="0.3">
      <c r="A74">
        <v>1074</v>
      </c>
      <c r="B74" s="1">
        <v>45292</v>
      </c>
      <c r="C74" t="s">
        <v>22</v>
      </c>
      <c r="D74" t="s">
        <v>57</v>
      </c>
      <c r="E74" t="s">
        <v>80</v>
      </c>
      <c r="F74" t="s">
        <v>35</v>
      </c>
      <c r="G74" t="s">
        <v>47</v>
      </c>
      <c r="H74">
        <v>14</v>
      </c>
      <c r="I74">
        <v>6822</v>
      </c>
      <c r="J74">
        <v>15</v>
      </c>
      <c r="K74">
        <v>81181.8</v>
      </c>
      <c r="L74">
        <v>58686.29</v>
      </c>
      <c r="M74">
        <v>22495.51</v>
      </c>
      <c r="N74" t="s">
        <v>21</v>
      </c>
      <c r="O74">
        <v>6</v>
      </c>
      <c r="P74">
        <v>4.3</v>
      </c>
      <c r="Q74">
        <f t="shared" si="15"/>
        <v>142</v>
      </c>
      <c r="R74" t="str">
        <f t="shared" si="16"/>
        <v>Monitor</v>
      </c>
      <c r="S74" t="e">
        <f t="shared" si="17"/>
        <v>#N/A</v>
      </c>
      <c r="T74">
        <v>45628</v>
      </c>
      <c r="U74" t="str">
        <v>West</v>
      </c>
      <c r="V74" t="str">
        <v>Neha</v>
      </c>
      <c r="W74" t="str">
        <v>Customer_48</v>
      </c>
      <c r="X74" t="str">
        <v>Office Supplies</v>
      </c>
      <c r="Y74" t="str">
        <v>Keyboard</v>
      </c>
      <c r="Z74">
        <v>16</v>
      </c>
      <c r="AA74">
        <v>48750</v>
      </c>
      <c r="AB74">
        <v>15</v>
      </c>
      <c r="AC74">
        <v>663000</v>
      </c>
      <c r="AD74">
        <v>433762.21</v>
      </c>
      <c r="AE74">
        <v>229237.79</v>
      </c>
      <c r="AF74" t="str">
        <v>UPI</v>
      </c>
      <c r="AG74">
        <v>9</v>
      </c>
      <c r="AH74">
        <v>2.9</v>
      </c>
      <c r="AI74">
        <v>8</v>
      </c>
      <c r="AJ74" t="str">
        <v>Keyboard</v>
      </c>
      <c r="AK74">
        <v>1053</v>
      </c>
      <c r="AL74">
        <v>45372</v>
      </c>
      <c r="AM74" t="str">
        <v>East</v>
      </c>
      <c r="AN74" t="str">
        <v>Neha</v>
      </c>
      <c r="AO74" t="str">
        <v>Customer_11</v>
      </c>
      <c r="AP74" t="str">
        <v>Office Supplies</v>
      </c>
      <c r="AQ74" t="str">
        <v>Monitor</v>
      </c>
      <c r="AR74">
        <v>17</v>
      </c>
      <c r="AS74">
        <v>31105</v>
      </c>
      <c r="AT74">
        <v>0</v>
      </c>
      <c r="AU74">
        <v>528785</v>
      </c>
      <c r="AV74">
        <v>443466.77</v>
      </c>
      <c r="AW74">
        <v>85318.23</v>
      </c>
      <c r="AX74" t="str">
        <v>UPI</v>
      </c>
      <c r="AY74">
        <v>4</v>
      </c>
      <c r="AZ74">
        <v>2.9</v>
      </c>
      <c r="BA74">
        <v>72</v>
      </c>
      <c r="BB74" t="str">
        <v>Monitor</v>
      </c>
      <c r="BC74" s="6">
        <f t="shared" si="18"/>
        <v>0</v>
      </c>
      <c r="BD74" t="str">
        <f t="shared" si="19"/>
        <v/>
      </c>
      <c r="BE74" s="8">
        <f t="shared" si="20"/>
        <v>0.27710040920501883</v>
      </c>
      <c r="BF74" t="str">
        <v>Customer_29</v>
      </c>
      <c r="BG74" t="str">
        <f t="shared" si="21"/>
        <v>South-Monitor</v>
      </c>
      <c r="BH74">
        <f t="shared" si="22"/>
        <v>2024</v>
      </c>
      <c r="BI74" t="str">
        <f t="shared" si="23"/>
        <v>January</v>
      </c>
      <c r="BJ74">
        <f t="shared" ca="1" si="14"/>
        <v>653</v>
      </c>
      <c r="BK74" s="8">
        <f t="shared" si="24"/>
        <v>0.27710040920501883</v>
      </c>
      <c r="BL74">
        <f t="shared" si="25"/>
        <v>26687</v>
      </c>
      <c r="BM74">
        <f t="shared" si="26"/>
        <v>74</v>
      </c>
      <c r="BN74">
        <v>1073</v>
      </c>
      <c r="BO74">
        <v>45657</v>
      </c>
      <c r="BP74" t="str">
        <v>West</v>
      </c>
      <c r="BQ74" t="str">
        <v>Aman</v>
      </c>
      <c r="BR74" t="str">
        <v>Customer_43</v>
      </c>
      <c r="BS74" t="str">
        <v>Electronics</v>
      </c>
      <c r="BT74" t="str">
        <v>Monitor</v>
      </c>
      <c r="BU74">
        <v>4</v>
      </c>
      <c r="BV74">
        <v>20463</v>
      </c>
      <c r="BW74">
        <v>0</v>
      </c>
      <c r="BX74">
        <v>81852</v>
      </c>
      <c r="BY74">
        <v>67274.78</v>
      </c>
      <c r="BZ74">
        <v>14577.22</v>
      </c>
      <c r="CA74" t="str">
        <v>NetBanking</v>
      </c>
      <c r="CB74">
        <v>2</v>
      </c>
      <c r="CC74">
        <v>4.5</v>
      </c>
      <c r="CD74" t="b">
        <f>COUNTIF(Sales_Data!E:E,Sales_Data!E74)&gt;1</f>
        <v>1</v>
      </c>
      <c r="CE74">
        <f>SUM(Sales_Data!$K$2:'Sales_Data'!K74)</f>
        <v>17827578.549999997</v>
      </c>
      <c r="CF74">
        <f t="shared" si="27"/>
        <v>93359.069999999992</v>
      </c>
      <c r="CG74" t="str">
        <f>CHOOSE(MATCH(C74,{"North","West","South","East"},0),"Zone 1","Zone 2","Zone 3","Zone 4")</f>
        <v>Zone 3</v>
      </c>
      <c r="CH74" t="str" cm="1">
        <f t="array" ref="CH74">_xlfn.SWITCH(N74,"Card","Card Payment","UPI", "UPI Payment","Cash","Cash Payment","NetBanking", "NetBanking Payment", "Unknown")</f>
        <v>Card Payment</v>
      </c>
      <c r="CI74" t="str" cm="1">
        <f t="array" ref="CI74">_xlfn.IFS(Sales_Data!J74&lt;=5,"Low",Sales_Data!J74&lt;=10,"Medium",Sales_Data!J74&gt;10,"High")</f>
        <v>High</v>
      </c>
    </row>
    <row r="75" spans="1:87" x14ac:dyDescent="0.3">
      <c r="A75">
        <v>1075</v>
      </c>
      <c r="B75" s="1">
        <v>45699</v>
      </c>
      <c r="C75" t="s">
        <v>50</v>
      </c>
      <c r="D75" t="s">
        <v>57</v>
      </c>
      <c r="E75" t="s">
        <v>55</v>
      </c>
      <c r="F75" t="s">
        <v>25</v>
      </c>
      <c r="G75" t="s">
        <v>36</v>
      </c>
      <c r="H75">
        <v>10</v>
      </c>
      <c r="I75">
        <v>33386</v>
      </c>
      <c r="J75">
        <v>20</v>
      </c>
      <c r="K75">
        <v>267088</v>
      </c>
      <c r="L75">
        <v>202959.66</v>
      </c>
      <c r="M75">
        <v>64128.34</v>
      </c>
      <c r="N75" t="s">
        <v>27</v>
      </c>
      <c r="O75">
        <v>2</v>
      </c>
      <c r="P75">
        <v>2.8</v>
      </c>
      <c r="Q75">
        <f t="shared" si="15"/>
        <v>90</v>
      </c>
      <c r="R75" t="str">
        <f t="shared" si="16"/>
        <v>Laptop</v>
      </c>
      <c r="S75" t="e">
        <f t="shared" si="17"/>
        <v>#N/A</v>
      </c>
      <c r="T75">
        <v>45435</v>
      </c>
      <c r="U75" t="str">
        <v>East</v>
      </c>
      <c r="V75" t="str">
        <v>Neha</v>
      </c>
      <c r="W75" t="str">
        <v>Customer_30</v>
      </c>
      <c r="X75" t="str">
        <v>Office Supplies</v>
      </c>
      <c r="Y75" t="str">
        <v>Monitor</v>
      </c>
      <c r="Z75">
        <v>9</v>
      </c>
      <c r="AA75">
        <v>34301</v>
      </c>
      <c r="AB75">
        <v>0</v>
      </c>
      <c r="AC75">
        <v>308709</v>
      </c>
      <c r="AD75">
        <v>249532.93</v>
      </c>
      <c r="AE75">
        <v>59176.07</v>
      </c>
      <c r="AF75" t="str">
        <v>Card</v>
      </c>
      <c r="AG75">
        <v>5</v>
      </c>
      <c r="AH75">
        <v>4.5999999999999996</v>
      </c>
      <c r="AI75">
        <v>95</v>
      </c>
      <c r="AJ75" t="str">
        <v>Monitor</v>
      </c>
      <c r="AK75">
        <v>1163</v>
      </c>
      <c r="AL75">
        <v>45454</v>
      </c>
      <c r="AM75" t="str">
        <v>West</v>
      </c>
      <c r="AN75" t="str">
        <v>Arjun</v>
      </c>
      <c r="AO75" t="str">
        <v>Customer_45</v>
      </c>
      <c r="AP75" t="str">
        <v>Furniture</v>
      </c>
      <c r="AQ75" t="str">
        <v>Printer</v>
      </c>
      <c r="AR75">
        <v>13</v>
      </c>
      <c r="AS75">
        <v>35497</v>
      </c>
      <c r="AT75">
        <v>15</v>
      </c>
      <c r="AU75">
        <v>392241.85</v>
      </c>
      <c r="AV75">
        <v>307167.44</v>
      </c>
      <c r="AW75">
        <v>85074.41</v>
      </c>
      <c r="AX75" t="str">
        <v>UPI</v>
      </c>
      <c r="AY75">
        <v>10</v>
      </c>
      <c r="AZ75">
        <v>4</v>
      </c>
      <c r="BA75">
        <v>73</v>
      </c>
      <c r="BB75" t="str">
        <v>Printer</v>
      </c>
      <c r="BC75" s="6">
        <f t="shared" si="18"/>
        <v>1</v>
      </c>
      <c r="BD75" t="str">
        <f t="shared" si="19"/>
        <v/>
      </c>
      <c r="BE75" s="8">
        <f t="shared" si="20"/>
        <v>0.24010191397591804</v>
      </c>
      <c r="BF75" t="str">
        <v>Customer_29</v>
      </c>
      <c r="BG75" t="str">
        <f t="shared" si="21"/>
        <v>North-Laptop</v>
      </c>
      <c r="BH75">
        <f t="shared" si="22"/>
        <v>2025</v>
      </c>
      <c r="BI75" t="str">
        <f t="shared" si="23"/>
        <v>February</v>
      </c>
      <c r="BJ75">
        <f t="shared" ca="1" si="14"/>
        <v>362</v>
      </c>
      <c r="BK75" s="8">
        <f t="shared" si="24"/>
        <v>0.24010191397591804</v>
      </c>
      <c r="BL75">
        <f t="shared" si="25"/>
        <v>30283</v>
      </c>
      <c r="BM75">
        <f t="shared" si="26"/>
        <v>17</v>
      </c>
      <c r="BN75">
        <v>1074</v>
      </c>
      <c r="BO75">
        <v>45292</v>
      </c>
      <c r="BP75" t="str">
        <v>South</v>
      </c>
      <c r="BQ75" t="str">
        <v>Megha</v>
      </c>
      <c r="BR75" t="str">
        <v>Customer_41</v>
      </c>
      <c r="BS75" t="str">
        <v>Furniture</v>
      </c>
      <c r="BT75" t="str">
        <v>Monitor</v>
      </c>
      <c r="BU75">
        <v>14</v>
      </c>
      <c r="BV75">
        <v>6822</v>
      </c>
      <c r="BW75">
        <v>15</v>
      </c>
      <c r="BX75">
        <v>81181.8</v>
      </c>
      <c r="BY75">
        <v>58686.29</v>
      </c>
      <c r="BZ75">
        <v>22495.51</v>
      </c>
      <c r="CA75" t="str">
        <v>Card</v>
      </c>
      <c r="CB75">
        <v>6</v>
      </c>
      <c r="CC75">
        <v>4.3</v>
      </c>
      <c r="CD75" t="b">
        <f>COUNTIF(Sales_Data!E:E,Sales_Data!E75)&gt;1</f>
        <v>1</v>
      </c>
      <c r="CE75">
        <f>SUM(Sales_Data!$K$2:'Sales_Data'!K75)</f>
        <v>18094666.549999997</v>
      </c>
      <c r="CF75">
        <f t="shared" si="27"/>
        <v>307151.19999999995</v>
      </c>
      <c r="CG75" t="str">
        <f>CHOOSE(MATCH(C75,{"North","West","South","East"},0),"Zone 1","Zone 2","Zone 3","Zone 4")</f>
        <v>Zone 1</v>
      </c>
      <c r="CH75" t="str" cm="1">
        <f t="array" ref="CH75">_xlfn.SWITCH(N75,"Card","Card Payment","UPI", "UPI Payment","Cash","Cash Payment","NetBanking", "NetBanking Payment", "Unknown")</f>
        <v>UPI Payment</v>
      </c>
      <c r="CI75" t="str" cm="1">
        <f t="array" ref="CI75">_xlfn.IFS(Sales_Data!J75&lt;=5,"Low",Sales_Data!J75&lt;=10,"Medium",Sales_Data!J75&gt;10,"High")</f>
        <v>High</v>
      </c>
    </row>
    <row r="76" spans="1:87" x14ac:dyDescent="0.3">
      <c r="A76">
        <v>1076</v>
      </c>
      <c r="B76" s="1">
        <v>45564</v>
      </c>
      <c r="C76" t="s">
        <v>22</v>
      </c>
      <c r="D76" t="s">
        <v>31</v>
      </c>
      <c r="E76" t="s">
        <v>69</v>
      </c>
      <c r="F76" t="s">
        <v>25</v>
      </c>
      <c r="G76" t="s">
        <v>47</v>
      </c>
      <c r="H76">
        <v>15</v>
      </c>
      <c r="I76">
        <v>35699</v>
      </c>
      <c r="J76">
        <v>0</v>
      </c>
      <c r="K76">
        <v>535485</v>
      </c>
      <c r="L76">
        <v>427200.9</v>
      </c>
      <c r="M76">
        <v>108284.1</v>
      </c>
      <c r="N76" t="s">
        <v>27</v>
      </c>
      <c r="O76">
        <v>1</v>
      </c>
      <c r="P76">
        <v>3.7</v>
      </c>
      <c r="Q76">
        <f t="shared" si="15"/>
        <v>51</v>
      </c>
      <c r="R76" t="str">
        <f t="shared" si="16"/>
        <v>Monitor</v>
      </c>
      <c r="S76" t="e">
        <f t="shared" si="17"/>
        <v>#N/A</v>
      </c>
      <c r="T76">
        <v>45680</v>
      </c>
      <c r="U76" t="str">
        <v>South</v>
      </c>
      <c r="V76" t="str">
        <v>Sneha</v>
      </c>
      <c r="W76" t="str">
        <v>Customer_3</v>
      </c>
      <c r="X76" t="str">
        <v>Furniture</v>
      </c>
      <c r="Y76" t="str">
        <v>Mouse</v>
      </c>
      <c r="Z76">
        <v>13</v>
      </c>
      <c r="AA76">
        <v>32683</v>
      </c>
      <c r="AB76">
        <v>5</v>
      </c>
      <c r="AC76">
        <v>403635.05</v>
      </c>
      <c r="AD76">
        <v>258355.12</v>
      </c>
      <c r="AE76">
        <v>145279.93</v>
      </c>
      <c r="AF76" t="str">
        <v>UPI</v>
      </c>
      <c r="AG76">
        <v>9</v>
      </c>
      <c r="AH76">
        <v>4.3</v>
      </c>
      <c r="AI76">
        <v>26</v>
      </c>
      <c r="AJ76" t="str">
        <v>Mouse</v>
      </c>
      <c r="AK76">
        <v>1188</v>
      </c>
      <c r="AL76">
        <v>45605</v>
      </c>
      <c r="AM76" t="str">
        <v>East</v>
      </c>
      <c r="AN76" t="str">
        <v>Rohan</v>
      </c>
      <c r="AO76" t="str">
        <v>Customer_12</v>
      </c>
      <c r="AP76" t="str">
        <v>Furniture</v>
      </c>
      <c r="AQ76" t="str">
        <v>Keyboard</v>
      </c>
      <c r="AR76">
        <v>15</v>
      </c>
      <c r="AS76">
        <v>17952</v>
      </c>
      <c r="AT76">
        <v>20</v>
      </c>
      <c r="AU76">
        <v>215424</v>
      </c>
      <c r="AV76">
        <v>130438.71</v>
      </c>
      <c r="AW76">
        <v>84985.29</v>
      </c>
      <c r="AX76" t="str">
        <v>Cash</v>
      </c>
      <c r="AY76">
        <v>5</v>
      </c>
      <c r="AZ76">
        <v>4.7</v>
      </c>
      <c r="BA76">
        <v>74</v>
      </c>
      <c r="BB76" t="str">
        <v>Keyboard</v>
      </c>
      <c r="BC76" s="6">
        <f t="shared" si="18"/>
        <v>3</v>
      </c>
      <c r="BD76" t="str">
        <f t="shared" si="19"/>
        <v>Bonus!</v>
      </c>
      <c r="BE76" s="8">
        <f t="shared" si="20"/>
        <v>0.2022168688198549</v>
      </c>
      <c r="BF76" t="str">
        <v>Customer_29</v>
      </c>
      <c r="BG76" t="str">
        <f t="shared" si="21"/>
        <v>South-Monitor</v>
      </c>
      <c r="BH76">
        <f t="shared" si="22"/>
        <v>2024</v>
      </c>
      <c r="BI76" t="str">
        <f t="shared" si="23"/>
        <v>September</v>
      </c>
      <c r="BJ76">
        <f t="shared" ca="1" si="14"/>
        <v>458</v>
      </c>
      <c r="BK76" s="8">
        <f t="shared" si="24"/>
        <v>0.2022168688198549</v>
      </c>
      <c r="BL76">
        <f t="shared" si="25"/>
        <v>26687</v>
      </c>
      <c r="BM76">
        <f t="shared" si="26"/>
        <v>38</v>
      </c>
      <c r="BN76">
        <v>1075</v>
      </c>
      <c r="BO76">
        <v>45699</v>
      </c>
      <c r="BP76" t="str">
        <v>North</v>
      </c>
      <c r="BQ76" t="str">
        <v>Megha</v>
      </c>
      <c r="BR76" t="str">
        <v>Customer_40</v>
      </c>
      <c r="BS76" t="str">
        <v>Office Supplies</v>
      </c>
      <c r="BT76" t="str">
        <v>Laptop</v>
      </c>
      <c r="BU76">
        <v>10</v>
      </c>
      <c r="BV76">
        <v>33386</v>
      </c>
      <c r="BW76">
        <v>20</v>
      </c>
      <c r="BX76">
        <v>267088</v>
      </c>
      <c r="BY76">
        <v>202959.66</v>
      </c>
      <c r="BZ76">
        <v>64128.34</v>
      </c>
      <c r="CA76" t="str">
        <v>UPI</v>
      </c>
      <c r="CB76">
        <v>2</v>
      </c>
      <c r="CC76">
        <v>2.8</v>
      </c>
      <c r="CD76" t="b">
        <f>COUNTIF(Sales_Data!E:E,Sales_Data!E76)&gt;1</f>
        <v>1</v>
      </c>
      <c r="CE76">
        <f>SUM(Sales_Data!$K$2:'Sales_Data'!K76)</f>
        <v>18630151.549999997</v>
      </c>
      <c r="CF76">
        <f t="shared" si="27"/>
        <v>615807.75</v>
      </c>
      <c r="CG76" t="str">
        <f>CHOOSE(MATCH(C76,{"North","West","South","East"},0),"Zone 1","Zone 2","Zone 3","Zone 4")</f>
        <v>Zone 3</v>
      </c>
      <c r="CH76" t="str" cm="1">
        <f t="array" ref="CH76">_xlfn.SWITCH(N76,"Card","Card Payment","UPI", "UPI Payment","Cash","Cash Payment","NetBanking", "NetBanking Payment", "Unknown")</f>
        <v>UPI Payment</v>
      </c>
      <c r="CI76" t="str" cm="1">
        <f t="array" ref="CI76">_xlfn.IFS(Sales_Data!J76&lt;=5,"Low",Sales_Data!J76&lt;=10,"Medium",Sales_Data!J76&gt;10,"High")</f>
        <v>Low</v>
      </c>
    </row>
    <row r="77" spans="1:87" x14ac:dyDescent="0.3">
      <c r="A77">
        <v>1077</v>
      </c>
      <c r="B77" s="1">
        <v>45548</v>
      </c>
      <c r="C77" t="s">
        <v>22</v>
      </c>
      <c r="D77" t="s">
        <v>23</v>
      </c>
      <c r="E77" t="s">
        <v>62</v>
      </c>
      <c r="F77" t="s">
        <v>35</v>
      </c>
      <c r="G77" t="s">
        <v>36</v>
      </c>
      <c r="H77">
        <v>8</v>
      </c>
      <c r="I77">
        <v>16701</v>
      </c>
      <c r="J77">
        <v>20</v>
      </c>
      <c r="K77">
        <v>106886.39999999999</v>
      </c>
      <c r="L77">
        <v>76645.440000000002</v>
      </c>
      <c r="M77">
        <v>30240.959999999999</v>
      </c>
      <c r="N77" t="s">
        <v>37</v>
      </c>
      <c r="O77">
        <v>4</v>
      </c>
      <c r="P77">
        <v>3.3</v>
      </c>
      <c r="Q77">
        <f t="shared" si="15"/>
        <v>131</v>
      </c>
      <c r="R77" t="str">
        <f t="shared" si="16"/>
        <v>Laptop</v>
      </c>
      <c r="S77" t="e">
        <f t="shared" si="17"/>
        <v>#N/A</v>
      </c>
      <c r="T77">
        <v>45454</v>
      </c>
      <c r="U77" t="str">
        <v>West</v>
      </c>
      <c r="V77" t="str">
        <v>Arjun</v>
      </c>
      <c r="W77" t="str">
        <v>Customer_45</v>
      </c>
      <c r="X77" t="str">
        <v>Furniture</v>
      </c>
      <c r="Y77" t="str">
        <v>Printer</v>
      </c>
      <c r="Z77">
        <v>13</v>
      </c>
      <c r="AA77">
        <v>35497</v>
      </c>
      <c r="AB77">
        <v>15</v>
      </c>
      <c r="AC77">
        <v>392241.85</v>
      </c>
      <c r="AD77">
        <v>307167.44</v>
      </c>
      <c r="AE77">
        <v>85074.41</v>
      </c>
      <c r="AF77" t="str">
        <v>UPI</v>
      </c>
      <c r="AG77">
        <v>10</v>
      </c>
      <c r="AH77">
        <v>4</v>
      </c>
      <c r="AI77">
        <v>73</v>
      </c>
      <c r="AJ77" t="str">
        <v>Printer</v>
      </c>
      <c r="AK77">
        <v>1119</v>
      </c>
      <c r="AL77">
        <v>45554</v>
      </c>
      <c r="AM77" t="str">
        <v>South</v>
      </c>
      <c r="AN77" t="str">
        <v>Sneha</v>
      </c>
      <c r="AO77" t="str">
        <v>Customer_35</v>
      </c>
      <c r="AP77" t="str">
        <v>Furniture</v>
      </c>
      <c r="AQ77" t="str">
        <v>Keyboard</v>
      </c>
      <c r="AR77">
        <v>12</v>
      </c>
      <c r="AS77">
        <v>28911</v>
      </c>
      <c r="AT77">
        <v>0</v>
      </c>
      <c r="AU77">
        <v>346932</v>
      </c>
      <c r="AV77">
        <v>264406.14</v>
      </c>
      <c r="AW77">
        <v>82525.86</v>
      </c>
      <c r="AX77" t="str">
        <v>NetBanking</v>
      </c>
      <c r="AY77">
        <v>1</v>
      </c>
      <c r="AZ77">
        <v>2.7</v>
      </c>
      <c r="BA77">
        <v>75</v>
      </c>
      <c r="BB77" t="str">
        <v>Keyboard</v>
      </c>
      <c r="BC77" s="6">
        <f t="shared" si="18"/>
        <v>3</v>
      </c>
      <c r="BD77" t="str">
        <f t="shared" si="19"/>
        <v/>
      </c>
      <c r="BE77" s="8">
        <f t="shared" si="20"/>
        <v>0.28292617208550386</v>
      </c>
      <c r="BF77" t="str">
        <v>Customer_29</v>
      </c>
      <c r="BG77" t="str">
        <f t="shared" si="21"/>
        <v>South-Laptop</v>
      </c>
      <c r="BH77">
        <f t="shared" si="22"/>
        <v>2024</v>
      </c>
      <c r="BI77" t="str">
        <f t="shared" si="23"/>
        <v>September</v>
      </c>
      <c r="BJ77">
        <f t="shared" ca="1" si="14"/>
        <v>469</v>
      </c>
      <c r="BK77" s="8">
        <f t="shared" si="24"/>
        <v>0.28292617208550386</v>
      </c>
      <c r="BL77">
        <f t="shared" si="25"/>
        <v>30283</v>
      </c>
      <c r="BM77">
        <f t="shared" si="26"/>
        <v>25</v>
      </c>
      <c r="BN77">
        <v>1076</v>
      </c>
      <c r="BO77">
        <v>45564</v>
      </c>
      <c r="BP77" t="str">
        <v>South</v>
      </c>
      <c r="BQ77" t="str">
        <v>Neha</v>
      </c>
      <c r="BR77" t="str">
        <v>Customer_38</v>
      </c>
      <c r="BS77" t="str">
        <v>Office Supplies</v>
      </c>
      <c r="BT77" t="str">
        <v>Monitor</v>
      </c>
      <c r="BU77">
        <v>15</v>
      </c>
      <c r="BV77">
        <v>35699</v>
      </c>
      <c r="BW77">
        <v>0</v>
      </c>
      <c r="BX77">
        <v>535485</v>
      </c>
      <c r="BY77">
        <v>427200.9</v>
      </c>
      <c r="BZ77">
        <v>108284.1</v>
      </c>
      <c r="CA77" t="str">
        <v>UPI</v>
      </c>
      <c r="CB77">
        <v>1</v>
      </c>
      <c r="CC77">
        <v>3.7</v>
      </c>
      <c r="CD77" t="b">
        <f>COUNTIF(Sales_Data!E:E,Sales_Data!E77)&gt;1</f>
        <v>1</v>
      </c>
      <c r="CE77">
        <f>SUM(Sales_Data!$K$2:'Sales_Data'!K77)</f>
        <v>18737037.949999996</v>
      </c>
      <c r="CF77">
        <f t="shared" si="27"/>
        <v>122919.35999999999</v>
      </c>
      <c r="CG77" t="str">
        <f>CHOOSE(MATCH(C77,{"North","West","South","East"},0),"Zone 1","Zone 2","Zone 3","Zone 4")</f>
        <v>Zone 3</v>
      </c>
      <c r="CH77" t="str" cm="1">
        <f t="array" ref="CH77">_xlfn.SWITCH(N77,"Card","Card Payment","UPI", "UPI Payment","Cash","Cash Payment","NetBanking", "NetBanking Payment", "Unknown")</f>
        <v>Cash Payment</v>
      </c>
      <c r="CI77" t="str" cm="1">
        <f t="array" ref="CI77">_xlfn.IFS(Sales_Data!J77&lt;=5,"Low",Sales_Data!J77&lt;=10,"Medium",Sales_Data!J77&gt;10,"High")</f>
        <v>High</v>
      </c>
    </row>
    <row r="78" spans="1:87" x14ac:dyDescent="0.3">
      <c r="A78">
        <v>1078</v>
      </c>
      <c r="B78" s="1">
        <v>45547</v>
      </c>
      <c r="C78" t="s">
        <v>50</v>
      </c>
      <c r="D78" t="s">
        <v>28</v>
      </c>
      <c r="E78" t="s">
        <v>81</v>
      </c>
      <c r="F78" t="s">
        <v>35</v>
      </c>
      <c r="G78" t="s">
        <v>26</v>
      </c>
      <c r="H78">
        <v>17</v>
      </c>
      <c r="I78">
        <v>47832</v>
      </c>
      <c r="J78">
        <v>15</v>
      </c>
      <c r="K78">
        <v>691172.4</v>
      </c>
      <c r="L78">
        <v>411242.55</v>
      </c>
      <c r="M78">
        <v>279929.84999999998</v>
      </c>
      <c r="N78" t="s">
        <v>21</v>
      </c>
      <c r="O78">
        <v>2</v>
      </c>
      <c r="P78">
        <v>3.2</v>
      </c>
      <c r="Q78">
        <f t="shared" si="15"/>
        <v>3</v>
      </c>
      <c r="R78" t="str">
        <f t="shared" si="16"/>
        <v>Keyboard</v>
      </c>
      <c r="S78" t="e">
        <f t="shared" si="17"/>
        <v>#N/A</v>
      </c>
      <c r="T78">
        <v>45628</v>
      </c>
      <c r="U78" t="str">
        <v>North</v>
      </c>
      <c r="V78" t="str">
        <v>Sneha</v>
      </c>
      <c r="W78" t="str">
        <v>Customer_37</v>
      </c>
      <c r="X78" t="str">
        <v>Furniture</v>
      </c>
      <c r="Y78" t="str">
        <v>Phone</v>
      </c>
      <c r="Z78">
        <v>8</v>
      </c>
      <c r="AA78">
        <v>39543</v>
      </c>
      <c r="AB78">
        <v>5</v>
      </c>
      <c r="AC78">
        <v>300526.8</v>
      </c>
      <c r="AD78">
        <v>200580.67</v>
      </c>
      <c r="AE78">
        <v>99946.13</v>
      </c>
      <c r="AF78" t="str">
        <v>UPI</v>
      </c>
      <c r="AG78">
        <v>8</v>
      </c>
      <c r="AH78">
        <v>4.0999999999999996</v>
      </c>
      <c r="AI78">
        <v>59</v>
      </c>
      <c r="AJ78" t="str">
        <v>Phone</v>
      </c>
      <c r="AK78">
        <v>1059</v>
      </c>
      <c r="AL78">
        <v>45618</v>
      </c>
      <c r="AM78" t="str">
        <v>South</v>
      </c>
      <c r="AN78" t="str">
        <v>Aman</v>
      </c>
      <c r="AO78" t="str">
        <v>Customer_12</v>
      </c>
      <c r="AP78" t="str">
        <v>Electronics</v>
      </c>
      <c r="AQ78" t="str">
        <v>Phone</v>
      </c>
      <c r="AR78">
        <v>9</v>
      </c>
      <c r="AS78">
        <v>28994</v>
      </c>
      <c r="AT78">
        <v>15</v>
      </c>
      <c r="AU78">
        <v>221804.1</v>
      </c>
      <c r="AV78">
        <v>143013.17000000001</v>
      </c>
      <c r="AW78">
        <v>78790.929999999993</v>
      </c>
      <c r="AX78" t="str">
        <v>NetBanking</v>
      </c>
      <c r="AY78">
        <v>6</v>
      </c>
      <c r="AZ78">
        <v>4.7</v>
      </c>
      <c r="BA78">
        <v>76</v>
      </c>
      <c r="BB78" t="str">
        <v>Phone</v>
      </c>
      <c r="BC78" s="6">
        <f t="shared" si="18"/>
        <v>3</v>
      </c>
      <c r="BD78" t="str">
        <f t="shared" si="19"/>
        <v>Bonus!</v>
      </c>
      <c r="BE78" s="8">
        <f t="shared" si="20"/>
        <v>0.40500727459603419</v>
      </c>
      <c r="BF78" t="str">
        <v>Customer_29</v>
      </c>
      <c r="BG78" t="str">
        <f t="shared" si="21"/>
        <v>North-Keyboard</v>
      </c>
      <c r="BH78">
        <f t="shared" si="22"/>
        <v>2024</v>
      </c>
      <c r="BI78" t="str">
        <f t="shared" si="23"/>
        <v>September</v>
      </c>
      <c r="BJ78">
        <f t="shared" ca="1" si="14"/>
        <v>470</v>
      </c>
      <c r="BK78" s="8">
        <f t="shared" si="24"/>
        <v>0.40500727459603419</v>
      </c>
      <c r="BL78">
        <f t="shared" si="25"/>
        <v>23829</v>
      </c>
      <c r="BM78">
        <f t="shared" si="26"/>
        <v>78</v>
      </c>
      <c r="BN78">
        <v>1077</v>
      </c>
      <c r="BO78">
        <v>45548</v>
      </c>
      <c r="BP78" t="str">
        <v>South</v>
      </c>
      <c r="BQ78" t="str">
        <v>Karan</v>
      </c>
      <c r="BR78" t="str">
        <v>Customer_43</v>
      </c>
      <c r="BS78" t="str">
        <v>Furniture</v>
      </c>
      <c r="BT78" t="str">
        <v>Laptop</v>
      </c>
      <c r="BU78">
        <v>8</v>
      </c>
      <c r="BV78">
        <v>16701</v>
      </c>
      <c r="BW78">
        <v>20</v>
      </c>
      <c r="BX78">
        <v>106886.39999999999</v>
      </c>
      <c r="BY78">
        <v>76645.440000000002</v>
      </c>
      <c r="BZ78">
        <v>30240.959999999999</v>
      </c>
      <c r="CA78" t="str">
        <v>Cash</v>
      </c>
      <c r="CB78">
        <v>4</v>
      </c>
      <c r="CC78">
        <v>3.3</v>
      </c>
      <c r="CD78" t="b">
        <f>COUNTIF(Sales_Data!E:E,Sales_Data!E78)&gt;1</f>
        <v>1</v>
      </c>
      <c r="CE78">
        <f>SUM(Sales_Data!$K$2:'Sales_Data'!K78)</f>
        <v>19428210.349999994</v>
      </c>
      <c r="CF78">
        <f t="shared" si="27"/>
        <v>794848.26</v>
      </c>
      <c r="CG78" t="str">
        <f>CHOOSE(MATCH(C78,{"North","West","South","East"},0),"Zone 1","Zone 2","Zone 3","Zone 4")</f>
        <v>Zone 1</v>
      </c>
      <c r="CH78" t="str" cm="1">
        <f t="array" ref="CH78">_xlfn.SWITCH(N78,"Card","Card Payment","UPI", "UPI Payment","Cash","Cash Payment","NetBanking", "NetBanking Payment", "Unknown")</f>
        <v>Card Payment</v>
      </c>
      <c r="CI78" t="str" cm="1">
        <f t="array" ref="CI78">_xlfn.IFS(Sales_Data!J78&lt;=5,"Low",Sales_Data!J78&lt;=10,"Medium",Sales_Data!J78&gt;10,"High")</f>
        <v>High</v>
      </c>
    </row>
    <row r="79" spans="1:87" x14ac:dyDescent="0.3">
      <c r="A79">
        <v>1079</v>
      </c>
      <c r="B79" s="1">
        <v>45526</v>
      </c>
      <c r="C79" t="s">
        <v>50</v>
      </c>
      <c r="D79" t="s">
        <v>28</v>
      </c>
      <c r="E79" t="s">
        <v>82</v>
      </c>
      <c r="F79" t="s">
        <v>35</v>
      </c>
      <c r="G79" t="s">
        <v>44</v>
      </c>
      <c r="H79">
        <v>20</v>
      </c>
      <c r="I79">
        <v>49976</v>
      </c>
      <c r="J79">
        <v>0</v>
      </c>
      <c r="K79">
        <v>999520</v>
      </c>
      <c r="L79">
        <v>718924.05</v>
      </c>
      <c r="M79">
        <v>280595.95</v>
      </c>
      <c r="N79" t="s">
        <v>27</v>
      </c>
      <c r="O79">
        <v>1</v>
      </c>
      <c r="P79">
        <v>3.1</v>
      </c>
      <c r="Q79">
        <f t="shared" si="15"/>
        <v>2</v>
      </c>
      <c r="R79" t="str">
        <f t="shared" si="16"/>
        <v>Printer</v>
      </c>
      <c r="S79" t="e">
        <f t="shared" si="17"/>
        <v>#N/A</v>
      </c>
      <c r="T79">
        <v>45522</v>
      </c>
      <c r="U79" t="str">
        <v>South</v>
      </c>
      <c r="V79" t="str">
        <v>Priya</v>
      </c>
      <c r="W79" t="str">
        <v>Customer_47</v>
      </c>
      <c r="X79" t="str">
        <v>Furniture</v>
      </c>
      <c r="Y79" t="str">
        <v>Mouse</v>
      </c>
      <c r="Z79">
        <v>7</v>
      </c>
      <c r="AA79">
        <v>42298</v>
      </c>
      <c r="AB79">
        <v>5</v>
      </c>
      <c r="AC79">
        <v>281281.7</v>
      </c>
      <c r="AD79">
        <v>185208.7</v>
      </c>
      <c r="AE79">
        <v>96073</v>
      </c>
      <c r="AF79" t="str">
        <v>Card</v>
      </c>
      <c r="AG79">
        <v>7</v>
      </c>
      <c r="AH79">
        <v>4.8</v>
      </c>
      <c r="AI79">
        <v>62</v>
      </c>
      <c r="AJ79" t="str">
        <v>Mouse</v>
      </c>
      <c r="AK79">
        <v>1023</v>
      </c>
      <c r="AL79">
        <v>45659</v>
      </c>
      <c r="AM79" t="str">
        <v>East</v>
      </c>
      <c r="AN79" t="str">
        <v>Megha</v>
      </c>
      <c r="AO79" t="str">
        <v>Customer_46</v>
      </c>
      <c r="AP79" t="str">
        <v>Electronics</v>
      </c>
      <c r="AQ79" t="str">
        <v>Monitor</v>
      </c>
      <c r="AR79">
        <v>19</v>
      </c>
      <c r="AS79">
        <v>15090</v>
      </c>
      <c r="AT79">
        <v>15</v>
      </c>
      <c r="AU79">
        <v>243703.5</v>
      </c>
      <c r="AV79">
        <v>165570.76</v>
      </c>
      <c r="AW79">
        <v>78132.740000000005</v>
      </c>
      <c r="AX79" t="str">
        <v>Cash</v>
      </c>
      <c r="AY79">
        <v>6</v>
      </c>
      <c r="AZ79">
        <v>3.8</v>
      </c>
      <c r="BA79">
        <v>77</v>
      </c>
      <c r="BB79" t="str">
        <v>Monitor</v>
      </c>
      <c r="BC79" s="6">
        <f t="shared" si="18"/>
        <v>3</v>
      </c>
      <c r="BD79" t="str">
        <f t="shared" si="19"/>
        <v>Bonus!</v>
      </c>
      <c r="BE79" s="8">
        <f t="shared" si="20"/>
        <v>0.28073070073635348</v>
      </c>
      <c r="BF79" t="str">
        <v>Customer_3</v>
      </c>
      <c r="BG79" t="str">
        <f t="shared" si="21"/>
        <v>North-Printer</v>
      </c>
      <c r="BH79">
        <f t="shared" si="22"/>
        <v>2024</v>
      </c>
      <c r="BI79" t="str">
        <f t="shared" si="23"/>
        <v>August</v>
      </c>
      <c r="BJ79">
        <f t="shared" ca="1" si="14"/>
        <v>485</v>
      </c>
      <c r="BK79" s="8">
        <f t="shared" si="24"/>
        <v>0.28073070073635348</v>
      </c>
      <c r="BL79">
        <f t="shared" si="25"/>
        <v>1561</v>
      </c>
      <c r="BM79">
        <f t="shared" si="26"/>
        <v>79</v>
      </c>
      <c r="BN79">
        <v>1078</v>
      </c>
      <c r="BO79">
        <v>45547</v>
      </c>
      <c r="BP79" t="str">
        <v>North</v>
      </c>
      <c r="BQ79" t="str">
        <v>Arjun</v>
      </c>
      <c r="BR79" t="str">
        <v>Customer_21</v>
      </c>
      <c r="BS79" t="str">
        <v>Furniture</v>
      </c>
      <c r="BT79" t="str">
        <v>Keyboard</v>
      </c>
      <c r="BU79">
        <v>17</v>
      </c>
      <c r="BV79">
        <v>47832</v>
      </c>
      <c r="BW79">
        <v>15</v>
      </c>
      <c r="BX79">
        <v>691172.4</v>
      </c>
      <c r="BY79">
        <v>411242.55</v>
      </c>
      <c r="BZ79">
        <v>279929.84999999998</v>
      </c>
      <c r="CA79" t="str">
        <v>Card</v>
      </c>
      <c r="CB79">
        <v>2</v>
      </c>
      <c r="CC79">
        <v>3.2</v>
      </c>
      <c r="CD79" t="b">
        <f>COUNTIF(Sales_Data!E:E,Sales_Data!E79)&gt;1</f>
        <v>1</v>
      </c>
      <c r="CE79">
        <f>SUM(Sales_Data!$K$2:'Sales_Data'!K79)</f>
        <v>20427730.349999994</v>
      </c>
      <c r="CF79">
        <f t="shared" si="27"/>
        <v>1149448</v>
      </c>
      <c r="CG79" t="str">
        <f>CHOOSE(MATCH(C79,{"North","West","South","East"},0),"Zone 1","Zone 2","Zone 3","Zone 4")</f>
        <v>Zone 1</v>
      </c>
      <c r="CH79" t="str" cm="1">
        <f t="array" ref="CH79">_xlfn.SWITCH(N79,"Card","Card Payment","UPI", "UPI Payment","Cash","Cash Payment","NetBanking", "NetBanking Payment", "Unknown")</f>
        <v>UPI Payment</v>
      </c>
      <c r="CI79" t="str" cm="1">
        <f t="array" ref="CI79">_xlfn.IFS(Sales_Data!J79&lt;=5,"Low",Sales_Data!J79&lt;=10,"Medium",Sales_Data!J79&gt;10,"High")</f>
        <v>Low</v>
      </c>
    </row>
    <row r="80" spans="1:87" x14ac:dyDescent="0.3">
      <c r="A80">
        <v>1080</v>
      </c>
      <c r="B80" s="1">
        <v>45626</v>
      </c>
      <c r="C80" t="s">
        <v>16</v>
      </c>
      <c r="D80" t="s">
        <v>23</v>
      </c>
      <c r="E80" t="s">
        <v>52</v>
      </c>
      <c r="F80" t="s">
        <v>25</v>
      </c>
      <c r="G80" t="s">
        <v>65</v>
      </c>
      <c r="H80">
        <v>14</v>
      </c>
      <c r="I80">
        <v>35691</v>
      </c>
      <c r="J80">
        <v>5</v>
      </c>
      <c r="K80">
        <v>474690.3</v>
      </c>
      <c r="L80">
        <v>370420.11</v>
      </c>
      <c r="M80">
        <v>104270.19</v>
      </c>
      <c r="N80" t="s">
        <v>48</v>
      </c>
      <c r="O80">
        <v>8</v>
      </c>
      <c r="P80">
        <v>2.6</v>
      </c>
      <c r="Q80">
        <f t="shared" si="15"/>
        <v>55</v>
      </c>
      <c r="R80" t="str">
        <f t="shared" si="16"/>
        <v>Mouse</v>
      </c>
      <c r="S80" t="e">
        <f t="shared" si="17"/>
        <v>#N/A</v>
      </c>
      <c r="T80">
        <v>45732</v>
      </c>
      <c r="U80" t="str">
        <v>North</v>
      </c>
      <c r="V80" t="str">
        <v>Rohan</v>
      </c>
      <c r="W80" t="str">
        <v>Customer_1</v>
      </c>
      <c r="X80" t="str">
        <v>Electronics</v>
      </c>
      <c r="Y80" t="str">
        <v>Mouse</v>
      </c>
      <c r="Z80">
        <v>12</v>
      </c>
      <c r="AA80">
        <v>42649</v>
      </c>
      <c r="AB80">
        <v>15</v>
      </c>
      <c r="AC80">
        <v>435019.8</v>
      </c>
      <c r="AD80">
        <v>267163.95</v>
      </c>
      <c r="AE80">
        <v>167855.85</v>
      </c>
      <c r="AF80" t="str">
        <v>Card</v>
      </c>
      <c r="AG80">
        <v>3</v>
      </c>
      <c r="AH80">
        <v>3.7</v>
      </c>
      <c r="AI80">
        <v>17</v>
      </c>
      <c r="AJ80" t="str">
        <v>Mouse</v>
      </c>
      <c r="AK80">
        <v>1003</v>
      </c>
      <c r="AL80">
        <v>45298</v>
      </c>
      <c r="AM80" t="str">
        <v>South</v>
      </c>
      <c r="AN80" t="str">
        <v>Karan</v>
      </c>
      <c r="AO80" t="str">
        <v>Customer_49</v>
      </c>
      <c r="AP80" t="str">
        <v>Office Supplies</v>
      </c>
      <c r="AQ80" t="str">
        <v>Keyboard</v>
      </c>
      <c r="AR80">
        <v>11</v>
      </c>
      <c r="AS80">
        <v>23829</v>
      </c>
      <c r="AT80">
        <v>5</v>
      </c>
      <c r="AU80">
        <v>249013.05</v>
      </c>
      <c r="AV80">
        <v>170899.83</v>
      </c>
      <c r="AW80">
        <v>78113.22</v>
      </c>
      <c r="AX80" t="str">
        <v>UPI</v>
      </c>
      <c r="AY80">
        <v>3</v>
      </c>
      <c r="AZ80">
        <v>4.7</v>
      </c>
      <c r="BA80">
        <v>78</v>
      </c>
      <c r="BB80" t="str">
        <v>Keyboard</v>
      </c>
      <c r="BC80" s="6">
        <f t="shared" si="18"/>
        <v>4</v>
      </c>
      <c r="BD80" t="str">
        <f t="shared" si="19"/>
        <v>Bonus!</v>
      </c>
      <c r="BE80" s="8">
        <f t="shared" si="20"/>
        <v>0.21965940740731379</v>
      </c>
      <c r="BF80" t="str">
        <v>Customer_3</v>
      </c>
      <c r="BG80" t="str">
        <f t="shared" si="21"/>
        <v>West-Mouse</v>
      </c>
      <c r="BH80">
        <f t="shared" si="22"/>
        <v>2024</v>
      </c>
      <c r="BI80" t="str">
        <f t="shared" si="23"/>
        <v>November</v>
      </c>
      <c r="BJ80">
        <f t="shared" ca="1" si="14"/>
        <v>413</v>
      </c>
      <c r="BK80" s="8">
        <f t="shared" si="24"/>
        <v>0.21965940740731379</v>
      </c>
      <c r="BL80">
        <f t="shared" si="25"/>
        <v>41775</v>
      </c>
      <c r="BM80">
        <f t="shared" si="26"/>
        <v>14</v>
      </c>
      <c r="BN80">
        <v>1079</v>
      </c>
      <c r="BO80">
        <v>45526</v>
      </c>
      <c r="BP80" t="str">
        <v>North</v>
      </c>
      <c r="BQ80" t="str">
        <v>Arjun</v>
      </c>
      <c r="BR80" t="str">
        <v>Customer_7</v>
      </c>
      <c r="BS80" t="str">
        <v>Furniture</v>
      </c>
      <c r="BT80" t="str">
        <v>Printer</v>
      </c>
      <c r="BU80">
        <v>20</v>
      </c>
      <c r="BV80">
        <v>49976</v>
      </c>
      <c r="BW80">
        <v>0</v>
      </c>
      <c r="BX80">
        <v>999520</v>
      </c>
      <c r="BY80">
        <v>718924.05</v>
      </c>
      <c r="BZ80">
        <v>280595.95</v>
      </c>
      <c r="CA80" t="str">
        <v>UPI</v>
      </c>
      <c r="CB80">
        <v>1</v>
      </c>
      <c r="CC80">
        <v>3.1</v>
      </c>
      <c r="CD80" t="b">
        <f>COUNTIF(Sales_Data!E:E,Sales_Data!E80)&gt;1</f>
        <v>1</v>
      </c>
      <c r="CE80">
        <f>SUM(Sales_Data!$K$2:'Sales_Data'!K80)</f>
        <v>20902420.649999995</v>
      </c>
      <c r="CF80">
        <f t="shared" si="27"/>
        <v>545893.84499999997</v>
      </c>
      <c r="CG80" t="str">
        <f>CHOOSE(MATCH(C80,{"North","West","South","East"},0),"Zone 1","Zone 2","Zone 3","Zone 4")</f>
        <v>Zone 2</v>
      </c>
      <c r="CH80" t="str" cm="1">
        <f t="array" ref="CH80">_xlfn.SWITCH(N80,"Card","Card Payment","UPI", "UPI Payment","Cash","Cash Payment","NetBanking", "NetBanking Payment", "Unknown")</f>
        <v>NetBanking Payment</v>
      </c>
      <c r="CI80" t="str" cm="1">
        <f t="array" ref="CI80">_xlfn.IFS(Sales_Data!J80&lt;=5,"Low",Sales_Data!J80&lt;=10,"Medium",Sales_Data!J80&gt;10,"High")</f>
        <v>Low</v>
      </c>
    </row>
    <row r="81" spans="1:87" x14ac:dyDescent="0.3">
      <c r="A81">
        <v>1081</v>
      </c>
      <c r="B81" s="1">
        <v>45499</v>
      </c>
      <c r="C81" t="s">
        <v>33</v>
      </c>
      <c r="D81" t="s">
        <v>57</v>
      </c>
      <c r="E81" t="s">
        <v>70</v>
      </c>
      <c r="F81" t="s">
        <v>25</v>
      </c>
      <c r="G81" t="s">
        <v>30</v>
      </c>
      <c r="H81">
        <v>9</v>
      </c>
      <c r="I81">
        <v>16742</v>
      </c>
      <c r="J81">
        <v>20</v>
      </c>
      <c r="K81">
        <v>120542.39999999999</v>
      </c>
      <c r="L81">
        <v>98806</v>
      </c>
      <c r="M81">
        <v>21736.400000000001</v>
      </c>
      <c r="N81" t="s">
        <v>21</v>
      </c>
      <c r="O81">
        <v>2</v>
      </c>
      <c r="P81">
        <v>3.3</v>
      </c>
      <c r="Q81">
        <f t="shared" si="15"/>
        <v>146</v>
      </c>
      <c r="R81" t="str">
        <f t="shared" si="16"/>
        <v>Desk</v>
      </c>
      <c r="S81" t="e">
        <f t="shared" si="17"/>
        <v>#N/A</v>
      </c>
      <c r="T81">
        <v>45437</v>
      </c>
      <c r="U81" t="str">
        <v>West</v>
      </c>
      <c r="V81" t="str">
        <v>Sneha</v>
      </c>
      <c r="W81" t="str">
        <v>Customer_37</v>
      </c>
      <c r="X81" t="str">
        <v>Furniture</v>
      </c>
      <c r="Y81" t="str">
        <v>Printer</v>
      </c>
      <c r="Z81">
        <v>16</v>
      </c>
      <c r="AA81">
        <v>43648</v>
      </c>
      <c r="AB81">
        <v>15</v>
      </c>
      <c r="AC81">
        <v>593612.80000000005</v>
      </c>
      <c r="AD81">
        <v>392653.62</v>
      </c>
      <c r="AE81">
        <v>200959.18</v>
      </c>
      <c r="AF81" t="str">
        <v>NetBanking</v>
      </c>
      <c r="AG81">
        <v>4</v>
      </c>
      <c r="AH81">
        <v>5</v>
      </c>
      <c r="AI81">
        <v>13</v>
      </c>
      <c r="AJ81" t="str">
        <v>Printer</v>
      </c>
      <c r="AK81">
        <v>1146</v>
      </c>
      <c r="AL81">
        <v>45751</v>
      </c>
      <c r="AM81" t="str">
        <v>North</v>
      </c>
      <c r="AN81" t="str">
        <v>Priya</v>
      </c>
      <c r="AO81" t="str">
        <v>Customer_18</v>
      </c>
      <c r="AP81" t="str">
        <v>Electronics</v>
      </c>
      <c r="AQ81" t="str">
        <v>Desk</v>
      </c>
      <c r="AR81">
        <v>20</v>
      </c>
      <c r="AS81">
        <v>12715</v>
      </c>
      <c r="AT81">
        <v>15</v>
      </c>
      <c r="AU81">
        <v>216155</v>
      </c>
      <c r="AV81">
        <v>143014.12</v>
      </c>
      <c r="AW81">
        <v>73140.88</v>
      </c>
      <c r="AX81" t="str">
        <v>Card</v>
      </c>
      <c r="AY81">
        <v>5</v>
      </c>
      <c r="AZ81">
        <v>3.3</v>
      </c>
      <c r="BA81">
        <v>79</v>
      </c>
      <c r="BB81" t="str">
        <v>Desk</v>
      </c>
      <c r="BC81" s="6">
        <f t="shared" si="18"/>
        <v>2</v>
      </c>
      <c r="BD81" t="str">
        <f t="shared" si="19"/>
        <v/>
      </c>
      <c r="BE81" s="8">
        <f t="shared" si="20"/>
        <v>0.18032161297601509</v>
      </c>
      <c r="BF81" t="str">
        <v>Customer_3</v>
      </c>
      <c r="BG81" t="str">
        <f t="shared" si="21"/>
        <v>East-Desk</v>
      </c>
      <c r="BH81">
        <f t="shared" si="22"/>
        <v>2024</v>
      </c>
      <c r="BI81" t="str">
        <f t="shared" si="23"/>
        <v>July</v>
      </c>
      <c r="BJ81">
        <f t="shared" ca="1" si="14"/>
        <v>504</v>
      </c>
      <c r="BK81" s="8">
        <f t="shared" si="24"/>
        <v>0.18032161297601509</v>
      </c>
      <c r="BL81">
        <f t="shared" si="25"/>
        <v>13233</v>
      </c>
      <c r="BM81">
        <f t="shared" si="26"/>
        <v>42</v>
      </c>
      <c r="BN81">
        <v>1080</v>
      </c>
      <c r="BO81">
        <v>45626</v>
      </c>
      <c r="BP81" t="str">
        <v>West</v>
      </c>
      <c r="BQ81" t="str">
        <v>Karan</v>
      </c>
      <c r="BR81" t="str">
        <v>Customer_28</v>
      </c>
      <c r="BS81" t="str">
        <v>Office Supplies</v>
      </c>
      <c r="BT81" t="str">
        <v>Mouse</v>
      </c>
      <c r="BU81">
        <v>14</v>
      </c>
      <c r="BV81">
        <v>35691</v>
      </c>
      <c r="BW81">
        <v>5</v>
      </c>
      <c r="BX81">
        <v>474690.3</v>
      </c>
      <c r="BY81">
        <v>370420.11</v>
      </c>
      <c r="BZ81">
        <v>104270.19</v>
      </c>
      <c r="CA81" t="str">
        <v>NetBanking</v>
      </c>
      <c r="CB81">
        <v>8</v>
      </c>
      <c r="CC81">
        <v>2.6</v>
      </c>
      <c r="CD81" t="b">
        <f>COUNTIF(Sales_Data!E:E,Sales_Data!E81)&gt;1</f>
        <v>1</v>
      </c>
      <c r="CE81">
        <f>SUM(Sales_Data!$K$2:'Sales_Data'!K81)</f>
        <v>21022963.049999993</v>
      </c>
      <c r="CF81">
        <f t="shared" si="27"/>
        <v>138623.75999999998</v>
      </c>
      <c r="CG81" t="str">
        <f>CHOOSE(MATCH(C81,{"North","West","South","East"},0),"Zone 1","Zone 2","Zone 3","Zone 4")</f>
        <v>Zone 4</v>
      </c>
      <c r="CH81" t="str" cm="1">
        <f t="array" ref="CH81">_xlfn.SWITCH(N81,"Card","Card Payment","UPI", "UPI Payment","Cash","Cash Payment","NetBanking", "NetBanking Payment", "Unknown")</f>
        <v>Card Payment</v>
      </c>
      <c r="CI81" t="str" cm="1">
        <f t="array" ref="CI81">_xlfn.IFS(Sales_Data!J81&lt;=5,"Low",Sales_Data!J81&lt;=10,"Medium",Sales_Data!J81&gt;10,"High")</f>
        <v>High</v>
      </c>
    </row>
    <row r="82" spans="1:87" x14ac:dyDescent="0.3">
      <c r="A82">
        <v>1082</v>
      </c>
      <c r="B82" s="1">
        <v>45548</v>
      </c>
      <c r="C82" t="s">
        <v>50</v>
      </c>
      <c r="D82" t="s">
        <v>51</v>
      </c>
      <c r="E82" t="s">
        <v>69</v>
      </c>
      <c r="F82" t="s">
        <v>25</v>
      </c>
      <c r="G82" t="s">
        <v>30</v>
      </c>
      <c r="H82">
        <v>11</v>
      </c>
      <c r="I82">
        <v>45171</v>
      </c>
      <c r="J82">
        <v>5</v>
      </c>
      <c r="K82">
        <v>472036.95</v>
      </c>
      <c r="L82">
        <v>312085.77</v>
      </c>
      <c r="M82">
        <v>159951.18</v>
      </c>
      <c r="N82" t="s">
        <v>27</v>
      </c>
      <c r="O82">
        <v>10</v>
      </c>
      <c r="P82">
        <v>2.5</v>
      </c>
      <c r="Q82">
        <f t="shared" si="15"/>
        <v>20</v>
      </c>
      <c r="R82" t="str">
        <f t="shared" si="16"/>
        <v>Desk</v>
      </c>
      <c r="S82" t="e">
        <f t="shared" si="17"/>
        <v>#N/A</v>
      </c>
      <c r="T82">
        <v>45302</v>
      </c>
      <c r="U82" t="str">
        <v>West</v>
      </c>
      <c r="V82" t="str">
        <v>Karan</v>
      </c>
      <c r="W82" t="str">
        <v>Customer_32</v>
      </c>
      <c r="X82" t="str">
        <v>Furniture</v>
      </c>
      <c r="Y82" t="str">
        <v>Mouse</v>
      </c>
      <c r="Z82">
        <v>20</v>
      </c>
      <c r="AA82">
        <v>35470</v>
      </c>
      <c r="AB82">
        <v>5</v>
      </c>
      <c r="AC82">
        <v>673930</v>
      </c>
      <c r="AD82">
        <v>548102.93999999994</v>
      </c>
      <c r="AE82">
        <v>125827.06</v>
      </c>
      <c r="AF82" t="str">
        <v>Card</v>
      </c>
      <c r="AG82">
        <v>6</v>
      </c>
      <c r="AH82">
        <v>4.0999999999999996</v>
      </c>
      <c r="AI82">
        <v>37</v>
      </c>
      <c r="AJ82" t="str">
        <v>Mouse</v>
      </c>
      <c r="AK82">
        <v>1150</v>
      </c>
      <c r="AL82">
        <v>45561</v>
      </c>
      <c r="AM82" t="str">
        <v>East</v>
      </c>
      <c r="AN82" t="str">
        <v>Aman</v>
      </c>
      <c r="AO82" t="str">
        <v>Customer_32</v>
      </c>
      <c r="AP82" t="str">
        <v>Electronics</v>
      </c>
      <c r="AQ82" t="str">
        <v>Monitor</v>
      </c>
      <c r="AR82">
        <v>13</v>
      </c>
      <c r="AS82">
        <v>19808</v>
      </c>
      <c r="AT82">
        <v>20</v>
      </c>
      <c r="AU82">
        <v>206003.20000000001</v>
      </c>
      <c r="AV82">
        <v>133205.17000000001</v>
      </c>
      <c r="AW82">
        <v>72798.03</v>
      </c>
      <c r="AX82" t="str">
        <v>Card</v>
      </c>
      <c r="AY82">
        <v>7</v>
      </c>
      <c r="AZ82">
        <v>4.3</v>
      </c>
      <c r="BA82">
        <v>80</v>
      </c>
      <c r="BB82" t="str">
        <v>Monitor</v>
      </c>
      <c r="BC82" s="6">
        <f t="shared" si="18"/>
        <v>3</v>
      </c>
      <c r="BD82" t="str">
        <f t="shared" si="19"/>
        <v>Bonus!</v>
      </c>
      <c r="BE82" s="8">
        <f t="shared" si="20"/>
        <v>0.33885309190308088</v>
      </c>
      <c r="BF82" t="str">
        <v>Customer_30</v>
      </c>
      <c r="BG82" t="str">
        <f t="shared" si="21"/>
        <v>North-Desk</v>
      </c>
      <c r="BH82">
        <f t="shared" si="22"/>
        <v>2024</v>
      </c>
      <c r="BI82" t="str">
        <f t="shared" si="23"/>
        <v>September</v>
      </c>
      <c r="BJ82">
        <f t="shared" ca="1" si="14"/>
        <v>469</v>
      </c>
      <c r="BK82" s="8">
        <f t="shared" si="24"/>
        <v>0.33885309190308088</v>
      </c>
      <c r="BL82">
        <f t="shared" si="25"/>
        <v>13233</v>
      </c>
      <c r="BM82">
        <f t="shared" si="26"/>
        <v>38</v>
      </c>
      <c r="BN82">
        <v>1081</v>
      </c>
      <c r="BO82">
        <v>45499</v>
      </c>
      <c r="BP82" t="str">
        <v>East</v>
      </c>
      <c r="BQ82" t="str">
        <v>Megha</v>
      </c>
      <c r="BR82" t="str">
        <v>Customer_35</v>
      </c>
      <c r="BS82" t="str">
        <v>Office Supplies</v>
      </c>
      <c r="BT82" t="str">
        <v>Desk</v>
      </c>
      <c r="BU82">
        <v>9</v>
      </c>
      <c r="BV82">
        <v>16742</v>
      </c>
      <c r="BW82">
        <v>20</v>
      </c>
      <c r="BX82">
        <v>120542.39999999999</v>
      </c>
      <c r="BY82">
        <v>98806</v>
      </c>
      <c r="BZ82">
        <v>21736.400000000001</v>
      </c>
      <c r="CA82" t="str">
        <v>Card</v>
      </c>
      <c r="CB82">
        <v>2</v>
      </c>
      <c r="CC82">
        <v>3.3</v>
      </c>
      <c r="CD82" t="b">
        <f>COUNTIF(Sales_Data!E:E,Sales_Data!E82)&gt;1</f>
        <v>1</v>
      </c>
      <c r="CE82">
        <f>SUM(Sales_Data!$K$2:'Sales_Data'!K82)</f>
        <v>21494999.999999993</v>
      </c>
      <c r="CF82">
        <f t="shared" si="27"/>
        <v>542842.49249999993</v>
      </c>
      <c r="CG82" t="str">
        <f>CHOOSE(MATCH(C82,{"North","West","South","East"},0),"Zone 1","Zone 2","Zone 3","Zone 4")</f>
        <v>Zone 1</v>
      </c>
      <c r="CH82" t="str" cm="1">
        <f t="array" ref="CH82">_xlfn.SWITCH(N82,"Card","Card Payment","UPI", "UPI Payment","Cash","Cash Payment","NetBanking", "NetBanking Payment", "Unknown")</f>
        <v>UPI Payment</v>
      </c>
      <c r="CI82" t="str" cm="1">
        <f t="array" ref="CI82">_xlfn.IFS(Sales_Data!J82&lt;=5,"Low",Sales_Data!J82&lt;=10,"Medium",Sales_Data!J82&gt;10,"High")</f>
        <v>Low</v>
      </c>
    </row>
    <row r="83" spans="1:87" x14ac:dyDescent="0.3">
      <c r="A83">
        <v>1083</v>
      </c>
      <c r="B83" s="1">
        <v>45512</v>
      </c>
      <c r="C83" t="s">
        <v>50</v>
      </c>
      <c r="D83" t="s">
        <v>57</v>
      </c>
      <c r="E83" t="s">
        <v>53</v>
      </c>
      <c r="F83" t="s">
        <v>35</v>
      </c>
      <c r="G83" t="s">
        <v>30</v>
      </c>
      <c r="H83">
        <v>2</v>
      </c>
      <c r="I83">
        <v>22103</v>
      </c>
      <c r="J83">
        <v>10</v>
      </c>
      <c r="K83">
        <v>39785.4</v>
      </c>
      <c r="L83">
        <v>29011.55</v>
      </c>
      <c r="M83">
        <v>10773.85</v>
      </c>
      <c r="N83" t="s">
        <v>37</v>
      </c>
      <c r="O83">
        <v>10</v>
      </c>
      <c r="P83">
        <v>2.9</v>
      </c>
      <c r="Q83">
        <f t="shared" si="15"/>
        <v>174</v>
      </c>
      <c r="R83" t="str">
        <f t="shared" si="16"/>
        <v>Desk</v>
      </c>
      <c r="S83" t="e">
        <f t="shared" si="17"/>
        <v>#N/A</v>
      </c>
      <c r="T83">
        <v>45453</v>
      </c>
      <c r="U83" t="str">
        <v>West</v>
      </c>
      <c r="V83" t="str">
        <v>Arjun</v>
      </c>
      <c r="W83" t="str">
        <v>Customer_25</v>
      </c>
      <c r="X83" t="str">
        <v>Electronics</v>
      </c>
      <c r="Y83" t="str">
        <v>Laptop</v>
      </c>
      <c r="Z83">
        <v>10</v>
      </c>
      <c r="AA83">
        <v>47475</v>
      </c>
      <c r="AB83">
        <v>5</v>
      </c>
      <c r="AC83">
        <v>451012.5</v>
      </c>
      <c r="AD83">
        <v>301133.07</v>
      </c>
      <c r="AE83">
        <v>149879.43</v>
      </c>
      <c r="AF83" t="str">
        <v>UPI</v>
      </c>
      <c r="AG83">
        <v>1</v>
      </c>
      <c r="AH83">
        <v>3.8</v>
      </c>
      <c r="AI83">
        <v>24</v>
      </c>
      <c r="AJ83" t="str">
        <v>Laptop</v>
      </c>
      <c r="AK83">
        <v>1066</v>
      </c>
      <c r="AL83">
        <v>45460</v>
      </c>
      <c r="AM83" t="str">
        <v>North</v>
      </c>
      <c r="AN83" t="str">
        <v>Sneha</v>
      </c>
      <c r="AO83" t="str">
        <v>Customer_34</v>
      </c>
      <c r="AP83" t="str">
        <v>Electronics</v>
      </c>
      <c r="AQ83" t="str">
        <v>Laptop</v>
      </c>
      <c r="AR83">
        <v>5</v>
      </c>
      <c r="AS83">
        <v>37787</v>
      </c>
      <c r="AT83">
        <v>0</v>
      </c>
      <c r="AU83">
        <v>188935</v>
      </c>
      <c r="AV83">
        <v>117508.49</v>
      </c>
      <c r="AW83">
        <v>71426.509999999995</v>
      </c>
      <c r="AX83" t="str">
        <v>UPI</v>
      </c>
      <c r="AY83">
        <v>1</v>
      </c>
      <c r="AZ83">
        <v>3.7</v>
      </c>
      <c r="BA83">
        <v>81</v>
      </c>
      <c r="BB83" t="str">
        <v>Laptop</v>
      </c>
      <c r="BC83" s="6">
        <f t="shared" si="18"/>
        <v>3</v>
      </c>
      <c r="BD83" t="str">
        <f t="shared" si="19"/>
        <v/>
      </c>
      <c r="BE83" s="8">
        <f t="shared" si="20"/>
        <v>0.27079908710230388</v>
      </c>
      <c r="BF83" t="str">
        <v>Customer_30</v>
      </c>
      <c r="BG83" t="str">
        <f t="shared" si="21"/>
        <v>North-Desk</v>
      </c>
      <c r="BH83">
        <f t="shared" si="22"/>
        <v>2024</v>
      </c>
      <c r="BI83" t="str">
        <f t="shared" si="23"/>
        <v>August</v>
      </c>
      <c r="BJ83">
        <f t="shared" ca="1" si="14"/>
        <v>495</v>
      </c>
      <c r="BK83" s="8">
        <f t="shared" si="24"/>
        <v>0.27079908710230388</v>
      </c>
      <c r="BL83">
        <f t="shared" si="25"/>
        <v>13233</v>
      </c>
      <c r="BM83">
        <f t="shared" si="26"/>
        <v>15</v>
      </c>
      <c r="BN83">
        <v>1082</v>
      </c>
      <c r="BO83">
        <v>45548</v>
      </c>
      <c r="BP83" t="str">
        <v>North</v>
      </c>
      <c r="BQ83" t="str">
        <v>Aman</v>
      </c>
      <c r="BR83" t="str">
        <v>Customer_38</v>
      </c>
      <c r="BS83" t="str">
        <v>Office Supplies</v>
      </c>
      <c r="BT83" t="str">
        <v>Desk</v>
      </c>
      <c r="BU83">
        <v>11</v>
      </c>
      <c r="BV83">
        <v>45171</v>
      </c>
      <c r="BW83">
        <v>5</v>
      </c>
      <c r="BX83">
        <v>472036.95</v>
      </c>
      <c r="BY83">
        <v>312085.77</v>
      </c>
      <c r="BZ83">
        <v>159951.18</v>
      </c>
      <c r="CA83" t="str">
        <v>UPI</v>
      </c>
      <c r="CB83">
        <v>10</v>
      </c>
      <c r="CC83">
        <v>2.5</v>
      </c>
      <c r="CD83" t="b">
        <f>COUNTIF(Sales_Data!E:E,Sales_Data!E83)&gt;1</f>
        <v>1</v>
      </c>
      <c r="CE83">
        <f>SUM(Sales_Data!$K$2:'Sales_Data'!K83)</f>
        <v>21534785.399999991</v>
      </c>
      <c r="CF83">
        <f t="shared" si="27"/>
        <v>45753.21</v>
      </c>
      <c r="CG83" t="str">
        <f>CHOOSE(MATCH(C83,{"North","West","South","East"},0),"Zone 1","Zone 2","Zone 3","Zone 4")</f>
        <v>Zone 1</v>
      </c>
      <c r="CH83" t="str" cm="1">
        <f t="array" ref="CH83">_xlfn.SWITCH(N83,"Card","Card Payment","UPI", "UPI Payment","Cash","Cash Payment","NetBanking", "NetBanking Payment", "Unknown")</f>
        <v>Cash Payment</v>
      </c>
      <c r="CI83" t="str" cm="1">
        <f t="array" ref="CI83">_xlfn.IFS(Sales_Data!J83&lt;=5,"Low",Sales_Data!J83&lt;=10,"Medium",Sales_Data!J83&gt;10,"High")</f>
        <v>Medium</v>
      </c>
    </row>
    <row r="84" spans="1:87" x14ac:dyDescent="0.3">
      <c r="A84">
        <v>1084</v>
      </c>
      <c r="B84" s="1">
        <v>45413</v>
      </c>
      <c r="C84" t="s">
        <v>16</v>
      </c>
      <c r="D84" t="s">
        <v>31</v>
      </c>
      <c r="E84" t="s">
        <v>77</v>
      </c>
      <c r="F84" t="s">
        <v>25</v>
      </c>
      <c r="G84" t="s">
        <v>41</v>
      </c>
      <c r="H84">
        <v>12</v>
      </c>
      <c r="I84">
        <v>20185</v>
      </c>
      <c r="J84">
        <v>0</v>
      </c>
      <c r="K84">
        <v>242220</v>
      </c>
      <c r="L84">
        <v>194664.34</v>
      </c>
      <c r="M84">
        <v>47555.66</v>
      </c>
      <c r="N84" t="s">
        <v>21</v>
      </c>
      <c r="O84">
        <v>8</v>
      </c>
      <c r="P84">
        <v>4.5999999999999996</v>
      </c>
      <c r="Q84">
        <f t="shared" si="15"/>
        <v>112</v>
      </c>
      <c r="R84" t="str">
        <f t="shared" si="16"/>
        <v>Chair</v>
      </c>
      <c r="S84" t="e">
        <f t="shared" si="17"/>
        <v>#N/A</v>
      </c>
      <c r="T84">
        <v>45504</v>
      </c>
      <c r="U84" t="str">
        <v>South</v>
      </c>
      <c r="V84" t="str">
        <v>Aman</v>
      </c>
      <c r="W84" t="str">
        <v>Customer_46</v>
      </c>
      <c r="X84" t="str">
        <v>Furniture</v>
      </c>
      <c r="Y84" t="str">
        <v>Printer</v>
      </c>
      <c r="Z84">
        <v>14</v>
      </c>
      <c r="AA84">
        <v>29165</v>
      </c>
      <c r="AB84">
        <v>5</v>
      </c>
      <c r="AC84">
        <v>387894.5</v>
      </c>
      <c r="AD84">
        <v>220212.89</v>
      </c>
      <c r="AE84">
        <v>167681.60999999999</v>
      </c>
      <c r="AF84" t="str">
        <v>Cash</v>
      </c>
      <c r="AG84">
        <v>8</v>
      </c>
      <c r="AH84">
        <v>4</v>
      </c>
      <c r="AI84">
        <v>18</v>
      </c>
      <c r="AJ84" t="str">
        <v>Printer</v>
      </c>
      <c r="AK84">
        <v>1153</v>
      </c>
      <c r="AL84">
        <v>45747</v>
      </c>
      <c r="AM84" t="str">
        <v>East</v>
      </c>
      <c r="AN84" t="str">
        <v>Priya</v>
      </c>
      <c r="AO84" t="str">
        <v>Customer_39</v>
      </c>
      <c r="AP84" t="str">
        <v>Office Supplies</v>
      </c>
      <c r="AQ84" t="str">
        <v>Monitor</v>
      </c>
      <c r="AR84">
        <v>19</v>
      </c>
      <c r="AS84">
        <v>15439</v>
      </c>
      <c r="AT84">
        <v>15</v>
      </c>
      <c r="AU84">
        <v>249339.85</v>
      </c>
      <c r="AV84">
        <v>178284.92</v>
      </c>
      <c r="AW84">
        <v>71054.929999999993</v>
      </c>
      <c r="AX84" t="str">
        <v>Cash</v>
      </c>
      <c r="AY84">
        <v>6</v>
      </c>
      <c r="AZ84">
        <v>4.9000000000000004</v>
      </c>
      <c r="BA84">
        <v>82</v>
      </c>
      <c r="BB84" t="str">
        <v>Monitor</v>
      </c>
      <c r="BC84" s="6">
        <f t="shared" si="18"/>
        <v>2</v>
      </c>
      <c r="BD84" t="str">
        <f t="shared" si="19"/>
        <v/>
      </c>
      <c r="BE84" s="8">
        <f t="shared" si="20"/>
        <v>0.19633250763768476</v>
      </c>
      <c r="BF84" t="str">
        <v>Customer_30</v>
      </c>
      <c r="BG84" t="str">
        <f t="shared" si="21"/>
        <v>West-Chair</v>
      </c>
      <c r="BH84">
        <f t="shared" si="22"/>
        <v>2024</v>
      </c>
      <c r="BI84" t="str">
        <f t="shared" si="23"/>
        <v>May</v>
      </c>
      <c r="BJ84">
        <f t="shared" ca="1" si="14"/>
        <v>566</v>
      </c>
      <c r="BK84" s="8">
        <f t="shared" si="24"/>
        <v>0.19633250763768476</v>
      </c>
      <c r="BL84">
        <f t="shared" si="25"/>
        <v>4972</v>
      </c>
      <c r="BM84">
        <f t="shared" si="26"/>
        <v>64</v>
      </c>
      <c r="BN84">
        <v>1083</v>
      </c>
      <c r="BO84">
        <v>45512</v>
      </c>
      <c r="BP84" t="str">
        <v>North</v>
      </c>
      <c r="BQ84" t="str">
        <v>Megha</v>
      </c>
      <c r="BR84" t="str">
        <v>Customer_10</v>
      </c>
      <c r="BS84" t="str">
        <v>Furniture</v>
      </c>
      <c r="BT84" t="str">
        <v>Desk</v>
      </c>
      <c r="BU84">
        <v>2</v>
      </c>
      <c r="BV84">
        <v>22103</v>
      </c>
      <c r="BW84">
        <v>10</v>
      </c>
      <c r="BX84">
        <v>39785.4</v>
      </c>
      <c r="BY84">
        <v>29011.55</v>
      </c>
      <c r="BZ84">
        <v>10773.85</v>
      </c>
      <c r="CA84" t="str">
        <v>Cash</v>
      </c>
      <c r="CB84">
        <v>10</v>
      </c>
      <c r="CC84">
        <v>2.9</v>
      </c>
      <c r="CD84" t="b">
        <f>COUNTIF(Sales_Data!E:E,Sales_Data!E84)&gt;1</f>
        <v>1</v>
      </c>
      <c r="CE84">
        <f>SUM(Sales_Data!$K$2:'Sales_Data'!K84)</f>
        <v>21777005.399999991</v>
      </c>
      <c r="CF84">
        <f t="shared" si="27"/>
        <v>278553</v>
      </c>
      <c r="CG84" t="str">
        <f>CHOOSE(MATCH(C84,{"North","West","South","East"},0),"Zone 1","Zone 2","Zone 3","Zone 4")</f>
        <v>Zone 2</v>
      </c>
      <c r="CH84" t="str" cm="1">
        <f t="array" ref="CH84">_xlfn.SWITCH(N84,"Card","Card Payment","UPI", "UPI Payment","Cash","Cash Payment","NetBanking", "NetBanking Payment", "Unknown")</f>
        <v>Card Payment</v>
      </c>
      <c r="CI84" t="str" cm="1">
        <f t="array" ref="CI84">_xlfn.IFS(Sales_Data!J84&lt;=5,"Low",Sales_Data!J84&lt;=10,"Medium",Sales_Data!J84&gt;10,"High")</f>
        <v>Low</v>
      </c>
    </row>
    <row r="85" spans="1:87" x14ac:dyDescent="0.3">
      <c r="A85">
        <v>1085</v>
      </c>
      <c r="B85" s="1">
        <v>45560</v>
      </c>
      <c r="C85" t="s">
        <v>50</v>
      </c>
      <c r="D85" t="s">
        <v>51</v>
      </c>
      <c r="E85" t="s">
        <v>83</v>
      </c>
      <c r="F85" t="s">
        <v>35</v>
      </c>
      <c r="G85" t="s">
        <v>36</v>
      </c>
      <c r="H85">
        <v>14</v>
      </c>
      <c r="I85">
        <v>25079</v>
      </c>
      <c r="J85">
        <v>0</v>
      </c>
      <c r="K85">
        <v>351106</v>
      </c>
      <c r="L85">
        <v>264213.65000000002</v>
      </c>
      <c r="M85">
        <v>86892.35</v>
      </c>
      <c r="N85" t="s">
        <v>27</v>
      </c>
      <c r="O85">
        <v>10</v>
      </c>
      <c r="P85">
        <v>2.8</v>
      </c>
      <c r="Q85">
        <f t="shared" si="15"/>
        <v>70</v>
      </c>
      <c r="R85" t="str">
        <f t="shared" si="16"/>
        <v>Laptop</v>
      </c>
      <c r="S85" t="e">
        <f t="shared" si="17"/>
        <v>#N/A</v>
      </c>
      <c r="T85">
        <v>45590</v>
      </c>
      <c r="U85" t="str">
        <v>East</v>
      </c>
      <c r="V85" t="str">
        <v>Megha</v>
      </c>
      <c r="W85" t="str">
        <v>Customer_34</v>
      </c>
      <c r="X85" t="str">
        <v>Electronics</v>
      </c>
      <c r="Y85" t="str">
        <v>Monitor</v>
      </c>
      <c r="Z85">
        <v>6</v>
      </c>
      <c r="AA85">
        <v>45030</v>
      </c>
      <c r="AB85">
        <v>10</v>
      </c>
      <c r="AC85">
        <v>243162</v>
      </c>
      <c r="AD85">
        <v>178779.53</v>
      </c>
      <c r="AE85">
        <v>64382.47</v>
      </c>
      <c r="AF85" t="str">
        <v>Cash</v>
      </c>
      <c r="AG85">
        <v>1</v>
      </c>
      <c r="AH85">
        <v>4.7</v>
      </c>
      <c r="AI85">
        <v>88</v>
      </c>
      <c r="AJ85" t="str">
        <v>Monitor</v>
      </c>
      <c r="AK85">
        <v>1130</v>
      </c>
      <c r="AL85">
        <v>45531</v>
      </c>
      <c r="AM85" t="str">
        <v>South</v>
      </c>
      <c r="AN85" t="str">
        <v>Karan</v>
      </c>
      <c r="AO85" t="str">
        <v>Customer_32</v>
      </c>
      <c r="AP85" t="str">
        <v>Furniture</v>
      </c>
      <c r="AQ85" t="str">
        <v>Laptop</v>
      </c>
      <c r="AR85">
        <v>12</v>
      </c>
      <c r="AS85">
        <v>17649</v>
      </c>
      <c r="AT85">
        <v>5</v>
      </c>
      <c r="AU85">
        <v>201198.6</v>
      </c>
      <c r="AV85">
        <v>132394.13</v>
      </c>
      <c r="AW85">
        <v>68804.47</v>
      </c>
      <c r="AX85" t="str">
        <v>NetBanking</v>
      </c>
      <c r="AY85">
        <v>6</v>
      </c>
      <c r="AZ85">
        <v>2.7</v>
      </c>
      <c r="BA85">
        <v>83</v>
      </c>
      <c r="BB85" t="str">
        <v>Laptop</v>
      </c>
      <c r="BC85" s="6">
        <f t="shared" si="18"/>
        <v>3</v>
      </c>
      <c r="BD85" t="str">
        <f t="shared" si="19"/>
        <v/>
      </c>
      <c r="BE85" s="8">
        <f t="shared" si="20"/>
        <v>0.2474818146086937</v>
      </c>
      <c r="BF85" t="str">
        <v>Customer_30</v>
      </c>
      <c r="BG85" t="str">
        <f t="shared" si="21"/>
        <v>North-Laptop</v>
      </c>
      <c r="BH85">
        <f t="shared" si="22"/>
        <v>2024</v>
      </c>
      <c r="BI85" t="str">
        <f t="shared" si="23"/>
        <v>September</v>
      </c>
      <c r="BJ85">
        <f t="shared" ca="1" si="14"/>
        <v>461</v>
      </c>
      <c r="BK85" s="8">
        <f t="shared" si="24"/>
        <v>0.2474818146086937</v>
      </c>
      <c r="BL85">
        <f t="shared" si="25"/>
        <v>30283</v>
      </c>
      <c r="BM85">
        <f t="shared" si="26"/>
        <v>85</v>
      </c>
      <c r="BN85">
        <v>1084</v>
      </c>
      <c r="BO85">
        <v>45413</v>
      </c>
      <c r="BP85" t="str">
        <v>West</v>
      </c>
      <c r="BQ85" t="str">
        <v>Neha</v>
      </c>
      <c r="BR85" t="str">
        <v>Customer_19</v>
      </c>
      <c r="BS85" t="str">
        <v>Office Supplies</v>
      </c>
      <c r="BT85" t="str">
        <v>Chair</v>
      </c>
      <c r="BU85">
        <v>12</v>
      </c>
      <c r="BV85">
        <v>20185</v>
      </c>
      <c r="BW85">
        <v>0</v>
      </c>
      <c r="BX85">
        <v>242220</v>
      </c>
      <c r="BY85">
        <v>194664.34</v>
      </c>
      <c r="BZ85">
        <v>47555.66</v>
      </c>
      <c r="CA85" t="str">
        <v>Card</v>
      </c>
      <c r="CB85">
        <v>8</v>
      </c>
      <c r="CC85">
        <v>4.5999999999999996</v>
      </c>
      <c r="CD85" t="b">
        <f>COUNTIF(Sales_Data!E:E,Sales_Data!E85)&gt;1</f>
        <v>1</v>
      </c>
      <c r="CE85">
        <f>SUM(Sales_Data!$K$2:'Sales_Data'!K85)</f>
        <v>22128111.399999991</v>
      </c>
      <c r="CF85">
        <f t="shared" si="27"/>
        <v>403771.89999999997</v>
      </c>
      <c r="CG85" t="str">
        <f>CHOOSE(MATCH(C85,{"North","West","South","East"},0),"Zone 1","Zone 2","Zone 3","Zone 4")</f>
        <v>Zone 1</v>
      </c>
      <c r="CH85" t="str" cm="1">
        <f t="array" ref="CH85">_xlfn.SWITCH(N85,"Card","Card Payment","UPI", "UPI Payment","Cash","Cash Payment","NetBanking", "NetBanking Payment", "Unknown")</f>
        <v>UPI Payment</v>
      </c>
      <c r="CI85" t="str" cm="1">
        <f t="array" ref="CI85">_xlfn.IFS(Sales_Data!J85&lt;=5,"Low",Sales_Data!J85&lt;=10,"Medium",Sales_Data!J85&gt;10,"High")</f>
        <v>Low</v>
      </c>
    </row>
    <row r="86" spans="1:87" x14ac:dyDescent="0.3">
      <c r="A86">
        <v>1086</v>
      </c>
      <c r="B86" s="1">
        <v>45436</v>
      </c>
      <c r="C86" t="s">
        <v>22</v>
      </c>
      <c r="D86" t="s">
        <v>57</v>
      </c>
      <c r="E86" t="s">
        <v>24</v>
      </c>
      <c r="F86" t="s">
        <v>35</v>
      </c>
      <c r="G86" t="s">
        <v>44</v>
      </c>
      <c r="H86">
        <v>8</v>
      </c>
      <c r="I86">
        <v>15846</v>
      </c>
      <c r="J86">
        <v>5</v>
      </c>
      <c r="K86">
        <v>120429.6</v>
      </c>
      <c r="L86">
        <v>94540</v>
      </c>
      <c r="M86">
        <v>25889.599999999999</v>
      </c>
      <c r="N86" t="s">
        <v>27</v>
      </c>
      <c r="O86">
        <v>4</v>
      </c>
      <c r="P86">
        <v>2.7</v>
      </c>
      <c r="Q86">
        <f t="shared" si="15"/>
        <v>136</v>
      </c>
      <c r="R86" t="str">
        <f t="shared" si="16"/>
        <v>Printer</v>
      </c>
      <c r="S86" t="e">
        <f t="shared" si="17"/>
        <v>#N/A</v>
      </c>
      <c r="T86">
        <v>45609</v>
      </c>
      <c r="U86" t="str">
        <v>North</v>
      </c>
      <c r="V86" t="str">
        <v>Sneha</v>
      </c>
      <c r="W86" t="str">
        <v>Customer_29</v>
      </c>
      <c r="X86" t="str">
        <v>Office Supplies</v>
      </c>
      <c r="Y86" t="str">
        <v>Printer</v>
      </c>
      <c r="Z86">
        <v>19</v>
      </c>
      <c r="AA86">
        <v>28176</v>
      </c>
      <c r="AB86">
        <v>10</v>
      </c>
      <c r="AC86">
        <v>481809.6</v>
      </c>
      <c r="AD86">
        <v>270221.40999999997</v>
      </c>
      <c r="AE86">
        <v>211588.19</v>
      </c>
      <c r="AF86" t="str">
        <v>Card</v>
      </c>
      <c r="AG86">
        <v>1</v>
      </c>
      <c r="AH86">
        <v>3.4</v>
      </c>
      <c r="AI86">
        <v>10</v>
      </c>
      <c r="AJ86" t="str">
        <v>Printer</v>
      </c>
      <c r="AK86">
        <v>1183</v>
      </c>
      <c r="AL86">
        <v>45492</v>
      </c>
      <c r="AM86" t="str">
        <v>East</v>
      </c>
      <c r="AN86" t="str">
        <v>Neha</v>
      </c>
      <c r="AO86" t="str">
        <v>Customer_4</v>
      </c>
      <c r="AP86" t="str">
        <v>Furniture</v>
      </c>
      <c r="AQ86" t="str">
        <v>Keyboard</v>
      </c>
      <c r="AR86">
        <v>12</v>
      </c>
      <c r="AS86">
        <v>17851</v>
      </c>
      <c r="AT86">
        <v>0</v>
      </c>
      <c r="AU86">
        <v>214212</v>
      </c>
      <c r="AV86">
        <v>146664.54</v>
      </c>
      <c r="AW86">
        <v>67547.460000000006</v>
      </c>
      <c r="AX86" t="str">
        <v>Card</v>
      </c>
      <c r="AY86">
        <v>6</v>
      </c>
      <c r="AZ86">
        <v>4.2</v>
      </c>
      <c r="BA86">
        <v>84</v>
      </c>
      <c r="BB86" t="str">
        <v>Keyboard</v>
      </c>
      <c r="BC86" s="6">
        <f t="shared" si="18"/>
        <v>2</v>
      </c>
      <c r="BD86" t="str">
        <f t="shared" si="19"/>
        <v/>
      </c>
      <c r="BE86" s="8">
        <f t="shared" si="20"/>
        <v>0.21497704883184862</v>
      </c>
      <c r="BF86" t="str">
        <v>Customer_30</v>
      </c>
      <c r="BG86" t="str">
        <f t="shared" si="21"/>
        <v>South-Printer</v>
      </c>
      <c r="BH86">
        <f t="shared" si="22"/>
        <v>2024</v>
      </c>
      <c r="BI86" t="str">
        <f t="shared" si="23"/>
        <v>May</v>
      </c>
      <c r="BJ86">
        <f t="shared" ca="1" si="14"/>
        <v>549</v>
      </c>
      <c r="BK86" s="8">
        <f t="shared" si="24"/>
        <v>0.21497704883184862</v>
      </c>
      <c r="BL86">
        <f t="shared" si="25"/>
        <v>1561</v>
      </c>
      <c r="BM86">
        <f t="shared" si="26"/>
        <v>3</v>
      </c>
      <c r="BN86">
        <v>1085</v>
      </c>
      <c r="BO86">
        <v>45560</v>
      </c>
      <c r="BP86" t="str">
        <v>North</v>
      </c>
      <c r="BQ86" t="str">
        <v>Aman</v>
      </c>
      <c r="BR86" t="str">
        <v>Customer_3</v>
      </c>
      <c r="BS86" t="str">
        <v>Furniture</v>
      </c>
      <c r="BT86" t="str">
        <v>Laptop</v>
      </c>
      <c r="BU86">
        <v>14</v>
      </c>
      <c r="BV86">
        <v>25079</v>
      </c>
      <c r="BW86">
        <v>0</v>
      </c>
      <c r="BX86">
        <v>351106</v>
      </c>
      <c r="BY86">
        <v>264213.65000000002</v>
      </c>
      <c r="BZ86">
        <v>86892.35</v>
      </c>
      <c r="CA86" t="str">
        <v>UPI</v>
      </c>
      <c r="CB86">
        <v>10</v>
      </c>
      <c r="CC86">
        <v>2.8</v>
      </c>
      <c r="CD86" t="b">
        <f>COUNTIF(Sales_Data!E:E,Sales_Data!E86)&gt;1</f>
        <v>1</v>
      </c>
      <c r="CE86">
        <f>SUM(Sales_Data!$K$2:'Sales_Data'!K86)</f>
        <v>22248540.999999993</v>
      </c>
      <c r="CF86">
        <f t="shared" si="27"/>
        <v>138494.04</v>
      </c>
      <c r="CG86" t="str">
        <f>CHOOSE(MATCH(C86,{"North","West","South","East"},0),"Zone 1","Zone 2","Zone 3","Zone 4")</f>
        <v>Zone 3</v>
      </c>
      <c r="CH86" t="str" cm="1">
        <f t="array" ref="CH86">_xlfn.SWITCH(N86,"Card","Card Payment","UPI", "UPI Payment","Cash","Cash Payment","NetBanking", "NetBanking Payment", "Unknown")</f>
        <v>UPI Payment</v>
      </c>
      <c r="CI86" t="str" cm="1">
        <f t="array" ref="CI86">_xlfn.IFS(Sales_Data!J86&lt;=5,"Low",Sales_Data!J86&lt;=10,"Medium",Sales_Data!J86&gt;10,"High")</f>
        <v>Low</v>
      </c>
    </row>
    <row r="87" spans="1:87" x14ac:dyDescent="0.3">
      <c r="A87">
        <v>1087</v>
      </c>
      <c r="B87" s="1">
        <v>45436</v>
      </c>
      <c r="C87" t="s">
        <v>33</v>
      </c>
      <c r="D87" t="s">
        <v>51</v>
      </c>
      <c r="E87" t="s">
        <v>61</v>
      </c>
      <c r="F87" t="s">
        <v>35</v>
      </c>
      <c r="G87" t="s">
        <v>47</v>
      </c>
      <c r="H87">
        <v>14</v>
      </c>
      <c r="I87">
        <v>38489</v>
      </c>
      <c r="J87">
        <v>20</v>
      </c>
      <c r="K87">
        <v>431076.8</v>
      </c>
      <c r="L87">
        <v>344938.96</v>
      </c>
      <c r="M87">
        <v>86137.84</v>
      </c>
      <c r="N87" t="s">
        <v>27</v>
      </c>
      <c r="O87">
        <v>2</v>
      </c>
      <c r="P87">
        <v>4.0999999999999996</v>
      </c>
      <c r="Q87">
        <f t="shared" si="15"/>
        <v>71</v>
      </c>
      <c r="R87" t="str">
        <f t="shared" si="16"/>
        <v>Monitor</v>
      </c>
      <c r="S87" t="e">
        <f t="shared" si="17"/>
        <v>#N/A</v>
      </c>
      <c r="T87">
        <v>45299</v>
      </c>
      <c r="U87" t="str">
        <v>East</v>
      </c>
      <c r="V87" t="str">
        <v>Priya</v>
      </c>
      <c r="W87" t="str">
        <v>Customer_49</v>
      </c>
      <c r="X87" t="str">
        <v>Electronics</v>
      </c>
      <c r="Y87" t="str">
        <v>Desk</v>
      </c>
      <c r="Z87">
        <v>16</v>
      </c>
      <c r="AA87">
        <v>37376</v>
      </c>
      <c r="AB87">
        <v>5</v>
      </c>
      <c r="AC87">
        <v>568115.19999999995</v>
      </c>
      <c r="AD87">
        <v>441526.9</v>
      </c>
      <c r="AE87">
        <v>126588.3</v>
      </c>
      <c r="AF87" t="str">
        <v>Card</v>
      </c>
      <c r="AG87">
        <v>3</v>
      </c>
      <c r="AH87">
        <v>3.1</v>
      </c>
      <c r="AI87">
        <v>36</v>
      </c>
      <c r="AJ87" t="str">
        <v>Desk</v>
      </c>
      <c r="AK87">
        <v>1126</v>
      </c>
      <c r="AL87">
        <v>45352</v>
      </c>
      <c r="AM87" t="str">
        <v>East</v>
      </c>
      <c r="AN87" t="str">
        <v>Karan</v>
      </c>
      <c r="AO87" t="str">
        <v>Customer_35</v>
      </c>
      <c r="AP87" t="str">
        <v>Office Supplies</v>
      </c>
      <c r="AQ87" t="str">
        <v>Laptop</v>
      </c>
      <c r="AR87">
        <v>19</v>
      </c>
      <c r="AS87">
        <v>14233</v>
      </c>
      <c r="AT87">
        <v>20</v>
      </c>
      <c r="AU87">
        <v>216341.6</v>
      </c>
      <c r="AV87">
        <v>149682.25</v>
      </c>
      <c r="AW87">
        <v>66659.350000000006</v>
      </c>
      <c r="AX87" t="str">
        <v>NetBanking</v>
      </c>
      <c r="AY87">
        <v>1</v>
      </c>
      <c r="AZ87">
        <v>4.5999999999999996</v>
      </c>
      <c r="BA87">
        <v>85</v>
      </c>
      <c r="BB87" t="str">
        <v>Laptop</v>
      </c>
      <c r="BC87" s="6">
        <f t="shared" si="18"/>
        <v>2</v>
      </c>
      <c r="BD87" t="str">
        <f t="shared" si="19"/>
        <v/>
      </c>
      <c r="BE87" s="8">
        <f t="shared" si="20"/>
        <v>0.19982017125486687</v>
      </c>
      <c r="BF87" t="str">
        <v>Customer_30</v>
      </c>
      <c r="BG87" t="str">
        <f t="shared" si="21"/>
        <v>East-Monitor</v>
      </c>
      <c r="BH87">
        <f t="shared" si="22"/>
        <v>2024</v>
      </c>
      <c r="BI87" t="str">
        <f t="shared" si="23"/>
        <v>May</v>
      </c>
      <c r="BJ87">
        <f t="shared" ca="1" si="14"/>
        <v>549</v>
      </c>
      <c r="BK87" s="8">
        <f t="shared" si="24"/>
        <v>0.19982017125486687</v>
      </c>
      <c r="BL87">
        <f t="shared" si="25"/>
        <v>26687</v>
      </c>
      <c r="BM87">
        <f t="shared" si="26"/>
        <v>24</v>
      </c>
      <c r="BN87">
        <v>1086</v>
      </c>
      <c r="BO87">
        <v>45436</v>
      </c>
      <c r="BP87" t="str">
        <v>South</v>
      </c>
      <c r="BQ87" t="str">
        <v>Megha</v>
      </c>
      <c r="BR87" t="str">
        <v>Customer_49</v>
      </c>
      <c r="BS87" t="str">
        <v>Furniture</v>
      </c>
      <c r="BT87" t="str">
        <v>Printer</v>
      </c>
      <c r="BU87">
        <v>8</v>
      </c>
      <c r="BV87">
        <v>15846</v>
      </c>
      <c r="BW87">
        <v>5</v>
      </c>
      <c r="BX87">
        <v>120429.6</v>
      </c>
      <c r="BY87">
        <v>94540</v>
      </c>
      <c r="BZ87">
        <v>25889.599999999999</v>
      </c>
      <c r="CA87" t="str">
        <v>UPI</v>
      </c>
      <c r="CB87">
        <v>4</v>
      </c>
      <c r="CC87">
        <v>2.7</v>
      </c>
      <c r="CD87" t="b">
        <f>COUNTIF(Sales_Data!E:E,Sales_Data!E87)&gt;1</f>
        <v>1</v>
      </c>
      <c r="CE87">
        <f>SUM(Sales_Data!$K$2:'Sales_Data'!K87)</f>
        <v>22679617.799999993</v>
      </c>
      <c r="CF87">
        <f t="shared" si="27"/>
        <v>495738.31999999995</v>
      </c>
      <c r="CG87" t="str">
        <f>CHOOSE(MATCH(C87,{"North","West","South","East"},0),"Zone 1","Zone 2","Zone 3","Zone 4")</f>
        <v>Zone 4</v>
      </c>
      <c r="CH87" t="str" cm="1">
        <f t="array" ref="CH87">_xlfn.SWITCH(N87,"Card","Card Payment","UPI", "UPI Payment","Cash","Cash Payment","NetBanking", "NetBanking Payment", "Unknown")</f>
        <v>UPI Payment</v>
      </c>
      <c r="CI87" t="str" cm="1">
        <f t="array" ref="CI87">_xlfn.IFS(Sales_Data!J87&lt;=5,"Low",Sales_Data!J87&lt;=10,"Medium",Sales_Data!J87&gt;10,"High")</f>
        <v>High</v>
      </c>
    </row>
    <row r="88" spans="1:87" x14ac:dyDescent="0.3">
      <c r="A88">
        <v>1088</v>
      </c>
      <c r="B88" s="1">
        <v>45305</v>
      </c>
      <c r="C88" t="s">
        <v>22</v>
      </c>
      <c r="D88" t="s">
        <v>51</v>
      </c>
      <c r="E88" t="s">
        <v>55</v>
      </c>
      <c r="F88" t="s">
        <v>35</v>
      </c>
      <c r="G88" t="s">
        <v>41</v>
      </c>
      <c r="H88">
        <v>8</v>
      </c>
      <c r="I88">
        <v>4175</v>
      </c>
      <c r="J88">
        <v>10</v>
      </c>
      <c r="K88">
        <v>30060</v>
      </c>
      <c r="L88">
        <v>18851.759999999998</v>
      </c>
      <c r="M88">
        <v>11208.24</v>
      </c>
      <c r="N88" t="s">
        <v>21</v>
      </c>
      <c r="O88">
        <v>6</v>
      </c>
      <c r="P88">
        <v>2.5</v>
      </c>
      <c r="Q88">
        <f t="shared" si="15"/>
        <v>172</v>
      </c>
      <c r="R88" t="str">
        <f t="shared" si="16"/>
        <v>Chair</v>
      </c>
      <c r="S88" t="e">
        <f t="shared" si="17"/>
        <v>#N/A</v>
      </c>
      <c r="T88">
        <v>45577</v>
      </c>
      <c r="U88" t="str">
        <v>South</v>
      </c>
      <c r="V88" t="str">
        <v>Megha</v>
      </c>
      <c r="W88" t="str">
        <v>Customer_27</v>
      </c>
      <c r="X88" t="str">
        <v>Office Supplies</v>
      </c>
      <c r="Y88" t="str">
        <v>Mouse</v>
      </c>
      <c r="Z88">
        <v>12</v>
      </c>
      <c r="AA88">
        <v>47005</v>
      </c>
      <c r="AB88">
        <v>20</v>
      </c>
      <c r="AC88">
        <v>451248</v>
      </c>
      <c r="AD88">
        <v>315069.61</v>
      </c>
      <c r="AE88">
        <v>136178.39000000001</v>
      </c>
      <c r="AF88" t="str">
        <v>Card</v>
      </c>
      <c r="AG88">
        <v>6</v>
      </c>
      <c r="AH88">
        <v>3.9</v>
      </c>
      <c r="AI88">
        <v>32</v>
      </c>
      <c r="AJ88" t="str">
        <v>Mouse</v>
      </c>
      <c r="AK88">
        <v>1097</v>
      </c>
      <c r="AL88">
        <v>45581</v>
      </c>
      <c r="AM88" t="str">
        <v>West</v>
      </c>
      <c r="AN88" t="str">
        <v>Aman</v>
      </c>
      <c r="AO88" t="str">
        <v>Customer_30</v>
      </c>
      <c r="AP88" t="str">
        <v>Electronics</v>
      </c>
      <c r="AQ88" t="str">
        <v>Phone</v>
      </c>
      <c r="AR88">
        <v>9</v>
      </c>
      <c r="AS88">
        <v>46174</v>
      </c>
      <c r="AT88">
        <v>15</v>
      </c>
      <c r="AU88">
        <v>353231.1</v>
      </c>
      <c r="AV88">
        <v>286805.19</v>
      </c>
      <c r="AW88">
        <v>66425.91</v>
      </c>
      <c r="AX88" t="str">
        <v>Cash</v>
      </c>
      <c r="AY88">
        <v>9</v>
      </c>
      <c r="AZ88">
        <v>4.9000000000000004</v>
      </c>
      <c r="BA88">
        <v>86</v>
      </c>
      <c r="BB88" t="str">
        <v>Phone</v>
      </c>
      <c r="BC88" s="6">
        <f t="shared" si="18"/>
        <v>0</v>
      </c>
      <c r="BD88" t="str">
        <f t="shared" si="19"/>
        <v/>
      </c>
      <c r="BE88" s="8">
        <f t="shared" si="20"/>
        <v>0.37286227544910178</v>
      </c>
      <c r="BF88" t="str">
        <v>Customer_30</v>
      </c>
      <c r="BG88" t="str">
        <f t="shared" si="21"/>
        <v>South-Chair</v>
      </c>
      <c r="BH88">
        <f t="shared" si="22"/>
        <v>2024</v>
      </c>
      <c r="BI88" t="str">
        <f t="shared" si="23"/>
        <v>January</v>
      </c>
      <c r="BJ88">
        <f t="shared" ca="1" si="14"/>
        <v>643</v>
      </c>
      <c r="BK88" s="8">
        <f t="shared" si="24"/>
        <v>0.37286227544910178</v>
      </c>
      <c r="BL88">
        <f t="shared" si="25"/>
        <v>4972</v>
      </c>
      <c r="BM88">
        <f t="shared" si="26"/>
        <v>17</v>
      </c>
      <c r="BN88">
        <v>1087</v>
      </c>
      <c r="BO88">
        <v>45436</v>
      </c>
      <c r="BP88" t="str">
        <v>East</v>
      </c>
      <c r="BQ88" t="str">
        <v>Aman</v>
      </c>
      <c r="BR88" t="str">
        <v>Customer_11</v>
      </c>
      <c r="BS88" t="str">
        <v>Furniture</v>
      </c>
      <c r="BT88" t="str">
        <v>Monitor</v>
      </c>
      <c r="BU88">
        <v>14</v>
      </c>
      <c r="BV88">
        <v>38489</v>
      </c>
      <c r="BW88">
        <v>20</v>
      </c>
      <c r="BX88">
        <v>431076.8</v>
      </c>
      <c r="BY88">
        <v>344938.96</v>
      </c>
      <c r="BZ88">
        <v>86137.84</v>
      </c>
      <c r="CA88" t="str">
        <v>UPI</v>
      </c>
      <c r="CB88">
        <v>2</v>
      </c>
      <c r="CC88">
        <v>4.0999999999999996</v>
      </c>
      <c r="CD88" t="b">
        <f>COUNTIF(Sales_Data!E:E,Sales_Data!E88)&gt;1</f>
        <v>1</v>
      </c>
      <c r="CE88">
        <f>SUM(Sales_Data!$K$2:'Sales_Data'!K88)</f>
        <v>22709677.799999993</v>
      </c>
      <c r="CF88">
        <f t="shared" si="27"/>
        <v>34569</v>
      </c>
      <c r="CG88" t="str">
        <f>CHOOSE(MATCH(C88,{"North","West","South","East"},0),"Zone 1","Zone 2","Zone 3","Zone 4")</f>
        <v>Zone 3</v>
      </c>
      <c r="CH88" t="str" cm="1">
        <f t="array" ref="CH88">_xlfn.SWITCH(N88,"Card","Card Payment","UPI", "UPI Payment","Cash","Cash Payment","NetBanking", "NetBanking Payment", "Unknown")</f>
        <v>Card Payment</v>
      </c>
      <c r="CI88" t="str" cm="1">
        <f t="array" ref="CI88">_xlfn.IFS(Sales_Data!J88&lt;=5,"Low",Sales_Data!J88&lt;=10,"Medium",Sales_Data!J88&gt;10,"High")</f>
        <v>Medium</v>
      </c>
    </row>
    <row r="89" spans="1:87" x14ac:dyDescent="0.3">
      <c r="A89">
        <v>1089</v>
      </c>
      <c r="B89" s="1">
        <v>45455</v>
      </c>
      <c r="C89" t="s">
        <v>22</v>
      </c>
      <c r="D89" t="s">
        <v>39</v>
      </c>
      <c r="E89" t="s">
        <v>77</v>
      </c>
      <c r="F89" t="s">
        <v>25</v>
      </c>
      <c r="G89" t="s">
        <v>30</v>
      </c>
      <c r="H89">
        <v>15</v>
      </c>
      <c r="I89">
        <v>20264</v>
      </c>
      <c r="J89">
        <v>5</v>
      </c>
      <c r="K89">
        <v>288762</v>
      </c>
      <c r="L89">
        <v>224577.69</v>
      </c>
      <c r="M89">
        <v>64184.31</v>
      </c>
      <c r="N89" t="s">
        <v>27</v>
      </c>
      <c r="O89">
        <v>7</v>
      </c>
      <c r="P89">
        <v>3.6</v>
      </c>
      <c r="Q89">
        <f t="shared" si="15"/>
        <v>89</v>
      </c>
      <c r="R89" t="str">
        <f t="shared" si="16"/>
        <v>Desk</v>
      </c>
      <c r="S89" t="e">
        <f t="shared" si="17"/>
        <v>#N/A</v>
      </c>
      <c r="T89">
        <v>45293</v>
      </c>
      <c r="U89" t="str">
        <v>North</v>
      </c>
      <c r="V89" t="str">
        <v>Arjun</v>
      </c>
      <c r="W89" t="str">
        <v>Customer_40</v>
      </c>
      <c r="X89" t="str">
        <v>Furniture</v>
      </c>
      <c r="Y89" t="str">
        <v>Laptop</v>
      </c>
      <c r="Z89">
        <v>8</v>
      </c>
      <c r="AA89">
        <v>44578</v>
      </c>
      <c r="AB89">
        <v>5</v>
      </c>
      <c r="AC89">
        <v>338792.8</v>
      </c>
      <c r="AD89">
        <v>213119.97</v>
      </c>
      <c r="AE89">
        <v>125672.83</v>
      </c>
      <c r="AF89" t="str">
        <v>Cash</v>
      </c>
      <c r="AG89">
        <v>2</v>
      </c>
      <c r="AH89">
        <v>3.9</v>
      </c>
      <c r="AI89">
        <v>38</v>
      </c>
      <c r="AJ89" t="str">
        <v>Laptop</v>
      </c>
      <c r="AK89">
        <v>1040</v>
      </c>
      <c r="AL89">
        <v>45787</v>
      </c>
      <c r="AM89" t="str">
        <v>East</v>
      </c>
      <c r="AN89" t="str">
        <v>Arjun</v>
      </c>
      <c r="AO89" t="str">
        <v>Customer_12</v>
      </c>
      <c r="AP89" t="str">
        <v>Office Supplies</v>
      </c>
      <c r="AQ89" t="str">
        <v>Printer</v>
      </c>
      <c r="AR89">
        <v>16</v>
      </c>
      <c r="AS89">
        <v>9791</v>
      </c>
      <c r="AT89">
        <v>5</v>
      </c>
      <c r="AU89">
        <v>148823.20000000001</v>
      </c>
      <c r="AV89">
        <v>84389.31</v>
      </c>
      <c r="AW89">
        <v>64433.89</v>
      </c>
      <c r="AX89" t="str">
        <v>NetBanking</v>
      </c>
      <c r="AY89">
        <v>9</v>
      </c>
      <c r="AZ89">
        <v>4.0999999999999996</v>
      </c>
      <c r="BA89">
        <v>87</v>
      </c>
      <c r="BB89" t="str">
        <v>Printer</v>
      </c>
      <c r="BC89" s="6">
        <f t="shared" si="18"/>
        <v>2</v>
      </c>
      <c r="BD89" t="str">
        <f t="shared" si="19"/>
        <v/>
      </c>
      <c r="BE89" s="8">
        <f t="shared" si="20"/>
        <v>0.2222740873106572</v>
      </c>
      <c r="BF89" t="str">
        <v>Customer_31</v>
      </c>
      <c r="BG89" t="str">
        <f t="shared" si="21"/>
        <v>South-Desk</v>
      </c>
      <c r="BH89">
        <f t="shared" si="22"/>
        <v>2024</v>
      </c>
      <c r="BI89" t="str">
        <f t="shared" si="23"/>
        <v>June</v>
      </c>
      <c r="BJ89">
        <f t="shared" ca="1" si="14"/>
        <v>536</v>
      </c>
      <c r="BK89" s="8">
        <f t="shared" si="24"/>
        <v>0.2222740873106572</v>
      </c>
      <c r="BL89">
        <f t="shared" si="25"/>
        <v>13233</v>
      </c>
      <c r="BM89">
        <f t="shared" si="26"/>
        <v>64</v>
      </c>
      <c r="BN89">
        <v>1088</v>
      </c>
      <c r="BO89">
        <v>45305</v>
      </c>
      <c r="BP89" t="str">
        <v>South</v>
      </c>
      <c r="BQ89" t="str">
        <v>Aman</v>
      </c>
      <c r="BR89" t="str">
        <v>Customer_40</v>
      </c>
      <c r="BS89" t="str">
        <v>Furniture</v>
      </c>
      <c r="BT89" t="str">
        <v>Chair</v>
      </c>
      <c r="BU89">
        <v>8</v>
      </c>
      <c r="BV89">
        <v>4175</v>
      </c>
      <c r="BW89">
        <v>10</v>
      </c>
      <c r="BX89">
        <v>30060</v>
      </c>
      <c r="BY89">
        <v>18851.759999999998</v>
      </c>
      <c r="BZ89">
        <v>11208.24</v>
      </c>
      <c r="CA89" t="str">
        <v>Card</v>
      </c>
      <c r="CB89">
        <v>6</v>
      </c>
      <c r="CC89">
        <v>2.5</v>
      </c>
      <c r="CD89" t="b">
        <f>COUNTIF(Sales_Data!E:E,Sales_Data!E89)&gt;1</f>
        <v>1</v>
      </c>
      <c r="CE89">
        <f>SUM(Sales_Data!$K$2:'Sales_Data'!K89)</f>
        <v>22998439.799999993</v>
      </c>
      <c r="CF89">
        <f t="shared" si="27"/>
        <v>332076.3</v>
      </c>
      <c r="CG89" t="str">
        <f>CHOOSE(MATCH(C89,{"North","West","South","East"},0),"Zone 1","Zone 2","Zone 3","Zone 4")</f>
        <v>Zone 3</v>
      </c>
      <c r="CH89" t="str" cm="1">
        <f t="array" ref="CH89">_xlfn.SWITCH(N89,"Card","Card Payment","UPI", "UPI Payment","Cash","Cash Payment","NetBanking", "NetBanking Payment", "Unknown")</f>
        <v>UPI Payment</v>
      </c>
      <c r="CI89" t="str" cm="1">
        <f t="array" ref="CI89">_xlfn.IFS(Sales_Data!J89&lt;=5,"Low",Sales_Data!J89&lt;=10,"Medium",Sales_Data!J89&gt;10,"High")</f>
        <v>Low</v>
      </c>
    </row>
    <row r="90" spans="1:87" x14ac:dyDescent="0.3">
      <c r="A90">
        <v>1090</v>
      </c>
      <c r="B90" s="1">
        <v>45365</v>
      </c>
      <c r="C90" t="s">
        <v>16</v>
      </c>
      <c r="D90" t="s">
        <v>28</v>
      </c>
      <c r="E90" t="s">
        <v>64</v>
      </c>
      <c r="F90" t="s">
        <v>19</v>
      </c>
      <c r="G90" t="s">
        <v>65</v>
      </c>
      <c r="H90">
        <v>2</v>
      </c>
      <c r="I90">
        <v>38916</v>
      </c>
      <c r="J90">
        <v>15</v>
      </c>
      <c r="K90">
        <v>66157.2</v>
      </c>
      <c r="L90">
        <v>41074.910000000003</v>
      </c>
      <c r="M90">
        <v>25082.29</v>
      </c>
      <c r="N90" t="s">
        <v>27</v>
      </c>
      <c r="O90">
        <v>3</v>
      </c>
      <c r="P90">
        <v>3.1</v>
      </c>
      <c r="Q90">
        <f t="shared" si="15"/>
        <v>137</v>
      </c>
      <c r="R90" t="str">
        <f t="shared" si="16"/>
        <v>Mouse</v>
      </c>
      <c r="S90" t="e">
        <f t="shared" si="17"/>
        <v>#N/A</v>
      </c>
      <c r="AK90">
        <v>1195</v>
      </c>
      <c r="AL90">
        <v>45590</v>
      </c>
      <c r="AM90" t="str">
        <v>East</v>
      </c>
      <c r="AN90" t="str">
        <v>Megha</v>
      </c>
      <c r="AO90" t="str">
        <v>Customer_34</v>
      </c>
      <c r="AP90" t="str">
        <v>Electronics</v>
      </c>
      <c r="AQ90" t="str">
        <v>Monitor</v>
      </c>
      <c r="AR90">
        <v>6</v>
      </c>
      <c r="AS90">
        <v>45030</v>
      </c>
      <c r="AT90">
        <v>10</v>
      </c>
      <c r="AU90">
        <v>243162</v>
      </c>
      <c r="AV90">
        <v>178779.53</v>
      </c>
      <c r="AW90">
        <v>64382.47</v>
      </c>
      <c r="AX90" t="str">
        <v>Cash</v>
      </c>
      <c r="AY90">
        <v>1</v>
      </c>
      <c r="AZ90">
        <v>4.7</v>
      </c>
      <c r="BA90">
        <v>88</v>
      </c>
      <c r="BB90" t="str">
        <v>Monitor</v>
      </c>
      <c r="BC90" s="6">
        <f t="shared" si="18"/>
        <v>1</v>
      </c>
      <c r="BD90" t="str">
        <f t="shared" si="19"/>
        <v/>
      </c>
      <c r="BE90" s="8">
        <f t="shared" si="20"/>
        <v>0.37913167425465411</v>
      </c>
      <c r="BF90" t="str">
        <v>Customer_31</v>
      </c>
      <c r="BG90" t="str">
        <f t="shared" si="21"/>
        <v>West-Mouse</v>
      </c>
      <c r="BH90">
        <f t="shared" si="22"/>
        <v>2024</v>
      </c>
      <c r="BI90" t="str">
        <f t="shared" si="23"/>
        <v>March</v>
      </c>
      <c r="BJ90">
        <f t="shared" ca="1" si="14"/>
        <v>600</v>
      </c>
      <c r="BK90" s="8">
        <f t="shared" si="24"/>
        <v>0.37913167425465411</v>
      </c>
      <c r="BL90">
        <f t="shared" si="25"/>
        <v>41775</v>
      </c>
      <c r="BM90">
        <f t="shared" si="26"/>
        <v>28</v>
      </c>
      <c r="BN90">
        <v>1089</v>
      </c>
      <c r="BO90">
        <v>45455</v>
      </c>
      <c r="BP90" t="str">
        <v>South</v>
      </c>
      <c r="BQ90" t="str">
        <v>Sneha</v>
      </c>
      <c r="BR90" t="str">
        <v>Customer_19</v>
      </c>
      <c r="BS90" t="str">
        <v>Office Supplies</v>
      </c>
      <c r="BT90" t="str">
        <v>Desk</v>
      </c>
      <c r="BU90">
        <v>15</v>
      </c>
      <c r="BV90">
        <v>20264</v>
      </c>
      <c r="BW90">
        <v>5</v>
      </c>
      <c r="BX90">
        <v>288762</v>
      </c>
      <c r="BY90">
        <v>224577.69</v>
      </c>
      <c r="BZ90">
        <v>64184.31</v>
      </c>
      <c r="CA90" t="str">
        <v>UPI</v>
      </c>
      <c r="CB90">
        <v>7</v>
      </c>
      <c r="CC90">
        <v>3.6</v>
      </c>
      <c r="CD90" t="b">
        <f>COUNTIF(Sales_Data!E:E,Sales_Data!E90)&gt;1</f>
        <v>1</v>
      </c>
      <c r="CE90">
        <f>SUM(Sales_Data!$K$2:'Sales_Data'!K90)</f>
        <v>23064596.999999993</v>
      </c>
      <c r="CF90">
        <f t="shared" si="27"/>
        <v>76080.779999999984</v>
      </c>
      <c r="CG90" t="str">
        <f>CHOOSE(MATCH(C90,{"North","West","South","East"},0),"Zone 1","Zone 2","Zone 3","Zone 4")</f>
        <v>Zone 2</v>
      </c>
      <c r="CH90" t="str" cm="1">
        <f t="array" ref="CH90">_xlfn.SWITCH(N90,"Card","Card Payment","UPI", "UPI Payment","Cash","Cash Payment","NetBanking", "NetBanking Payment", "Unknown")</f>
        <v>UPI Payment</v>
      </c>
      <c r="CI90" t="str" cm="1">
        <f t="array" ref="CI90">_xlfn.IFS(Sales_Data!J90&lt;=5,"Low",Sales_Data!J90&lt;=10,"Medium",Sales_Data!J90&gt;10,"High")</f>
        <v>High</v>
      </c>
    </row>
    <row r="91" spans="1:87" x14ac:dyDescent="0.3">
      <c r="A91">
        <v>1091</v>
      </c>
      <c r="B91" s="1">
        <v>45342</v>
      </c>
      <c r="C91" t="s">
        <v>16</v>
      </c>
      <c r="D91" t="s">
        <v>28</v>
      </c>
      <c r="E91" t="s">
        <v>66</v>
      </c>
      <c r="F91" t="s">
        <v>19</v>
      </c>
      <c r="G91" t="s">
        <v>41</v>
      </c>
      <c r="H91">
        <v>7</v>
      </c>
      <c r="I91">
        <v>48661</v>
      </c>
      <c r="J91">
        <v>20</v>
      </c>
      <c r="K91">
        <v>272501.59999999998</v>
      </c>
      <c r="L91">
        <v>214275.98</v>
      </c>
      <c r="M91">
        <v>58225.62</v>
      </c>
      <c r="N91" t="s">
        <v>21</v>
      </c>
      <c r="O91">
        <v>3</v>
      </c>
      <c r="P91">
        <v>2.6</v>
      </c>
      <c r="Q91">
        <f t="shared" si="15"/>
        <v>96</v>
      </c>
      <c r="R91" t="str">
        <f t="shared" si="16"/>
        <v>Chair</v>
      </c>
      <c r="S91" t="e">
        <f t="shared" si="17"/>
        <v>#N/A</v>
      </c>
      <c r="AK91">
        <v>1089</v>
      </c>
      <c r="AL91">
        <v>45455</v>
      </c>
      <c r="AM91" t="str">
        <v>South</v>
      </c>
      <c r="AN91" t="str">
        <v>Sneha</v>
      </c>
      <c r="AO91" t="str">
        <v>Customer_19</v>
      </c>
      <c r="AP91" t="str">
        <v>Office Supplies</v>
      </c>
      <c r="AQ91" t="str">
        <v>Desk</v>
      </c>
      <c r="AR91">
        <v>15</v>
      </c>
      <c r="AS91">
        <v>20264</v>
      </c>
      <c r="AT91">
        <v>5</v>
      </c>
      <c r="AU91">
        <v>288762</v>
      </c>
      <c r="AV91">
        <v>224577.69</v>
      </c>
      <c r="AW91">
        <v>64184.31</v>
      </c>
      <c r="AX91" t="str">
        <v>UPI</v>
      </c>
      <c r="AY91">
        <v>7</v>
      </c>
      <c r="AZ91">
        <v>3.6</v>
      </c>
      <c r="BA91">
        <v>89</v>
      </c>
      <c r="BB91" t="str">
        <v>Desk</v>
      </c>
      <c r="BC91" s="6">
        <f t="shared" si="18"/>
        <v>1</v>
      </c>
      <c r="BD91" t="str">
        <f t="shared" si="19"/>
        <v/>
      </c>
      <c r="BE91" s="8">
        <f t="shared" si="20"/>
        <v>0.21367074541947648</v>
      </c>
      <c r="BF91" t="str">
        <v>Customer_32</v>
      </c>
      <c r="BG91" t="str">
        <f t="shared" si="21"/>
        <v>West-Chair</v>
      </c>
      <c r="BH91">
        <f t="shared" si="22"/>
        <v>2024</v>
      </c>
      <c r="BI91" t="str">
        <f t="shared" si="23"/>
        <v>February</v>
      </c>
      <c r="BJ91">
        <f t="shared" ca="1" si="14"/>
        <v>617</v>
      </c>
      <c r="BK91" s="8">
        <f t="shared" si="24"/>
        <v>0.21367074541947648</v>
      </c>
      <c r="BL91">
        <f t="shared" si="25"/>
        <v>4972</v>
      </c>
      <c r="BM91">
        <f t="shared" si="26"/>
        <v>33</v>
      </c>
      <c r="BN91">
        <v>1090</v>
      </c>
      <c r="BO91">
        <v>45365</v>
      </c>
      <c r="BP91" t="str">
        <v>West</v>
      </c>
      <c r="BQ91" t="str">
        <v>Arjun</v>
      </c>
      <c r="BR91" t="str">
        <v>Customer_26</v>
      </c>
      <c r="BS91" t="str">
        <v>Electronics</v>
      </c>
      <c r="BT91" t="str">
        <v>Mouse</v>
      </c>
      <c r="BU91">
        <v>2</v>
      </c>
      <c r="BV91">
        <v>38916</v>
      </c>
      <c r="BW91">
        <v>15</v>
      </c>
      <c r="BX91">
        <v>66157.2</v>
      </c>
      <c r="BY91">
        <v>41074.910000000003</v>
      </c>
      <c r="BZ91">
        <v>25082.29</v>
      </c>
      <c r="CA91" t="str">
        <v>UPI</v>
      </c>
      <c r="CB91">
        <v>3</v>
      </c>
      <c r="CC91">
        <v>3.1</v>
      </c>
      <c r="CD91" t="b">
        <f>COUNTIF(Sales_Data!E:E,Sales_Data!E91)&gt;1</f>
        <v>1</v>
      </c>
      <c r="CE91">
        <f>SUM(Sales_Data!$K$2:'Sales_Data'!K91)</f>
        <v>23337098.599999994</v>
      </c>
      <c r="CF91">
        <f t="shared" si="27"/>
        <v>313376.83999999997</v>
      </c>
      <c r="CG91" t="str">
        <f>CHOOSE(MATCH(C91,{"North","West","South","East"},0),"Zone 1","Zone 2","Zone 3","Zone 4")</f>
        <v>Zone 2</v>
      </c>
      <c r="CH91" t="str" cm="1">
        <f t="array" ref="CH91">_xlfn.SWITCH(N91,"Card","Card Payment","UPI", "UPI Payment","Cash","Cash Payment","NetBanking", "NetBanking Payment", "Unknown")</f>
        <v>Card Payment</v>
      </c>
      <c r="CI91" t="str" cm="1">
        <f t="array" ref="CI91">_xlfn.IFS(Sales_Data!J91&lt;=5,"Low",Sales_Data!J91&lt;=10,"Medium",Sales_Data!J91&gt;10,"High")</f>
        <v>High</v>
      </c>
    </row>
    <row r="92" spans="1:87" x14ac:dyDescent="0.3">
      <c r="A92">
        <v>1092</v>
      </c>
      <c r="B92" s="1">
        <v>45593</v>
      </c>
      <c r="C92" t="s">
        <v>50</v>
      </c>
      <c r="D92" t="s">
        <v>31</v>
      </c>
      <c r="E92" t="s">
        <v>84</v>
      </c>
      <c r="F92" t="s">
        <v>35</v>
      </c>
      <c r="G92" t="s">
        <v>30</v>
      </c>
      <c r="H92">
        <v>3</v>
      </c>
      <c r="I92">
        <v>19438</v>
      </c>
      <c r="J92">
        <v>0</v>
      </c>
      <c r="K92">
        <v>58314</v>
      </c>
      <c r="L92">
        <v>35974.639999999999</v>
      </c>
      <c r="M92">
        <v>22339.360000000001</v>
      </c>
      <c r="N92" t="s">
        <v>21</v>
      </c>
      <c r="O92">
        <v>3</v>
      </c>
      <c r="P92">
        <v>4.5999999999999996</v>
      </c>
      <c r="Q92">
        <f t="shared" si="15"/>
        <v>144</v>
      </c>
      <c r="R92" t="str">
        <f t="shared" si="16"/>
        <v>Desk</v>
      </c>
      <c r="S92" t="e">
        <f t="shared" si="17"/>
        <v>#N/A</v>
      </c>
      <c r="AK92">
        <v>1075</v>
      </c>
      <c r="AL92">
        <v>45699</v>
      </c>
      <c r="AM92" t="str">
        <v>North</v>
      </c>
      <c r="AN92" t="str">
        <v>Megha</v>
      </c>
      <c r="AO92" t="str">
        <v>Customer_40</v>
      </c>
      <c r="AP92" t="str">
        <v>Office Supplies</v>
      </c>
      <c r="AQ92" t="str">
        <v>Laptop</v>
      </c>
      <c r="AR92">
        <v>10</v>
      </c>
      <c r="AS92">
        <v>33386</v>
      </c>
      <c r="AT92">
        <v>20</v>
      </c>
      <c r="AU92">
        <v>267088</v>
      </c>
      <c r="AV92">
        <v>202959.66</v>
      </c>
      <c r="AW92">
        <v>64128.34</v>
      </c>
      <c r="AX92" t="str">
        <v>UPI</v>
      </c>
      <c r="AY92">
        <v>2</v>
      </c>
      <c r="AZ92">
        <v>2.8</v>
      </c>
      <c r="BA92">
        <v>90</v>
      </c>
      <c r="BB92" t="str">
        <v>Laptop</v>
      </c>
      <c r="BC92" s="6">
        <f t="shared" si="18"/>
        <v>3</v>
      </c>
      <c r="BD92" t="str">
        <f t="shared" si="19"/>
        <v/>
      </c>
      <c r="BE92" s="8">
        <f t="shared" si="20"/>
        <v>0.38308742326028056</v>
      </c>
      <c r="BF92" t="str">
        <v>Customer_32</v>
      </c>
      <c r="BG92" t="str">
        <f t="shared" si="21"/>
        <v>North-Desk</v>
      </c>
      <c r="BH92">
        <f t="shared" si="22"/>
        <v>2024</v>
      </c>
      <c r="BI92" t="str">
        <f t="shared" si="23"/>
        <v>October</v>
      </c>
      <c r="BJ92">
        <f t="shared" ca="1" si="14"/>
        <v>438</v>
      </c>
      <c r="BK92" s="8">
        <f t="shared" si="24"/>
        <v>0.38308742326028056</v>
      </c>
      <c r="BL92">
        <f t="shared" si="25"/>
        <v>13233</v>
      </c>
      <c r="BM92">
        <f t="shared" si="26"/>
        <v>92</v>
      </c>
      <c r="BN92">
        <v>1091</v>
      </c>
      <c r="BO92">
        <v>45342</v>
      </c>
      <c r="BP92" t="str">
        <v>West</v>
      </c>
      <c r="BQ92" t="str">
        <v>Arjun</v>
      </c>
      <c r="BR92" t="str">
        <v>Customer_15</v>
      </c>
      <c r="BS92" t="str">
        <v>Electronics</v>
      </c>
      <c r="BT92" t="str">
        <v>Chair</v>
      </c>
      <c r="BU92">
        <v>7</v>
      </c>
      <c r="BV92">
        <v>48661</v>
      </c>
      <c r="BW92">
        <v>20</v>
      </c>
      <c r="BX92">
        <v>272501.59999999998</v>
      </c>
      <c r="BY92">
        <v>214275.98</v>
      </c>
      <c r="BZ92">
        <v>58225.62</v>
      </c>
      <c r="CA92" t="str">
        <v>Card</v>
      </c>
      <c r="CB92">
        <v>3</v>
      </c>
      <c r="CC92">
        <v>2.6</v>
      </c>
      <c r="CD92" t="b">
        <f>COUNTIF(Sales_Data!E:E,Sales_Data!E92)&gt;1</f>
        <v>1</v>
      </c>
      <c r="CE92">
        <f>SUM(Sales_Data!$K$2:'Sales_Data'!K92)</f>
        <v>23395412.599999994</v>
      </c>
      <c r="CF92">
        <f t="shared" si="27"/>
        <v>67061.099999999991</v>
      </c>
      <c r="CG92" t="str">
        <f>CHOOSE(MATCH(C92,{"North","West","South","East"},0),"Zone 1","Zone 2","Zone 3","Zone 4")</f>
        <v>Zone 1</v>
      </c>
      <c r="CH92" t="str" cm="1">
        <f t="array" ref="CH92">_xlfn.SWITCH(N92,"Card","Card Payment","UPI", "UPI Payment","Cash","Cash Payment","NetBanking", "NetBanking Payment", "Unknown")</f>
        <v>Card Payment</v>
      </c>
      <c r="CI92" t="str" cm="1">
        <f t="array" ref="CI92">_xlfn.IFS(Sales_Data!J92&lt;=5,"Low",Sales_Data!J92&lt;=10,"Medium",Sales_Data!J92&gt;10,"High")</f>
        <v>Low</v>
      </c>
    </row>
    <row r="93" spans="1:87" x14ac:dyDescent="0.3">
      <c r="A93">
        <v>1093</v>
      </c>
      <c r="B93" s="1">
        <v>45480</v>
      </c>
      <c r="C93" t="s">
        <v>50</v>
      </c>
      <c r="D93" t="s">
        <v>51</v>
      </c>
      <c r="E93" t="s">
        <v>58</v>
      </c>
      <c r="F93" t="s">
        <v>35</v>
      </c>
      <c r="G93" t="s">
        <v>30</v>
      </c>
      <c r="H93">
        <v>19</v>
      </c>
      <c r="I93">
        <v>16452</v>
      </c>
      <c r="J93">
        <v>20</v>
      </c>
      <c r="K93">
        <v>250070.39999999999</v>
      </c>
      <c r="L93">
        <v>209692.45</v>
      </c>
      <c r="M93">
        <v>40377.949999999997</v>
      </c>
      <c r="N93" t="s">
        <v>48</v>
      </c>
      <c r="O93">
        <v>1</v>
      </c>
      <c r="P93">
        <v>3.2</v>
      </c>
      <c r="Q93">
        <f t="shared" si="15"/>
        <v>122</v>
      </c>
      <c r="R93" t="str">
        <f t="shared" si="16"/>
        <v>Desk</v>
      </c>
      <c r="S93" t="e">
        <f t="shared" si="17"/>
        <v>#N/A</v>
      </c>
      <c r="AK93">
        <v>1190</v>
      </c>
      <c r="AL93">
        <v>45582</v>
      </c>
      <c r="AM93" t="str">
        <v>South</v>
      </c>
      <c r="AN93" t="str">
        <v>Sneha</v>
      </c>
      <c r="AO93" t="str">
        <v>Customer_11</v>
      </c>
      <c r="AP93" t="str">
        <v>Office Supplies</v>
      </c>
      <c r="AQ93" t="str">
        <v>Phone</v>
      </c>
      <c r="AR93">
        <v>6</v>
      </c>
      <c r="AS93">
        <v>38939</v>
      </c>
      <c r="AT93">
        <v>15</v>
      </c>
      <c r="AU93">
        <v>198588.9</v>
      </c>
      <c r="AV93">
        <v>135305.46</v>
      </c>
      <c r="AW93">
        <v>63283.44</v>
      </c>
      <c r="AX93" t="str">
        <v>UPI</v>
      </c>
      <c r="AY93">
        <v>6</v>
      </c>
      <c r="AZ93">
        <v>3.2</v>
      </c>
      <c r="BA93">
        <v>91</v>
      </c>
      <c r="BB93" t="str">
        <v>Phone</v>
      </c>
      <c r="BC93" s="6">
        <f t="shared" si="18"/>
        <v>2</v>
      </c>
      <c r="BD93" t="str">
        <f t="shared" si="19"/>
        <v/>
      </c>
      <c r="BE93" s="8">
        <f t="shared" si="20"/>
        <v>0.16146633108116754</v>
      </c>
      <c r="BF93" t="str">
        <v>Customer_32</v>
      </c>
      <c r="BG93" t="str">
        <f t="shared" si="21"/>
        <v>North-Desk</v>
      </c>
      <c r="BH93">
        <f t="shared" si="22"/>
        <v>2024</v>
      </c>
      <c r="BI93" t="str">
        <f t="shared" si="23"/>
        <v>July</v>
      </c>
      <c r="BJ93">
        <f t="shared" ca="1" si="14"/>
        <v>518</v>
      </c>
      <c r="BK93" s="8">
        <f t="shared" si="24"/>
        <v>0.16146633108116754</v>
      </c>
      <c r="BL93">
        <f t="shared" si="25"/>
        <v>13233</v>
      </c>
      <c r="BM93">
        <f t="shared" si="26"/>
        <v>19</v>
      </c>
      <c r="BN93">
        <v>1092</v>
      </c>
      <c r="BO93">
        <v>45593</v>
      </c>
      <c r="BP93" t="str">
        <v>North</v>
      </c>
      <c r="BQ93" t="str">
        <v>Neha</v>
      </c>
      <c r="BR93" t="str">
        <v>Customer_16</v>
      </c>
      <c r="BS93" t="str">
        <v>Furniture</v>
      </c>
      <c r="BT93" t="str">
        <v>Desk</v>
      </c>
      <c r="BU93">
        <v>3</v>
      </c>
      <c r="BV93">
        <v>19438</v>
      </c>
      <c r="BW93">
        <v>0</v>
      </c>
      <c r="BX93">
        <v>58314</v>
      </c>
      <c r="BY93">
        <v>35974.639999999999</v>
      </c>
      <c r="BZ93">
        <v>22339.360000000001</v>
      </c>
      <c r="CA93" t="str">
        <v>Card</v>
      </c>
      <c r="CB93">
        <v>3</v>
      </c>
      <c r="CC93">
        <v>4.5999999999999996</v>
      </c>
      <c r="CD93" t="b">
        <f>COUNTIF(Sales_Data!E:E,Sales_Data!E93)&gt;1</f>
        <v>1</v>
      </c>
      <c r="CE93">
        <f>SUM(Sales_Data!$K$2:'Sales_Data'!K93)</f>
        <v>23645482.999999993</v>
      </c>
      <c r="CF93">
        <f t="shared" si="27"/>
        <v>287580.95999999996</v>
      </c>
      <c r="CG93" t="str">
        <f>CHOOSE(MATCH(C93,{"North","West","South","East"},0),"Zone 1","Zone 2","Zone 3","Zone 4")</f>
        <v>Zone 1</v>
      </c>
      <c r="CH93" t="str" cm="1">
        <f t="array" ref="CH93">_xlfn.SWITCH(N93,"Card","Card Payment","UPI", "UPI Payment","Cash","Cash Payment","NetBanking", "NetBanking Payment", "Unknown")</f>
        <v>NetBanking Payment</v>
      </c>
      <c r="CI93" t="str" cm="1">
        <f t="array" ref="CI93">_xlfn.IFS(Sales_Data!J93&lt;=5,"Low",Sales_Data!J93&lt;=10,"Medium",Sales_Data!J93&gt;10,"High")</f>
        <v>High</v>
      </c>
    </row>
    <row r="94" spans="1:87" x14ac:dyDescent="0.3">
      <c r="A94">
        <v>1094</v>
      </c>
      <c r="B94" s="1">
        <v>45517</v>
      </c>
      <c r="C94" t="s">
        <v>50</v>
      </c>
      <c r="D94" t="s">
        <v>28</v>
      </c>
      <c r="E94" t="s">
        <v>85</v>
      </c>
      <c r="F94" t="s">
        <v>19</v>
      </c>
      <c r="G94" t="s">
        <v>26</v>
      </c>
      <c r="H94">
        <v>13</v>
      </c>
      <c r="I94">
        <v>22612</v>
      </c>
      <c r="J94">
        <v>5</v>
      </c>
      <c r="K94">
        <v>279258.2</v>
      </c>
      <c r="L94">
        <v>168584.77</v>
      </c>
      <c r="M94">
        <v>110673.43</v>
      </c>
      <c r="N94" t="s">
        <v>48</v>
      </c>
      <c r="O94">
        <v>6</v>
      </c>
      <c r="P94">
        <v>2.8</v>
      </c>
      <c r="Q94">
        <f t="shared" si="15"/>
        <v>49</v>
      </c>
      <c r="R94" t="str">
        <f t="shared" si="16"/>
        <v>Keyboard</v>
      </c>
      <c r="S94" t="e">
        <f t="shared" si="17"/>
        <v>#N/A</v>
      </c>
      <c r="AK94">
        <v>1133</v>
      </c>
      <c r="AL94">
        <v>45431</v>
      </c>
      <c r="AM94" t="str">
        <v>West</v>
      </c>
      <c r="AN94" t="str">
        <v>Rohan</v>
      </c>
      <c r="AO94" t="str">
        <v>Customer_30</v>
      </c>
      <c r="AP94" t="str">
        <v>Furniture</v>
      </c>
      <c r="AQ94" t="str">
        <v>Mouse</v>
      </c>
      <c r="AR94">
        <v>16</v>
      </c>
      <c r="AS94">
        <v>13036</v>
      </c>
      <c r="AT94">
        <v>10</v>
      </c>
      <c r="AU94">
        <v>187718.39999999999</v>
      </c>
      <c r="AV94">
        <v>125240.8</v>
      </c>
      <c r="AW94">
        <v>62477.599999999999</v>
      </c>
      <c r="AX94" t="str">
        <v>Card</v>
      </c>
      <c r="AY94">
        <v>8</v>
      </c>
      <c r="AZ94">
        <v>4.8</v>
      </c>
      <c r="BA94">
        <v>92</v>
      </c>
      <c r="BB94" t="str">
        <v>Mouse</v>
      </c>
      <c r="BC94" s="6">
        <f t="shared" si="18"/>
        <v>3</v>
      </c>
      <c r="BD94" t="str">
        <f t="shared" si="19"/>
        <v>Bonus!</v>
      </c>
      <c r="BE94" s="8">
        <f t="shared" si="20"/>
        <v>0.39631219423458286</v>
      </c>
      <c r="BF94" t="str">
        <v>Customer_32</v>
      </c>
      <c r="BG94" t="str">
        <f t="shared" si="21"/>
        <v>North-Keyboard</v>
      </c>
      <c r="BH94">
        <f t="shared" si="22"/>
        <v>2024</v>
      </c>
      <c r="BI94" t="str">
        <f t="shared" si="23"/>
        <v>August</v>
      </c>
      <c r="BJ94">
        <f t="shared" ca="1" si="14"/>
        <v>492</v>
      </c>
      <c r="BK94" s="8">
        <f t="shared" si="24"/>
        <v>0.39631219423458286</v>
      </c>
      <c r="BL94">
        <f t="shared" si="25"/>
        <v>23829</v>
      </c>
      <c r="BM94">
        <f t="shared" si="26"/>
        <v>94</v>
      </c>
      <c r="BN94">
        <v>1093</v>
      </c>
      <c r="BO94">
        <v>45480</v>
      </c>
      <c r="BP94" t="str">
        <v>North</v>
      </c>
      <c r="BQ94" t="str">
        <v>Aman</v>
      </c>
      <c r="BR94" t="str">
        <v>Customer_42</v>
      </c>
      <c r="BS94" t="str">
        <v>Furniture</v>
      </c>
      <c r="BT94" t="str">
        <v>Desk</v>
      </c>
      <c r="BU94">
        <v>19</v>
      </c>
      <c r="BV94">
        <v>16452</v>
      </c>
      <c r="BW94">
        <v>20</v>
      </c>
      <c r="BX94">
        <v>250070.39999999999</v>
      </c>
      <c r="BY94">
        <v>209692.45</v>
      </c>
      <c r="BZ94">
        <v>40377.949999999997</v>
      </c>
      <c r="CA94" t="str">
        <v>NetBanking</v>
      </c>
      <c r="CB94">
        <v>1</v>
      </c>
      <c r="CC94">
        <v>3.2</v>
      </c>
      <c r="CD94" t="b">
        <f>COUNTIF(Sales_Data!E:E,Sales_Data!E94)&gt;1</f>
        <v>0</v>
      </c>
      <c r="CE94">
        <f>SUM(Sales_Data!$K$2:'Sales_Data'!K94)</f>
        <v>23924741.199999992</v>
      </c>
      <c r="CF94">
        <f t="shared" si="27"/>
        <v>321146.93</v>
      </c>
      <c r="CG94" t="str">
        <f>CHOOSE(MATCH(C94,{"North","West","South","East"},0),"Zone 1","Zone 2","Zone 3","Zone 4")</f>
        <v>Zone 1</v>
      </c>
      <c r="CH94" t="str" cm="1">
        <f t="array" ref="CH94">_xlfn.SWITCH(N94,"Card","Card Payment","UPI", "UPI Payment","Cash","Cash Payment","NetBanking", "NetBanking Payment", "Unknown")</f>
        <v>NetBanking Payment</v>
      </c>
      <c r="CI94" t="str" cm="1">
        <f t="array" ref="CI94">_xlfn.IFS(Sales_Data!J94&lt;=5,"Low",Sales_Data!J94&lt;=10,"Medium",Sales_Data!J94&gt;10,"High")</f>
        <v>Low</v>
      </c>
    </row>
    <row r="95" spans="1:87" x14ac:dyDescent="0.3">
      <c r="A95">
        <v>1095</v>
      </c>
      <c r="B95" s="1">
        <v>45617</v>
      </c>
      <c r="C95" t="s">
        <v>33</v>
      </c>
      <c r="D95" t="s">
        <v>31</v>
      </c>
      <c r="E95" t="s">
        <v>63</v>
      </c>
      <c r="F95" t="s">
        <v>25</v>
      </c>
      <c r="G95" t="s">
        <v>26</v>
      </c>
      <c r="H95">
        <v>13</v>
      </c>
      <c r="I95">
        <v>33311</v>
      </c>
      <c r="J95">
        <v>20</v>
      </c>
      <c r="K95">
        <v>346434.4</v>
      </c>
      <c r="L95">
        <v>238485.76000000001</v>
      </c>
      <c r="M95">
        <v>107948.64</v>
      </c>
      <c r="N95" t="s">
        <v>27</v>
      </c>
      <c r="O95">
        <v>1</v>
      </c>
      <c r="P95">
        <v>4.9000000000000004</v>
      </c>
      <c r="Q95">
        <f t="shared" si="15"/>
        <v>52</v>
      </c>
      <c r="R95" t="str">
        <f t="shared" si="16"/>
        <v>Keyboard</v>
      </c>
      <c r="S95" t="e">
        <f t="shared" si="17"/>
        <v>#N/A</v>
      </c>
      <c r="AK95">
        <v>1171</v>
      </c>
      <c r="AL95">
        <v>45314</v>
      </c>
      <c r="AM95" t="str">
        <v>East</v>
      </c>
      <c r="AN95" t="str">
        <v>Priya</v>
      </c>
      <c r="AO95" t="str">
        <v>Customer_29</v>
      </c>
      <c r="AP95" t="str">
        <v>Electronics</v>
      </c>
      <c r="AQ95" t="str">
        <v>Printer</v>
      </c>
      <c r="AR95">
        <v>9</v>
      </c>
      <c r="AS95">
        <v>16370</v>
      </c>
      <c r="AT95">
        <v>5</v>
      </c>
      <c r="AU95">
        <v>139963.5</v>
      </c>
      <c r="AV95">
        <v>78551.740000000005</v>
      </c>
      <c r="AW95">
        <v>61411.76</v>
      </c>
      <c r="AX95" t="str">
        <v>Card</v>
      </c>
      <c r="AY95">
        <v>3</v>
      </c>
      <c r="AZ95">
        <v>3.2</v>
      </c>
      <c r="BA95">
        <v>93</v>
      </c>
      <c r="BB95" t="str">
        <v>Printer</v>
      </c>
      <c r="BC95" s="6">
        <f t="shared" si="18"/>
        <v>4</v>
      </c>
      <c r="BD95" t="str">
        <f t="shared" si="19"/>
        <v>Bonus!</v>
      </c>
      <c r="BE95" s="8">
        <f t="shared" si="20"/>
        <v>0.31159907907528811</v>
      </c>
      <c r="BF95" t="str">
        <v>Customer_32</v>
      </c>
      <c r="BG95" t="str">
        <f t="shared" si="21"/>
        <v>East-Keyboard</v>
      </c>
      <c r="BH95">
        <f t="shared" si="22"/>
        <v>2024</v>
      </c>
      <c r="BI95" t="str">
        <f t="shared" si="23"/>
        <v>November</v>
      </c>
      <c r="BJ95">
        <f t="shared" ca="1" si="14"/>
        <v>420</v>
      </c>
      <c r="BK95" s="8">
        <f t="shared" si="24"/>
        <v>0.31159907907528811</v>
      </c>
      <c r="BL95">
        <f t="shared" si="25"/>
        <v>23829</v>
      </c>
      <c r="BM95">
        <f t="shared" si="26"/>
        <v>27</v>
      </c>
      <c r="BN95">
        <v>1094</v>
      </c>
      <c r="BO95">
        <v>45517</v>
      </c>
      <c r="BP95" t="str">
        <v>North</v>
      </c>
      <c r="BQ95" t="str">
        <v>Arjun</v>
      </c>
      <c r="BR95" t="str">
        <v>Customer_17</v>
      </c>
      <c r="BS95" t="str">
        <v>Electronics</v>
      </c>
      <c r="BT95" t="str">
        <v>Keyboard</v>
      </c>
      <c r="BU95">
        <v>13</v>
      </c>
      <c r="BV95">
        <v>22612</v>
      </c>
      <c r="BW95">
        <v>5</v>
      </c>
      <c r="BX95">
        <v>279258.2</v>
      </c>
      <c r="BY95">
        <v>168584.77</v>
      </c>
      <c r="BZ95">
        <v>110673.43</v>
      </c>
      <c r="CA95" t="str">
        <v>NetBanking</v>
      </c>
      <c r="CB95">
        <v>6</v>
      </c>
      <c r="CC95">
        <v>2.8</v>
      </c>
      <c r="CD95" t="b">
        <f>COUNTIF(Sales_Data!E:E,Sales_Data!E95)&gt;1</f>
        <v>1</v>
      </c>
      <c r="CE95">
        <f>SUM(Sales_Data!$K$2:'Sales_Data'!K95)</f>
        <v>24271175.59999999</v>
      </c>
      <c r="CF95">
        <f t="shared" si="27"/>
        <v>398399.56</v>
      </c>
      <c r="CG95" t="str">
        <f>CHOOSE(MATCH(C95,{"North","West","South","East"},0),"Zone 1","Zone 2","Zone 3","Zone 4")</f>
        <v>Zone 4</v>
      </c>
      <c r="CH95" t="str" cm="1">
        <f t="array" ref="CH95">_xlfn.SWITCH(N95,"Card","Card Payment","UPI", "UPI Payment","Cash","Cash Payment","NetBanking", "NetBanking Payment", "Unknown")</f>
        <v>UPI Payment</v>
      </c>
      <c r="CI95" t="str" cm="1">
        <f t="array" ref="CI95">_xlfn.IFS(Sales_Data!J95&lt;=5,"Low",Sales_Data!J95&lt;=10,"Medium",Sales_Data!J95&gt;10,"High")</f>
        <v>High</v>
      </c>
    </row>
    <row r="96" spans="1:87" x14ac:dyDescent="0.3">
      <c r="A96">
        <v>1096</v>
      </c>
      <c r="B96" s="1">
        <v>45400</v>
      </c>
      <c r="C96" t="s">
        <v>16</v>
      </c>
      <c r="D96" t="s">
        <v>23</v>
      </c>
      <c r="E96" t="s">
        <v>86</v>
      </c>
      <c r="F96" t="s">
        <v>35</v>
      </c>
      <c r="G96" t="s">
        <v>44</v>
      </c>
      <c r="H96">
        <v>3</v>
      </c>
      <c r="I96">
        <v>26245</v>
      </c>
      <c r="J96">
        <v>10</v>
      </c>
      <c r="K96">
        <v>70861.5</v>
      </c>
      <c r="L96">
        <v>57066.53</v>
      </c>
      <c r="M96">
        <v>13794.97</v>
      </c>
      <c r="N96" t="s">
        <v>21</v>
      </c>
      <c r="O96">
        <v>7</v>
      </c>
      <c r="P96">
        <v>4.0999999999999996</v>
      </c>
      <c r="Q96">
        <f t="shared" si="15"/>
        <v>162</v>
      </c>
      <c r="R96" t="str">
        <f t="shared" si="16"/>
        <v>Printer</v>
      </c>
      <c r="S96" t="e">
        <f t="shared" si="17"/>
        <v>#N/A</v>
      </c>
      <c r="AK96">
        <v>1104</v>
      </c>
      <c r="AL96">
        <v>45500</v>
      </c>
      <c r="AM96" t="str">
        <v>South</v>
      </c>
      <c r="AN96" t="str">
        <v>Aman</v>
      </c>
      <c r="AO96" t="str">
        <v>Customer_49</v>
      </c>
      <c r="AP96" t="str">
        <v>Electronics</v>
      </c>
      <c r="AQ96" t="str">
        <v>Desk</v>
      </c>
      <c r="AR96">
        <v>11</v>
      </c>
      <c r="AS96">
        <v>27318</v>
      </c>
      <c r="AT96">
        <v>20</v>
      </c>
      <c r="AU96">
        <v>240398.4</v>
      </c>
      <c r="AV96">
        <v>180570.62</v>
      </c>
      <c r="AW96">
        <v>59827.78</v>
      </c>
      <c r="AX96" t="str">
        <v>Cash</v>
      </c>
      <c r="AY96">
        <v>10</v>
      </c>
      <c r="AZ96">
        <v>2.9</v>
      </c>
      <c r="BA96">
        <v>94</v>
      </c>
      <c r="BB96" t="str">
        <v>Desk</v>
      </c>
      <c r="BC96" s="6">
        <f t="shared" si="18"/>
        <v>1</v>
      </c>
      <c r="BD96" t="str">
        <f t="shared" si="19"/>
        <v/>
      </c>
      <c r="BE96" s="8">
        <f t="shared" si="20"/>
        <v>0.19467510566386542</v>
      </c>
      <c r="BF96" t="str">
        <v>Customer_32</v>
      </c>
      <c r="BG96" t="str">
        <f t="shared" si="21"/>
        <v>West-Printer</v>
      </c>
      <c r="BH96">
        <f t="shared" si="22"/>
        <v>2024</v>
      </c>
      <c r="BI96" t="str">
        <f t="shared" si="23"/>
        <v>April</v>
      </c>
      <c r="BJ96">
        <f t="shared" ca="1" si="14"/>
        <v>575</v>
      </c>
      <c r="BK96" s="8">
        <f t="shared" si="24"/>
        <v>0.19467510566386542</v>
      </c>
      <c r="BL96">
        <f t="shared" si="25"/>
        <v>1561</v>
      </c>
      <c r="BM96">
        <f t="shared" si="26"/>
        <v>96</v>
      </c>
      <c r="BN96">
        <v>1095</v>
      </c>
      <c r="BO96">
        <v>45617</v>
      </c>
      <c r="BP96" t="str">
        <v>East</v>
      </c>
      <c r="BQ96" t="str">
        <v>Neha</v>
      </c>
      <c r="BR96" t="str">
        <v>Customer_13</v>
      </c>
      <c r="BS96" t="str">
        <v>Office Supplies</v>
      </c>
      <c r="BT96" t="str">
        <v>Keyboard</v>
      </c>
      <c r="BU96">
        <v>13</v>
      </c>
      <c r="BV96">
        <v>33311</v>
      </c>
      <c r="BW96">
        <v>20</v>
      </c>
      <c r="BX96">
        <v>346434.4</v>
      </c>
      <c r="BY96">
        <v>238485.76000000001</v>
      </c>
      <c r="BZ96">
        <v>107948.64</v>
      </c>
      <c r="CA96" t="str">
        <v>UPI</v>
      </c>
      <c r="CB96">
        <v>1</v>
      </c>
      <c r="CC96">
        <v>4.9000000000000004</v>
      </c>
      <c r="CD96" t="b">
        <f>COUNTIF(Sales_Data!E:E,Sales_Data!E96)&gt;1</f>
        <v>1</v>
      </c>
      <c r="CE96">
        <f>SUM(Sales_Data!$K$2:'Sales_Data'!K96)</f>
        <v>24342037.09999999</v>
      </c>
      <c r="CF96">
        <f t="shared" si="27"/>
        <v>81490.724999999991</v>
      </c>
      <c r="CG96" t="str">
        <f>CHOOSE(MATCH(C96,{"North","West","South","East"},0),"Zone 1","Zone 2","Zone 3","Zone 4")</f>
        <v>Zone 2</v>
      </c>
      <c r="CH96" t="str" cm="1">
        <f t="array" ref="CH96">_xlfn.SWITCH(N96,"Card","Card Payment","UPI", "UPI Payment","Cash","Cash Payment","NetBanking", "NetBanking Payment", "Unknown")</f>
        <v>Card Payment</v>
      </c>
      <c r="CI96" t="str" cm="1">
        <f t="array" ref="CI96">_xlfn.IFS(Sales_Data!J96&lt;=5,"Low",Sales_Data!J96&lt;=10,"Medium",Sales_Data!J96&gt;10,"High")</f>
        <v>Medium</v>
      </c>
    </row>
    <row r="97" spans="1:87" x14ac:dyDescent="0.3">
      <c r="A97">
        <v>1097</v>
      </c>
      <c r="B97" s="1">
        <v>45581</v>
      </c>
      <c r="C97" t="s">
        <v>16</v>
      </c>
      <c r="D97" t="s">
        <v>51</v>
      </c>
      <c r="E97" t="s">
        <v>40</v>
      </c>
      <c r="F97" t="s">
        <v>19</v>
      </c>
      <c r="G97" t="s">
        <v>20</v>
      </c>
      <c r="H97">
        <v>9</v>
      </c>
      <c r="I97">
        <v>46174</v>
      </c>
      <c r="J97">
        <v>15</v>
      </c>
      <c r="K97">
        <v>353231.1</v>
      </c>
      <c r="L97">
        <v>286805.19</v>
      </c>
      <c r="M97">
        <v>66425.91</v>
      </c>
      <c r="N97" t="s">
        <v>37</v>
      </c>
      <c r="O97">
        <v>9</v>
      </c>
      <c r="P97">
        <v>4.9000000000000004</v>
      </c>
      <c r="Q97">
        <f t="shared" si="15"/>
        <v>86</v>
      </c>
      <c r="R97" t="str">
        <f t="shared" si="16"/>
        <v>Phone</v>
      </c>
      <c r="S97" t="e">
        <f t="shared" si="17"/>
        <v>#N/A</v>
      </c>
      <c r="AK97">
        <v>1159</v>
      </c>
      <c r="AL97">
        <v>45435</v>
      </c>
      <c r="AM97" t="str">
        <v>East</v>
      </c>
      <c r="AN97" t="str">
        <v>Neha</v>
      </c>
      <c r="AO97" t="str">
        <v>Customer_30</v>
      </c>
      <c r="AP97" t="str">
        <v>Office Supplies</v>
      </c>
      <c r="AQ97" t="str">
        <v>Monitor</v>
      </c>
      <c r="AR97">
        <v>9</v>
      </c>
      <c r="AS97">
        <v>34301</v>
      </c>
      <c r="AT97">
        <v>0</v>
      </c>
      <c r="AU97">
        <v>308709</v>
      </c>
      <c r="AV97">
        <v>249532.93</v>
      </c>
      <c r="AW97">
        <v>59176.07</v>
      </c>
      <c r="AX97" t="str">
        <v>Card</v>
      </c>
      <c r="AY97">
        <v>5</v>
      </c>
      <c r="AZ97">
        <v>4.5999999999999996</v>
      </c>
      <c r="BA97">
        <v>95</v>
      </c>
      <c r="BB97" t="str">
        <v>Monitor</v>
      </c>
      <c r="BC97" s="6">
        <f t="shared" si="18"/>
        <v>3</v>
      </c>
      <c r="BD97" t="str">
        <f t="shared" si="19"/>
        <v/>
      </c>
      <c r="BE97" s="8">
        <f t="shared" si="20"/>
        <v>0.18805226946324943</v>
      </c>
      <c r="BF97" t="str">
        <v>Customer_33</v>
      </c>
      <c r="BG97" t="str">
        <f t="shared" si="21"/>
        <v>West-Phone</v>
      </c>
      <c r="BH97">
        <f t="shared" si="22"/>
        <v>2024</v>
      </c>
      <c r="BI97" t="str">
        <f t="shared" si="23"/>
        <v>October</v>
      </c>
      <c r="BJ97">
        <f t="shared" ca="1" si="14"/>
        <v>446</v>
      </c>
      <c r="BK97" s="8">
        <f t="shared" si="24"/>
        <v>0.18805226946324943</v>
      </c>
      <c r="BL97">
        <f t="shared" si="25"/>
        <v>33295</v>
      </c>
      <c r="BM97">
        <f t="shared" si="26"/>
        <v>8</v>
      </c>
      <c r="BN97">
        <v>1096</v>
      </c>
      <c r="BO97">
        <v>45400</v>
      </c>
      <c r="BP97" t="str">
        <v>West</v>
      </c>
      <c r="BQ97" t="str">
        <v>Karan</v>
      </c>
      <c r="BR97" t="str">
        <v>Customer_48</v>
      </c>
      <c r="BS97" t="str">
        <v>Furniture</v>
      </c>
      <c r="BT97" t="str">
        <v>Printer</v>
      </c>
      <c r="BU97">
        <v>3</v>
      </c>
      <c r="BV97">
        <v>26245</v>
      </c>
      <c r="BW97">
        <v>10</v>
      </c>
      <c r="BX97">
        <v>70861.5</v>
      </c>
      <c r="BY97">
        <v>57066.53</v>
      </c>
      <c r="BZ97">
        <v>13794.97</v>
      </c>
      <c r="CA97" t="str">
        <v>Card</v>
      </c>
      <c r="CB97">
        <v>7</v>
      </c>
      <c r="CC97">
        <v>4.0999999999999996</v>
      </c>
      <c r="CD97" t="b">
        <f>COUNTIF(Sales_Data!E:E,Sales_Data!E97)&gt;1</f>
        <v>1</v>
      </c>
      <c r="CE97">
        <f>SUM(Sales_Data!$K$2:'Sales_Data'!K97)</f>
        <v>24695268.199999992</v>
      </c>
      <c r="CF97">
        <f t="shared" si="27"/>
        <v>406215.76499999996</v>
      </c>
      <c r="CG97" t="str">
        <f>CHOOSE(MATCH(C97,{"North","West","South","East"},0),"Zone 1","Zone 2","Zone 3","Zone 4")</f>
        <v>Zone 2</v>
      </c>
      <c r="CH97" t="str" cm="1">
        <f t="array" ref="CH97">_xlfn.SWITCH(N97,"Card","Card Payment","UPI", "UPI Payment","Cash","Cash Payment","NetBanking", "NetBanking Payment", "Unknown")</f>
        <v>Cash Payment</v>
      </c>
      <c r="CI97" t="str" cm="1">
        <f t="array" ref="CI97">_xlfn.IFS(Sales_Data!J97&lt;=5,"Low",Sales_Data!J97&lt;=10,"Medium",Sales_Data!J97&gt;10,"High")</f>
        <v>High</v>
      </c>
    </row>
    <row r="98" spans="1:87" x14ac:dyDescent="0.3">
      <c r="A98">
        <v>1098</v>
      </c>
      <c r="B98" s="1">
        <v>45727</v>
      </c>
      <c r="C98" t="s">
        <v>22</v>
      </c>
      <c r="D98" t="s">
        <v>39</v>
      </c>
      <c r="E98" t="s">
        <v>71</v>
      </c>
      <c r="F98" t="s">
        <v>19</v>
      </c>
      <c r="G98" t="s">
        <v>41</v>
      </c>
      <c r="H98">
        <v>6</v>
      </c>
      <c r="I98">
        <v>15937</v>
      </c>
      <c r="J98">
        <v>20</v>
      </c>
      <c r="K98">
        <v>76497.600000000006</v>
      </c>
      <c r="L98">
        <v>44848.76</v>
      </c>
      <c r="M98">
        <v>31648.84</v>
      </c>
      <c r="N98" t="s">
        <v>48</v>
      </c>
      <c r="O98">
        <v>3</v>
      </c>
      <c r="P98">
        <v>3.4</v>
      </c>
      <c r="Q98">
        <f t="shared" si="15"/>
        <v>129</v>
      </c>
      <c r="R98" t="str">
        <f t="shared" si="16"/>
        <v>Chair</v>
      </c>
      <c r="S98" t="e">
        <f t="shared" si="17"/>
        <v>#N/A</v>
      </c>
      <c r="AK98">
        <v>1091</v>
      </c>
      <c r="AL98">
        <v>45342</v>
      </c>
      <c r="AM98" t="str">
        <v>West</v>
      </c>
      <c r="AN98" t="str">
        <v>Arjun</v>
      </c>
      <c r="AO98" t="str">
        <v>Customer_15</v>
      </c>
      <c r="AP98" t="str">
        <v>Electronics</v>
      </c>
      <c r="AQ98" t="str">
        <v>Chair</v>
      </c>
      <c r="AR98">
        <v>7</v>
      </c>
      <c r="AS98">
        <v>48661</v>
      </c>
      <c r="AT98">
        <v>20</v>
      </c>
      <c r="AU98">
        <v>272501.59999999998</v>
      </c>
      <c r="AV98">
        <v>214275.98</v>
      </c>
      <c r="AW98">
        <v>58225.62</v>
      </c>
      <c r="AX98" t="str">
        <v>Card</v>
      </c>
      <c r="AY98">
        <v>3</v>
      </c>
      <c r="AZ98">
        <v>2.6</v>
      </c>
      <c r="BA98">
        <v>96</v>
      </c>
      <c r="BB98" t="str">
        <v>Chair</v>
      </c>
      <c r="BC98" s="6">
        <f t="shared" si="18"/>
        <v>1</v>
      </c>
      <c r="BD98" t="str">
        <f t="shared" si="19"/>
        <v/>
      </c>
      <c r="BE98" s="8">
        <f t="shared" si="20"/>
        <v>0.4137233063520947</v>
      </c>
      <c r="BF98" t="str">
        <v>Customer_33</v>
      </c>
      <c r="BG98" t="str">
        <f t="shared" si="21"/>
        <v>South-Chair</v>
      </c>
      <c r="BH98">
        <f t="shared" si="22"/>
        <v>2025</v>
      </c>
      <c r="BI98" t="str">
        <f t="shared" si="23"/>
        <v>March</v>
      </c>
      <c r="BJ98">
        <f t="shared" ca="1" si="14"/>
        <v>342</v>
      </c>
      <c r="BK98" s="8">
        <f t="shared" si="24"/>
        <v>0.4137233063520947</v>
      </c>
      <c r="BL98">
        <f t="shared" si="25"/>
        <v>4972</v>
      </c>
      <c r="BM98">
        <f t="shared" si="26"/>
        <v>43</v>
      </c>
      <c r="BN98">
        <v>1097</v>
      </c>
      <c r="BO98">
        <v>45581</v>
      </c>
      <c r="BP98" t="str">
        <v>West</v>
      </c>
      <c r="BQ98" t="str">
        <v>Aman</v>
      </c>
      <c r="BR98" t="str">
        <v>Customer_30</v>
      </c>
      <c r="BS98" t="str">
        <v>Electronics</v>
      </c>
      <c r="BT98" t="str">
        <v>Phone</v>
      </c>
      <c r="BU98">
        <v>9</v>
      </c>
      <c r="BV98">
        <v>46174</v>
      </c>
      <c r="BW98">
        <v>15</v>
      </c>
      <c r="BX98">
        <v>353231.1</v>
      </c>
      <c r="BY98">
        <v>286805.19</v>
      </c>
      <c r="BZ98">
        <v>66425.91</v>
      </c>
      <c r="CA98" t="str">
        <v>Cash</v>
      </c>
      <c r="CB98">
        <v>9</v>
      </c>
      <c r="CC98">
        <v>4.9000000000000004</v>
      </c>
      <c r="CD98" t="b">
        <f>COUNTIF(Sales_Data!E:E,Sales_Data!E98)&gt;1</f>
        <v>1</v>
      </c>
      <c r="CE98">
        <f>SUM(Sales_Data!$K$2:'Sales_Data'!K98)</f>
        <v>24771765.799999993</v>
      </c>
      <c r="CF98">
        <f t="shared" si="27"/>
        <v>87972.24</v>
      </c>
      <c r="CG98" t="str">
        <f>CHOOSE(MATCH(C98,{"North","West","South","East"},0),"Zone 1","Zone 2","Zone 3","Zone 4")</f>
        <v>Zone 3</v>
      </c>
      <c r="CH98" t="str" cm="1">
        <f t="array" ref="CH98">_xlfn.SWITCH(N98,"Card","Card Payment","UPI", "UPI Payment","Cash","Cash Payment","NetBanking", "NetBanking Payment", "Unknown")</f>
        <v>NetBanking Payment</v>
      </c>
      <c r="CI98" t="str" cm="1">
        <f t="array" ref="CI98">_xlfn.IFS(Sales_Data!J98&lt;=5,"Low",Sales_Data!J98&lt;=10,"Medium",Sales_Data!J98&gt;10,"High")</f>
        <v>High</v>
      </c>
    </row>
    <row r="99" spans="1:87" x14ac:dyDescent="0.3">
      <c r="A99">
        <v>1099</v>
      </c>
      <c r="B99" s="1">
        <v>45723</v>
      </c>
      <c r="C99" t="s">
        <v>33</v>
      </c>
      <c r="D99" t="s">
        <v>17</v>
      </c>
      <c r="E99" t="s">
        <v>66</v>
      </c>
      <c r="F99" t="s">
        <v>25</v>
      </c>
      <c r="G99" t="s">
        <v>44</v>
      </c>
      <c r="H99">
        <v>5</v>
      </c>
      <c r="I99">
        <v>5506</v>
      </c>
      <c r="J99">
        <v>0</v>
      </c>
      <c r="K99">
        <v>27530</v>
      </c>
      <c r="L99">
        <v>18475.3</v>
      </c>
      <c r="M99">
        <v>9054.7000000000007</v>
      </c>
      <c r="N99" t="s">
        <v>37</v>
      </c>
      <c r="O99">
        <v>9</v>
      </c>
      <c r="P99">
        <v>2.9</v>
      </c>
      <c r="Q99">
        <f t="shared" si="15"/>
        <v>177</v>
      </c>
      <c r="R99" t="str">
        <f t="shared" si="16"/>
        <v>Printer</v>
      </c>
      <c r="S99" t="e">
        <f t="shared" si="17"/>
        <v>#N/A</v>
      </c>
      <c r="AK99">
        <v>1107</v>
      </c>
      <c r="AL99">
        <v>45763</v>
      </c>
      <c r="AM99" t="str">
        <v>North</v>
      </c>
      <c r="AN99" t="str">
        <v>Megha</v>
      </c>
      <c r="AO99" t="str">
        <v>Customer_50</v>
      </c>
      <c r="AP99" t="str">
        <v>Office Supplies</v>
      </c>
      <c r="AQ99" t="str">
        <v>Laptop</v>
      </c>
      <c r="AR99">
        <v>9</v>
      </c>
      <c r="AS99">
        <v>20779</v>
      </c>
      <c r="AT99">
        <v>0</v>
      </c>
      <c r="AU99">
        <v>187011</v>
      </c>
      <c r="AV99">
        <v>128903.27</v>
      </c>
      <c r="AW99">
        <v>58107.73</v>
      </c>
      <c r="AX99" t="str">
        <v>NetBanking</v>
      </c>
      <c r="AY99">
        <v>2</v>
      </c>
      <c r="AZ99">
        <v>3.4</v>
      </c>
      <c r="BA99">
        <v>97</v>
      </c>
      <c r="BB99" t="str">
        <v>Laptop</v>
      </c>
      <c r="BC99" s="6">
        <f t="shared" si="18"/>
        <v>1</v>
      </c>
      <c r="BD99" t="str">
        <f t="shared" si="19"/>
        <v/>
      </c>
      <c r="BE99" s="8">
        <f t="shared" si="20"/>
        <v>0.32890301489284418</v>
      </c>
      <c r="BF99" t="str">
        <v>Customer_34</v>
      </c>
      <c r="BG99" t="str">
        <f t="shared" si="21"/>
        <v>East-Printer</v>
      </c>
      <c r="BH99">
        <f t="shared" si="22"/>
        <v>2025</v>
      </c>
      <c r="BI99" t="str">
        <f t="shared" si="23"/>
        <v>March</v>
      </c>
      <c r="BJ99">
        <f t="shared" ca="1" si="14"/>
        <v>344</v>
      </c>
      <c r="BK99" s="8">
        <f t="shared" si="24"/>
        <v>0.32890301489284418</v>
      </c>
      <c r="BL99">
        <f t="shared" si="25"/>
        <v>1561</v>
      </c>
      <c r="BM99">
        <f t="shared" si="26"/>
        <v>33</v>
      </c>
      <c r="BN99">
        <v>1098</v>
      </c>
      <c r="BO99">
        <v>45727</v>
      </c>
      <c r="BP99" t="str">
        <v>South</v>
      </c>
      <c r="BQ99" t="str">
        <v>Sneha</v>
      </c>
      <c r="BR99" t="str">
        <v>Customer_22</v>
      </c>
      <c r="BS99" t="str">
        <v>Electronics</v>
      </c>
      <c r="BT99" t="str">
        <v>Chair</v>
      </c>
      <c r="BU99">
        <v>6</v>
      </c>
      <c r="BV99">
        <v>15937</v>
      </c>
      <c r="BW99">
        <v>20</v>
      </c>
      <c r="BX99">
        <v>76497.600000000006</v>
      </c>
      <c r="BY99">
        <v>44848.76</v>
      </c>
      <c r="BZ99">
        <v>31648.84</v>
      </c>
      <c r="CA99" t="str">
        <v>NetBanking</v>
      </c>
      <c r="CB99">
        <v>3</v>
      </c>
      <c r="CC99">
        <v>3.4</v>
      </c>
      <c r="CD99" t="b">
        <f>COUNTIF(Sales_Data!E:E,Sales_Data!E99)&gt;1</f>
        <v>1</v>
      </c>
      <c r="CE99">
        <f>SUM(Sales_Data!$K$2:'Sales_Data'!K99)</f>
        <v>24799295.799999993</v>
      </c>
      <c r="CF99">
        <f t="shared" si="27"/>
        <v>31659.499999999996</v>
      </c>
      <c r="CG99" t="str">
        <f>CHOOSE(MATCH(C99,{"North","West","South","East"},0),"Zone 1","Zone 2","Zone 3","Zone 4")</f>
        <v>Zone 4</v>
      </c>
      <c r="CH99" t="str" cm="1">
        <f t="array" ref="CH99">_xlfn.SWITCH(N99,"Card","Card Payment","UPI", "UPI Payment","Cash","Cash Payment","NetBanking", "NetBanking Payment", "Unknown")</f>
        <v>Cash Payment</v>
      </c>
      <c r="CI99" t="str" cm="1">
        <f t="array" ref="CI99">_xlfn.IFS(Sales_Data!J99&lt;=5,"Low",Sales_Data!J99&lt;=10,"Medium",Sales_Data!J99&gt;10,"High")</f>
        <v>Low</v>
      </c>
    </row>
    <row r="100" spans="1:87" x14ac:dyDescent="0.3">
      <c r="A100">
        <v>1100</v>
      </c>
      <c r="B100" s="1">
        <v>45425</v>
      </c>
      <c r="C100" t="s">
        <v>50</v>
      </c>
      <c r="D100" t="s">
        <v>28</v>
      </c>
      <c r="E100" t="s">
        <v>76</v>
      </c>
      <c r="F100" t="s">
        <v>19</v>
      </c>
      <c r="G100" t="s">
        <v>47</v>
      </c>
      <c r="H100">
        <v>15</v>
      </c>
      <c r="I100">
        <v>20968</v>
      </c>
      <c r="J100">
        <v>20</v>
      </c>
      <c r="K100">
        <v>251616</v>
      </c>
      <c r="L100">
        <v>208981.6</v>
      </c>
      <c r="M100">
        <v>42634.400000000001</v>
      </c>
      <c r="N100" t="s">
        <v>48</v>
      </c>
      <c r="O100">
        <v>8</v>
      </c>
      <c r="P100">
        <v>2.8</v>
      </c>
      <c r="Q100">
        <f t="shared" si="15"/>
        <v>117</v>
      </c>
      <c r="R100" t="str">
        <f t="shared" si="16"/>
        <v>Monitor</v>
      </c>
      <c r="S100" t="e">
        <f t="shared" si="17"/>
        <v>#N/A</v>
      </c>
      <c r="AK100">
        <v>1112</v>
      </c>
      <c r="AL100">
        <v>45735</v>
      </c>
      <c r="AM100" t="str">
        <v>East</v>
      </c>
      <c r="AN100" t="str">
        <v>Priya</v>
      </c>
      <c r="AO100" t="str">
        <v>Customer_50</v>
      </c>
      <c r="AP100" t="str">
        <v>Office Supplies</v>
      </c>
      <c r="AQ100" t="str">
        <v>Laptop</v>
      </c>
      <c r="AR100">
        <v>7</v>
      </c>
      <c r="AS100">
        <v>29354</v>
      </c>
      <c r="AT100">
        <v>10</v>
      </c>
      <c r="AU100">
        <v>184930.2</v>
      </c>
      <c r="AV100">
        <v>127141.61</v>
      </c>
      <c r="AW100">
        <v>57788.59</v>
      </c>
      <c r="AX100" t="str">
        <v>NetBanking</v>
      </c>
      <c r="AY100">
        <v>1</v>
      </c>
      <c r="AZ100">
        <v>3.5</v>
      </c>
      <c r="BA100">
        <v>98</v>
      </c>
      <c r="BB100" t="str">
        <v>Laptop</v>
      </c>
      <c r="BC100" s="6">
        <f t="shared" si="18"/>
        <v>2</v>
      </c>
      <c r="BD100" t="str">
        <f t="shared" si="19"/>
        <v/>
      </c>
      <c r="BE100" s="8">
        <f t="shared" si="20"/>
        <v>0.16944232481241256</v>
      </c>
      <c r="BF100" t="str">
        <v>Customer_34</v>
      </c>
      <c r="BG100" t="str">
        <f t="shared" si="21"/>
        <v>North-Monitor</v>
      </c>
      <c r="BH100">
        <f t="shared" si="22"/>
        <v>2024</v>
      </c>
      <c r="BI100" t="str">
        <f t="shared" si="23"/>
        <v>May</v>
      </c>
      <c r="BJ100">
        <f t="shared" ca="1" si="14"/>
        <v>558</v>
      </c>
      <c r="BK100" s="8">
        <f t="shared" si="24"/>
        <v>0.16944232481241256</v>
      </c>
      <c r="BL100">
        <f t="shared" si="25"/>
        <v>26687</v>
      </c>
      <c r="BM100">
        <f t="shared" si="26"/>
        <v>63</v>
      </c>
      <c r="BN100">
        <v>1099</v>
      </c>
      <c r="BO100">
        <v>45723</v>
      </c>
      <c r="BP100" t="str">
        <v>East</v>
      </c>
      <c r="BQ100" t="str">
        <v>Rohan</v>
      </c>
      <c r="BR100" t="str">
        <v>Customer_15</v>
      </c>
      <c r="BS100" t="str">
        <v>Office Supplies</v>
      </c>
      <c r="BT100" t="str">
        <v>Printer</v>
      </c>
      <c r="BU100">
        <v>5</v>
      </c>
      <c r="BV100">
        <v>5506</v>
      </c>
      <c r="BW100">
        <v>0</v>
      </c>
      <c r="BX100">
        <v>27530</v>
      </c>
      <c r="BY100">
        <v>18475.3</v>
      </c>
      <c r="BZ100">
        <v>9054.7000000000007</v>
      </c>
      <c r="CA100" t="str">
        <v>Cash</v>
      </c>
      <c r="CB100">
        <v>9</v>
      </c>
      <c r="CC100">
        <v>2.9</v>
      </c>
      <c r="CD100" t="b">
        <f>COUNTIF(Sales_Data!E:E,Sales_Data!E100)&gt;1</f>
        <v>1</v>
      </c>
      <c r="CE100">
        <f>SUM(Sales_Data!$K$2:'Sales_Data'!K100)</f>
        <v>25050911.799999993</v>
      </c>
      <c r="CF100">
        <f t="shared" si="27"/>
        <v>289358.39999999997</v>
      </c>
      <c r="CG100" t="str">
        <f>CHOOSE(MATCH(C100,{"North","West","South","East"},0),"Zone 1","Zone 2","Zone 3","Zone 4")</f>
        <v>Zone 1</v>
      </c>
      <c r="CH100" t="str" cm="1">
        <f t="array" ref="CH100">_xlfn.SWITCH(N100,"Card","Card Payment","UPI", "UPI Payment","Cash","Cash Payment","NetBanking", "NetBanking Payment", "Unknown")</f>
        <v>NetBanking Payment</v>
      </c>
      <c r="CI100" t="str" cm="1">
        <f t="array" ref="CI100">_xlfn.IFS(Sales_Data!J100&lt;=5,"Low",Sales_Data!J100&lt;=10,"Medium",Sales_Data!J100&gt;10,"High")</f>
        <v>High</v>
      </c>
    </row>
    <row r="101" spans="1:87" x14ac:dyDescent="0.3">
      <c r="A101">
        <v>1101</v>
      </c>
      <c r="B101" s="1">
        <v>45683</v>
      </c>
      <c r="C101" t="s">
        <v>22</v>
      </c>
      <c r="D101" t="s">
        <v>28</v>
      </c>
      <c r="E101" t="s">
        <v>81</v>
      </c>
      <c r="F101" t="s">
        <v>19</v>
      </c>
      <c r="G101" t="s">
        <v>30</v>
      </c>
      <c r="H101">
        <v>8</v>
      </c>
      <c r="I101">
        <v>48000</v>
      </c>
      <c r="J101">
        <v>15</v>
      </c>
      <c r="K101">
        <v>326400</v>
      </c>
      <c r="L101">
        <v>206323.06</v>
      </c>
      <c r="M101">
        <v>120076.94</v>
      </c>
      <c r="N101" t="s">
        <v>21</v>
      </c>
      <c r="O101">
        <v>6</v>
      </c>
      <c r="P101">
        <v>4.3</v>
      </c>
      <c r="Q101">
        <f t="shared" si="15"/>
        <v>41</v>
      </c>
      <c r="R101" t="str">
        <f t="shared" si="16"/>
        <v>Desk</v>
      </c>
      <c r="S101" t="e">
        <f t="shared" si="17"/>
        <v>#N/A</v>
      </c>
      <c r="AK101">
        <v>1041</v>
      </c>
      <c r="AL101">
        <v>45630</v>
      </c>
      <c r="AM101" t="str">
        <v>South</v>
      </c>
      <c r="AN101" t="str">
        <v>Arjun</v>
      </c>
      <c r="AO101" t="str">
        <v>Customer_11</v>
      </c>
      <c r="AP101" t="str">
        <v>Electronics</v>
      </c>
      <c r="AQ101" t="str">
        <v>Phone</v>
      </c>
      <c r="AR101">
        <v>13</v>
      </c>
      <c r="AS101">
        <v>23817</v>
      </c>
      <c r="AT101">
        <v>20</v>
      </c>
      <c r="AU101">
        <v>247696.8</v>
      </c>
      <c r="AV101">
        <v>192131.28</v>
      </c>
      <c r="AW101">
        <v>55565.52</v>
      </c>
      <c r="AX101" t="str">
        <v>Card</v>
      </c>
      <c r="AY101">
        <v>7</v>
      </c>
      <c r="AZ101">
        <v>4.4000000000000004</v>
      </c>
      <c r="BA101">
        <v>99</v>
      </c>
      <c r="BB101" t="str">
        <v>Phone</v>
      </c>
      <c r="BC101" s="6">
        <f t="shared" si="18"/>
        <v>0</v>
      </c>
      <c r="BD101" t="str">
        <f t="shared" si="19"/>
        <v>Bonus!</v>
      </c>
      <c r="BE101" s="8">
        <f t="shared" si="20"/>
        <v>0.36788278186274509</v>
      </c>
      <c r="BF101" t="str">
        <v>Customer_34</v>
      </c>
      <c r="BG101" t="str">
        <f t="shared" si="21"/>
        <v>South-Desk</v>
      </c>
      <c r="BH101">
        <f t="shared" si="22"/>
        <v>2025</v>
      </c>
      <c r="BI101" t="str">
        <f t="shared" si="23"/>
        <v>January</v>
      </c>
      <c r="BJ101">
        <f t="shared" ca="1" si="14"/>
        <v>373</v>
      </c>
      <c r="BK101" s="8">
        <f t="shared" si="24"/>
        <v>0.36788278186274509</v>
      </c>
      <c r="BL101">
        <f t="shared" si="25"/>
        <v>13233</v>
      </c>
      <c r="BM101">
        <f t="shared" si="26"/>
        <v>78</v>
      </c>
      <c r="BN101">
        <v>1100</v>
      </c>
      <c r="BO101">
        <v>45425</v>
      </c>
      <c r="BP101" t="str">
        <v>North</v>
      </c>
      <c r="BQ101" t="str">
        <v>Arjun</v>
      </c>
      <c r="BR101" t="str">
        <v>Customer_37</v>
      </c>
      <c r="BS101" t="str">
        <v>Electronics</v>
      </c>
      <c r="BT101" t="str">
        <v>Monitor</v>
      </c>
      <c r="BU101">
        <v>15</v>
      </c>
      <c r="BV101">
        <v>20968</v>
      </c>
      <c r="BW101">
        <v>20</v>
      </c>
      <c r="BX101">
        <v>251616</v>
      </c>
      <c r="BY101">
        <v>208981.6</v>
      </c>
      <c r="BZ101">
        <v>42634.400000000001</v>
      </c>
      <c r="CA101" t="str">
        <v>NetBanking</v>
      </c>
      <c r="CB101">
        <v>8</v>
      </c>
      <c r="CC101">
        <v>2.8</v>
      </c>
      <c r="CD101" t="b">
        <f>COUNTIF(Sales_Data!E:E,Sales_Data!E101)&gt;1</f>
        <v>1</v>
      </c>
      <c r="CE101">
        <f>SUM(Sales_Data!$K$2:'Sales_Data'!K101)</f>
        <v>25377311.799999993</v>
      </c>
      <c r="CF101">
        <f t="shared" si="27"/>
        <v>375360</v>
      </c>
      <c r="CG101" t="str">
        <f>CHOOSE(MATCH(C101,{"North","West","South","East"},0),"Zone 1","Zone 2","Zone 3","Zone 4")</f>
        <v>Zone 3</v>
      </c>
      <c r="CH101" t="str" cm="1">
        <f t="array" ref="CH101">_xlfn.SWITCH(N101,"Card","Card Payment","UPI", "UPI Payment","Cash","Cash Payment","NetBanking", "NetBanking Payment", "Unknown")</f>
        <v>Card Payment</v>
      </c>
      <c r="CI101" t="str" cm="1">
        <f t="array" ref="CI101">_xlfn.IFS(Sales_Data!J101&lt;=5,"Low",Sales_Data!J101&lt;=10,"Medium",Sales_Data!J101&gt;10,"High")</f>
        <v>High</v>
      </c>
    </row>
    <row r="102" spans="1:87" x14ac:dyDescent="0.3">
      <c r="A102">
        <v>1102</v>
      </c>
      <c r="B102" s="1">
        <v>45384</v>
      </c>
      <c r="C102" t="s">
        <v>22</v>
      </c>
      <c r="D102" t="s">
        <v>42</v>
      </c>
      <c r="E102" t="s">
        <v>87</v>
      </c>
      <c r="F102" t="s">
        <v>25</v>
      </c>
      <c r="G102" t="s">
        <v>44</v>
      </c>
      <c r="H102">
        <v>10</v>
      </c>
      <c r="I102">
        <v>44772</v>
      </c>
      <c r="J102">
        <v>20</v>
      </c>
      <c r="K102">
        <v>358176</v>
      </c>
      <c r="L102">
        <v>251521.29</v>
      </c>
      <c r="M102">
        <v>106654.71</v>
      </c>
      <c r="N102" t="s">
        <v>27</v>
      </c>
      <c r="O102">
        <v>6</v>
      </c>
      <c r="P102">
        <v>4.7</v>
      </c>
      <c r="Q102">
        <f t="shared" si="15"/>
        <v>54</v>
      </c>
      <c r="R102" t="str">
        <f t="shared" si="16"/>
        <v>Printer</v>
      </c>
      <c r="S102" t="e">
        <f t="shared" si="17"/>
        <v>#N/A</v>
      </c>
      <c r="AK102">
        <v>1103</v>
      </c>
      <c r="AL102">
        <v>45668</v>
      </c>
      <c r="AM102" t="str">
        <v>North</v>
      </c>
      <c r="AN102" t="str">
        <v>Priya</v>
      </c>
      <c r="AO102" t="str">
        <v>Customer_12</v>
      </c>
      <c r="AP102" t="str">
        <v>Furniture</v>
      </c>
      <c r="AQ102" t="str">
        <v>Mouse</v>
      </c>
      <c r="AR102">
        <v>8</v>
      </c>
      <c r="AS102">
        <v>27905</v>
      </c>
      <c r="AT102">
        <v>5</v>
      </c>
      <c r="AU102">
        <v>212078</v>
      </c>
      <c r="AV102">
        <v>156734.97</v>
      </c>
      <c r="AW102">
        <v>55343.03</v>
      </c>
      <c r="AX102" t="str">
        <v>Card</v>
      </c>
      <c r="AY102">
        <v>4</v>
      </c>
      <c r="AZ102">
        <v>3.7</v>
      </c>
      <c r="BA102">
        <v>100</v>
      </c>
      <c r="BB102" t="str">
        <v>Mouse</v>
      </c>
      <c r="BC102" s="6">
        <f t="shared" si="18"/>
        <v>1</v>
      </c>
      <c r="BD102" t="str">
        <f t="shared" si="19"/>
        <v>Bonus!</v>
      </c>
      <c r="BE102" s="8">
        <f t="shared" si="20"/>
        <v>0.29777179375502549</v>
      </c>
      <c r="BF102" t="str">
        <v>Customer_34</v>
      </c>
      <c r="BG102" t="str">
        <f t="shared" si="21"/>
        <v>South-Printer</v>
      </c>
      <c r="BH102">
        <f t="shared" si="22"/>
        <v>2024</v>
      </c>
      <c r="BI102" t="str">
        <f t="shared" si="23"/>
        <v>April</v>
      </c>
      <c r="BJ102">
        <f t="shared" ca="1" si="14"/>
        <v>587</v>
      </c>
      <c r="BK102" s="8">
        <f t="shared" si="24"/>
        <v>0.29777179375502549</v>
      </c>
      <c r="BL102">
        <f t="shared" si="25"/>
        <v>1561</v>
      </c>
      <c r="BM102">
        <f t="shared" si="26"/>
        <v>102</v>
      </c>
      <c r="BN102">
        <v>1101</v>
      </c>
      <c r="BO102">
        <v>45683</v>
      </c>
      <c r="BP102" t="str">
        <v>South</v>
      </c>
      <c r="BQ102" t="str">
        <v>Arjun</v>
      </c>
      <c r="BR102" t="str">
        <v>Customer_21</v>
      </c>
      <c r="BS102" t="str">
        <v>Electronics</v>
      </c>
      <c r="BT102" t="str">
        <v>Desk</v>
      </c>
      <c r="BU102">
        <v>8</v>
      </c>
      <c r="BV102">
        <v>48000</v>
      </c>
      <c r="BW102">
        <v>15</v>
      </c>
      <c r="BX102">
        <v>326400</v>
      </c>
      <c r="BY102">
        <v>206323.06</v>
      </c>
      <c r="BZ102">
        <v>120076.94</v>
      </c>
      <c r="CA102" t="str">
        <v>Card</v>
      </c>
      <c r="CB102">
        <v>6</v>
      </c>
      <c r="CC102">
        <v>4.3</v>
      </c>
      <c r="CD102" t="b">
        <f>COUNTIF(Sales_Data!E:E,Sales_Data!E102)&gt;1</f>
        <v>1</v>
      </c>
      <c r="CE102">
        <f>SUM(Sales_Data!$K$2:'Sales_Data'!K102)</f>
        <v>25735487.799999993</v>
      </c>
      <c r="CF102">
        <f t="shared" si="27"/>
        <v>411902.39999999997</v>
      </c>
      <c r="CG102" t="str">
        <f>CHOOSE(MATCH(C102,{"North","West","South","East"},0),"Zone 1","Zone 2","Zone 3","Zone 4")</f>
        <v>Zone 3</v>
      </c>
      <c r="CH102" t="str" cm="1">
        <f t="array" ref="CH102">_xlfn.SWITCH(N102,"Card","Card Payment","UPI", "UPI Payment","Cash","Cash Payment","NetBanking", "NetBanking Payment", "Unknown")</f>
        <v>UPI Payment</v>
      </c>
      <c r="CI102" t="str" cm="1">
        <f t="array" ref="CI102">_xlfn.IFS(Sales_Data!J102&lt;=5,"Low",Sales_Data!J102&lt;=10,"Medium",Sales_Data!J102&gt;10,"High")</f>
        <v>High</v>
      </c>
    </row>
    <row r="103" spans="1:87" x14ac:dyDescent="0.3">
      <c r="A103">
        <v>1103</v>
      </c>
      <c r="B103" s="1">
        <v>45668</v>
      </c>
      <c r="C103" t="s">
        <v>50</v>
      </c>
      <c r="D103" t="s">
        <v>42</v>
      </c>
      <c r="E103" t="s">
        <v>38</v>
      </c>
      <c r="F103" t="s">
        <v>35</v>
      </c>
      <c r="G103" t="s">
        <v>65</v>
      </c>
      <c r="H103">
        <v>8</v>
      </c>
      <c r="I103">
        <v>27905</v>
      </c>
      <c r="J103">
        <v>5</v>
      </c>
      <c r="K103">
        <v>212078</v>
      </c>
      <c r="L103">
        <v>156734.97</v>
      </c>
      <c r="M103">
        <v>55343.03</v>
      </c>
      <c r="N103" t="s">
        <v>21</v>
      </c>
      <c r="O103">
        <v>4</v>
      </c>
      <c r="P103">
        <v>3.7</v>
      </c>
      <c r="Q103">
        <f t="shared" si="15"/>
        <v>100</v>
      </c>
      <c r="R103" t="str">
        <f t="shared" si="16"/>
        <v>Mouse</v>
      </c>
      <c r="S103" t="e">
        <f t="shared" si="17"/>
        <v>#N/A</v>
      </c>
      <c r="AK103">
        <v>1123</v>
      </c>
      <c r="AL103">
        <v>45455</v>
      </c>
      <c r="AM103" t="str">
        <v>South</v>
      </c>
      <c r="AN103" t="str">
        <v>Karan</v>
      </c>
      <c r="AO103" t="str">
        <v>Customer_44</v>
      </c>
      <c r="AP103" t="str">
        <v>Furniture</v>
      </c>
      <c r="AQ103" t="str">
        <v>Mouse</v>
      </c>
      <c r="AR103">
        <v>18</v>
      </c>
      <c r="AS103">
        <v>8717</v>
      </c>
      <c r="AT103">
        <v>20</v>
      </c>
      <c r="AU103">
        <v>125524.8</v>
      </c>
      <c r="AV103">
        <v>70519.3</v>
      </c>
      <c r="AW103">
        <v>55005.5</v>
      </c>
      <c r="AX103" t="str">
        <v>Cash</v>
      </c>
      <c r="AY103">
        <v>10</v>
      </c>
      <c r="AZ103">
        <v>2.7</v>
      </c>
      <c r="BA103">
        <v>101</v>
      </c>
      <c r="BB103" t="str">
        <v>Mouse</v>
      </c>
      <c r="BC103" s="6">
        <f t="shared" si="18"/>
        <v>0</v>
      </c>
      <c r="BD103" t="str">
        <f t="shared" si="19"/>
        <v/>
      </c>
      <c r="BE103" s="8">
        <f t="shared" si="20"/>
        <v>0.26095601618272524</v>
      </c>
      <c r="BF103" t="str">
        <v>Customer_35</v>
      </c>
      <c r="BG103" t="str">
        <f t="shared" si="21"/>
        <v>North-Mouse</v>
      </c>
      <c r="BH103">
        <f t="shared" si="22"/>
        <v>2025</v>
      </c>
      <c r="BI103" t="str">
        <f t="shared" si="23"/>
        <v>January</v>
      </c>
      <c r="BJ103">
        <f t="shared" ca="1" si="14"/>
        <v>383</v>
      </c>
      <c r="BK103" s="8">
        <f t="shared" si="24"/>
        <v>0.26095601618272524</v>
      </c>
      <c r="BL103">
        <f t="shared" si="25"/>
        <v>41775</v>
      </c>
      <c r="BM103">
        <f t="shared" si="26"/>
        <v>7</v>
      </c>
      <c r="BN103">
        <v>1102</v>
      </c>
      <c r="BO103">
        <v>45384</v>
      </c>
      <c r="BP103" t="str">
        <v>South</v>
      </c>
      <c r="BQ103" t="str">
        <v>Priya</v>
      </c>
      <c r="BR103" t="str">
        <v>Customer_39</v>
      </c>
      <c r="BS103" t="str">
        <v>Office Supplies</v>
      </c>
      <c r="BT103" t="str">
        <v>Printer</v>
      </c>
      <c r="BU103">
        <v>10</v>
      </c>
      <c r="BV103">
        <v>44772</v>
      </c>
      <c r="BW103">
        <v>20</v>
      </c>
      <c r="BX103">
        <v>358176</v>
      </c>
      <c r="BY103">
        <v>251521.29</v>
      </c>
      <c r="BZ103">
        <v>106654.71</v>
      </c>
      <c r="CA103" t="str">
        <v>UPI</v>
      </c>
      <c r="CB103">
        <v>6</v>
      </c>
      <c r="CC103">
        <v>4.7</v>
      </c>
      <c r="CD103" t="b">
        <f>COUNTIF(Sales_Data!E:E,Sales_Data!E103)&gt;1</f>
        <v>1</v>
      </c>
      <c r="CE103">
        <f>SUM(Sales_Data!$K$2:'Sales_Data'!K103)</f>
        <v>25947565.799999993</v>
      </c>
      <c r="CF103">
        <f t="shared" si="27"/>
        <v>243889.69999999998</v>
      </c>
      <c r="CG103" t="str">
        <f>CHOOSE(MATCH(C103,{"North","West","South","East"},0),"Zone 1","Zone 2","Zone 3","Zone 4")</f>
        <v>Zone 1</v>
      </c>
      <c r="CH103" t="str" cm="1">
        <f t="array" ref="CH103">_xlfn.SWITCH(N103,"Card","Card Payment","UPI", "UPI Payment","Cash","Cash Payment","NetBanking", "NetBanking Payment", "Unknown")</f>
        <v>Card Payment</v>
      </c>
      <c r="CI103" t="str" cm="1">
        <f t="array" ref="CI103">_xlfn.IFS(Sales_Data!J103&lt;=5,"Low",Sales_Data!J103&lt;=10,"Medium",Sales_Data!J103&gt;10,"High")</f>
        <v>Low</v>
      </c>
    </row>
    <row r="104" spans="1:87" x14ac:dyDescent="0.3">
      <c r="A104">
        <v>1104</v>
      </c>
      <c r="B104" s="1">
        <v>45500</v>
      </c>
      <c r="C104" t="s">
        <v>22</v>
      </c>
      <c r="D104" t="s">
        <v>51</v>
      </c>
      <c r="E104" t="s">
        <v>24</v>
      </c>
      <c r="F104" t="s">
        <v>19</v>
      </c>
      <c r="G104" t="s">
        <v>30</v>
      </c>
      <c r="H104">
        <v>11</v>
      </c>
      <c r="I104">
        <v>27318</v>
      </c>
      <c r="J104">
        <v>20</v>
      </c>
      <c r="K104">
        <v>240398.4</v>
      </c>
      <c r="L104">
        <v>180570.62</v>
      </c>
      <c r="M104">
        <v>59827.78</v>
      </c>
      <c r="N104" t="s">
        <v>37</v>
      </c>
      <c r="O104">
        <v>10</v>
      </c>
      <c r="P104">
        <v>2.9</v>
      </c>
      <c r="Q104">
        <f t="shared" si="15"/>
        <v>94</v>
      </c>
      <c r="R104" t="str">
        <f t="shared" si="16"/>
        <v>Desk</v>
      </c>
      <c r="S104" t="e">
        <f t="shared" si="17"/>
        <v>#N/A</v>
      </c>
      <c r="AK104">
        <v>1143</v>
      </c>
      <c r="AL104">
        <v>45790</v>
      </c>
      <c r="AM104" t="str">
        <v>North</v>
      </c>
      <c r="AN104" t="str">
        <v>Rohan</v>
      </c>
      <c r="AO104" t="str">
        <v>Customer_40</v>
      </c>
      <c r="AP104" t="str">
        <v>Furniture</v>
      </c>
      <c r="AQ104" t="str">
        <v>Printer</v>
      </c>
      <c r="AR104">
        <v>4</v>
      </c>
      <c r="AS104">
        <v>32136</v>
      </c>
      <c r="AT104">
        <v>5</v>
      </c>
      <c r="AU104">
        <v>122116.8</v>
      </c>
      <c r="AV104">
        <v>67817.06</v>
      </c>
      <c r="AW104">
        <v>54299.74</v>
      </c>
      <c r="AX104" t="str">
        <v>Card</v>
      </c>
      <c r="AY104">
        <v>4</v>
      </c>
      <c r="AZ104">
        <v>3.8</v>
      </c>
      <c r="BA104">
        <v>102</v>
      </c>
      <c r="BB104" t="str">
        <v>Printer</v>
      </c>
      <c r="BC104" s="6">
        <f t="shared" si="18"/>
        <v>2</v>
      </c>
      <c r="BD104" t="str">
        <f t="shared" si="19"/>
        <v/>
      </c>
      <c r="BE104" s="8">
        <f t="shared" si="20"/>
        <v>0.24886929363922555</v>
      </c>
      <c r="BF104" t="str">
        <v>Customer_35</v>
      </c>
      <c r="BG104" t="str">
        <f t="shared" si="21"/>
        <v>South-Desk</v>
      </c>
      <c r="BH104">
        <f t="shared" si="22"/>
        <v>2024</v>
      </c>
      <c r="BI104" t="str">
        <f t="shared" si="23"/>
        <v>July</v>
      </c>
      <c r="BJ104">
        <f t="shared" ca="1" si="14"/>
        <v>503</v>
      </c>
      <c r="BK104" s="8">
        <f t="shared" si="24"/>
        <v>0.24886929363922555</v>
      </c>
      <c r="BL104">
        <f t="shared" si="25"/>
        <v>13233</v>
      </c>
      <c r="BM104">
        <f t="shared" si="26"/>
        <v>3</v>
      </c>
      <c r="BN104">
        <v>1103</v>
      </c>
      <c r="BO104">
        <v>45668</v>
      </c>
      <c r="BP104" t="str">
        <v>North</v>
      </c>
      <c r="BQ104" t="str">
        <v>Priya</v>
      </c>
      <c r="BR104" t="str">
        <v>Customer_12</v>
      </c>
      <c r="BS104" t="str">
        <v>Furniture</v>
      </c>
      <c r="BT104" t="str">
        <v>Mouse</v>
      </c>
      <c r="BU104">
        <v>8</v>
      </c>
      <c r="BV104">
        <v>27905</v>
      </c>
      <c r="BW104">
        <v>5</v>
      </c>
      <c r="BX104">
        <v>212078</v>
      </c>
      <c r="BY104">
        <v>156734.97</v>
      </c>
      <c r="BZ104">
        <v>55343.03</v>
      </c>
      <c r="CA104" t="str">
        <v>Card</v>
      </c>
      <c r="CB104">
        <v>4</v>
      </c>
      <c r="CC104">
        <v>3.7</v>
      </c>
      <c r="CD104" t="b">
        <f>COUNTIF(Sales_Data!E:E,Sales_Data!E104)&gt;1</f>
        <v>1</v>
      </c>
      <c r="CE104">
        <f>SUM(Sales_Data!$K$2:'Sales_Data'!K104)</f>
        <v>26187964.199999992</v>
      </c>
      <c r="CF104">
        <f t="shared" si="27"/>
        <v>276458.15999999997</v>
      </c>
      <c r="CG104" t="str">
        <f>CHOOSE(MATCH(C104,{"North","West","South","East"},0),"Zone 1","Zone 2","Zone 3","Zone 4")</f>
        <v>Zone 3</v>
      </c>
      <c r="CH104" t="str" cm="1">
        <f t="array" ref="CH104">_xlfn.SWITCH(N104,"Card","Card Payment","UPI", "UPI Payment","Cash","Cash Payment","NetBanking", "NetBanking Payment", "Unknown")</f>
        <v>Cash Payment</v>
      </c>
      <c r="CI104" t="str" cm="1">
        <f t="array" ref="CI104">_xlfn.IFS(Sales_Data!J104&lt;=5,"Low",Sales_Data!J104&lt;=10,"Medium",Sales_Data!J104&gt;10,"High")</f>
        <v>High</v>
      </c>
    </row>
    <row r="105" spans="1:87" x14ac:dyDescent="0.3">
      <c r="A105">
        <v>1105</v>
      </c>
      <c r="B105" s="1">
        <v>45443</v>
      </c>
      <c r="C105" t="s">
        <v>22</v>
      </c>
      <c r="D105" t="s">
        <v>31</v>
      </c>
      <c r="E105" t="s">
        <v>76</v>
      </c>
      <c r="F105" t="s">
        <v>35</v>
      </c>
      <c r="G105" t="s">
        <v>41</v>
      </c>
      <c r="H105">
        <v>9</v>
      </c>
      <c r="I105">
        <v>42540</v>
      </c>
      <c r="J105">
        <v>0</v>
      </c>
      <c r="K105">
        <v>382860</v>
      </c>
      <c r="L105">
        <v>290496.99</v>
      </c>
      <c r="M105">
        <v>92363.01</v>
      </c>
      <c r="N105" t="s">
        <v>27</v>
      </c>
      <c r="O105">
        <v>7</v>
      </c>
      <c r="P105">
        <v>3</v>
      </c>
      <c r="Q105">
        <f t="shared" si="15"/>
        <v>65</v>
      </c>
      <c r="R105" t="str">
        <f t="shared" si="16"/>
        <v>Chair</v>
      </c>
      <c r="S105" t="e">
        <f t="shared" si="17"/>
        <v>#N/A</v>
      </c>
      <c r="AK105">
        <v>1136</v>
      </c>
      <c r="AL105">
        <v>45540</v>
      </c>
      <c r="AM105" t="str">
        <v>West</v>
      </c>
      <c r="AN105" t="str">
        <v>Karan</v>
      </c>
      <c r="AO105" t="str">
        <v>Customer_23</v>
      </c>
      <c r="AP105" t="str">
        <v>Office Supplies</v>
      </c>
      <c r="AQ105" t="str">
        <v>Mouse</v>
      </c>
      <c r="AR105">
        <v>13</v>
      </c>
      <c r="AS105">
        <v>26633</v>
      </c>
      <c r="AT105">
        <v>10</v>
      </c>
      <c r="AU105">
        <v>311606.09999999998</v>
      </c>
      <c r="AV105">
        <v>258772</v>
      </c>
      <c r="AW105">
        <v>52834.1</v>
      </c>
      <c r="AX105" t="str">
        <v>UPI</v>
      </c>
      <c r="AY105">
        <v>1</v>
      </c>
      <c r="AZ105">
        <v>3.5</v>
      </c>
      <c r="BA105">
        <v>103</v>
      </c>
      <c r="BB105" t="str">
        <v>Mouse</v>
      </c>
      <c r="BC105" s="6">
        <f t="shared" si="18"/>
        <v>2</v>
      </c>
      <c r="BD105" t="str">
        <f t="shared" si="19"/>
        <v/>
      </c>
      <c r="BE105" s="8">
        <f t="shared" si="20"/>
        <v>0.24124486757561509</v>
      </c>
      <c r="BF105" t="str">
        <v>Customer_35</v>
      </c>
      <c r="BG105" t="str">
        <f t="shared" si="21"/>
        <v>South-Chair</v>
      </c>
      <c r="BH105">
        <f t="shared" si="22"/>
        <v>2024</v>
      </c>
      <c r="BI105" t="str">
        <f t="shared" si="23"/>
        <v>May</v>
      </c>
      <c r="BJ105">
        <f t="shared" ca="1" si="14"/>
        <v>544</v>
      </c>
      <c r="BK105" s="8">
        <f t="shared" si="24"/>
        <v>0.24124486757561509</v>
      </c>
      <c r="BL105">
        <f t="shared" si="25"/>
        <v>4972</v>
      </c>
      <c r="BM105">
        <f t="shared" si="26"/>
        <v>63</v>
      </c>
      <c r="BN105">
        <v>1104</v>
      </c>
      <c r="BO105">
        <v>45500</v>
      </c>
      <c r="BP105" t="str">
        <v>South</v>
      </c>
      <c r="BQ105" t="str">
        <v>Aman</v>
      </c>
      <c r="BR105" t="str">
        <v>Customer_49</v>
      </c>
      <c r="BS105" t="str">
        <v>Electronics</v>
      </c>
      <c r="BT105" t="str">
        <v>Desk</v>
      </c>
      <c r="BU105">
        <v>11</v>
      </c>
      <c r="BV105">
        <v>27318</v>
      </c>
      <c r="BW105">
        <v>20</v>
      </c>
      <c r="BX105">
        <v>240398.4</v>
      </c>
      <c r="BY105">
        <v>180570.62</v>
      </c>
      <c r="BZ105">
        <v>59827.78</v>
      </c>
      <c r="CA105" t="str">
        <v>Cash</v>
      </c>
      <c r="CB105">
        <v>10</v>
      </c>
      <c r="CC105">
        <v>2.9</v>
      </c>
      <c r="CD105" t="b">
        <f>COUNTIF(Sales_Data!E:E,Sales_Data!E105)&gt;1</f>
        <v>1</v>
      </c>
      <c r="CE105">
        <f>SUM(Sales_Data!$K$2:'Sales_Data'!K105)</f>
        <v>26570824.199999992</v>
      </c>
      <c r="CF105">
        <f t="shared" si="27"/>
        <v>440288.99999999994</v>
      </c>
      <c r="CG105" t="str">
        <f>CHOOSE(MATCH(C105,{"North","West","South","East"},0),"Zone 1","Zone 2","Zone 3","Zone 4")</f>
        <v>Zone 3</v>
      </c>
      <c r="CH105" t="str" cm="1">
        <f t="array" ref="CH105">_xlfn.SWITCH(N105,"Card","Card Payment","UPI", "UPI Payment","Cash","Cash Payment","NetBanking", "NetBanking Payment", "Unknown")</f>
        <v>UPI Payment</v>
      </c>
      <c r="CI105" t="str" cm="1">
        <f t="array" ref="CI105">_xlfn.IFS(Sales_Data!J105&lt;=5,"Low",Sales_Data!J105&lt;=10,"Medium",Sales_Data!J105&gt;10,"High")</f>
        <v>Low</v>
      </c>
    </row>
    <row r="106" spans="1:87" x14ac:dyDescent="0.3">
      <c r="A106">
        <v>1106</v>
      </c>
      <c r="B106" s="1">
        <v>45369</v>
      </c>
      <c r="C106" t="s">
        <v>33</v>
      </c>
      <c r="D106" t="s">
        <v>31</v>
      </c>
      <c r="E106" t="s">
        <v>73</v>
      </c>
      <c r="F106" t="s">
        <v>25</v>
      </c>
      <c r="G106" t="s">
        <v>26</v>
      </c>
      <c r="H106">
        <v>2</v>
      </c>
      <c r="I106">
        <v>3302</v>
      </c>
      <c r="J106">
        <v>0</v>
      </c>
      <c r="K106">
        <v>6604</v>
      </c>
      <c r="L106">
        <v>5538.38</v>
      </c>
      <c r="M106">
        <v>1065.6199999999999</v>
      </c>
      <c r="N106" t="s">
        <v>48</v>
      </c>
      <c r="O106">
        <v>7</v>
      </c>
      <c r="P106">
        <v>3</v>
      </c>
      <c r="Q106">
        <f t="shared" si="15"/>
        <v>197</v>
      </c>
      <c r="R106" t="str">
        <f t="shared" si="16"/>
        <v>Keyboard</v>
      </c>
      <c r="S106" t="e">
        <f t="shared" si="17"/>
        <v>#N/A</v>
      </c>
      <c r="AK106">
        <v>1026</v>
      </c>
      <c r="AL106">
        <v>45725</v>
      </c>
      <c r="AM106" t="str">
        <v>South</v>
      </c>
      <c r="AN106" t="str">
        <v>Neha</v>
      </c>
      <c r="AO106" t="str">
        <v>Customer_44</v>
      </c>
      <c r="AP106" t="str">
        <v>Electronics</v>
      </c>
      <c r="AQ106" t="str">
        <v>Desk</v>
      </c>
      <c r="AR106">
        <v>9</v>
      </c>
      <c r="AS106">
        <v>22006</v>
      </c>
      <c r="AT106">
        <v>0</v>
      </c>
      <c r="AU106">
        <v>198054</v>
      </c>
      <c r="AV106">
        <v>145298.1</v>
      </c>
      <c r="AW106">
        <v>52755.9</v>
      </c>
      <c r="AX106" t="str">
        <v>UPI</v>
      </c>
      <c r="AY106">
        <v>10</v>
      </c>
      <c r="AZ106">
        <v>3.6</v>
      </c>
      <c r="BA106">
        <v>104</v>
      </c>
      <c r="BB106" t="str">
        <v>Desk</v>
      </c>
      <c r="BC106" s="6">
        <f t="shared" si="18"/>
        <v>1</v>
      </c>
      <c r="BD106" t="str">
        <f t="shared" si="19"/>
        <v/>
      </c>
      <c r="BE106" s="8">
        <f t="shared" si="20"/>
        <v>0.16135978195033313</v>
      </c>
      <c r="BF106" t="str">
        <v>Customer_35</v>
      </c>
      <c r="BG106" t="str">
        <f t="shared" si="21"/>
        <v>East-Keyboard</v>
      </c>
      <c r="BH106">
        <f t="shared" si="22"/>
        <v>2024</v>
      </c>
      <c r="BI106" t="str">
        <f t="shared" si="23"/>
        <v>March</v>
      </c>
      <c r="BJ106">
        <f t="shared" ca="1" si="14"/>
        <v>598</v>
      </c>
      <c r="BK106" s="8">
        <f t="shared" si="24"/>
        <v>0.16135978195033313</v>
      </c>
      <c r="BL106">
        <f t="shared" si="25"/>
        <v>23829</v>
      </c>
      <c r="BM106">
        <f t="shared" si="26"/>
        <v>47</v>
      </c>
      <c r="BN106">
        <v>1105</v>
      </c>
      <c r="BO106">
        <v>45443</v>
      </c>
      <c r="BP106" t="str">
        <v>South</v>
      </c>
      <c r="BQ106" t="str">
        <v>Neha</v>
      </c>
      <c r="BR106" t="str">
        <v>Customer_37</v>
      </c>
      <c r="BS106" t="str">
        <v>Furniture</v>
      </c>
      <c r="BT106" t="str">
        <v>Chair</v>
      </c>
      <c r="BU106">
        <v>9</v>
      </c>
      <c r="BV106">
        <v>42540</v>
      </c>
      <c r="BW106">
        <v>0</v>
      </c>
      <c r="BX106">
        <v>382860</v>
      </c>
      <c r="BY106">
        <v>290496.99</v>
      </c>
      <c r="BZ106">
        <v>92363.01</v>
      </c>
      <c r="CA106" t="str">
        <v>UPI</v>
      </c>
      <c r="CB106">
        <v>7</v>
      </c>
      <c r="CC106">
        <v>3</v>
      </c>
      <c r="CD106" t="b">
        <f>COUNTIF(Sales_Data!E:E,Sales_Data!E106)&gt;1</f>
        <v>1</v>
      </c>
      <c r="CE106">
        <f>SUM(Sales_Data!$K$2:'Sales_Data'!K106)</f>
        <v>26577428.199999992</v>
      </c>
      <c r="CF106">
        <f t="shared" si="27"/>
        <v>7594.5999999999995</v>
      </c>
      <c r="CG106" t="str">
        <f>CHOOSE(MATCH(C106,{"North","West","South","East"},0),"Zone 1","Zone 2","Zone 3","Zone 4")</f>
        <v>Zone 4</v>
      </c>
      <c r="CH106" t="str" cm="1">
        <f t="array" ref="CH106">_xlfn.SWITCH(N106,"Card","Card Payment","UPI", "UPI Payment","Cash","Cash Payment","NetBanking", "NetBanking Payment", "Unknown")</f>
        <v>NetBanking Payment</v>
      </c>
      <c r="CI106" t="str" cm="1">
        <f t="array" ref="CI106">_xlfn.IFS(Sales_Data!J106&lt;=5,"Low",Sales_Data!J106&lt;=10,"Medium",Sales_Data!J106&gt;10,"High")</f>
        <v>Low</v>
      </c>
    </row>
    <row r="107" spans="1:87" x14ac:dyDescent="0.3">
      <c r="A107">
        <v>1107</v>
      </c>
      <c r="B107" s="1">
        <v>45763</v>
      </c>
      <c r="C107" t="s">
        <v>50</v>
      </c>
      <c r="D107" t="s">
        <v>57</v>
      </c>
      <c r="E107" t="s">
        <v>88</v>
      </c>
      <c r="F107" t="s">
        <v>25</v>
      </c>
      <c r="G107" t="s">
        <v>36</v>
      </c>
      <c r="H107">
        <v>9</v>
      </c>
      <c r="I107">
        <v>20779</v>
      </c>
      <c r="J107">
        <v>0</v>
      </c>
      <c r="K107">
        <v>187011</v>
      </c>
      <c r="L107">
        <v>128903.27</v>
      </c>
      <c r="M107">
        <v>58107.73</v>
      </c>
      <c r="N107" t="s">
        <v>48</v>
      </c>
      <c r="O107">
        <v>2</v>
      </c>
      <c r="P107">
        <v>3.4</v>
      </c>
      <c r="Q107">
        <f t="shared" si="15"/>
        <v>97</v>
      </c>
      <c r="R107" t="str">
        <f t="shared" si="16"/>
        <v>Laptop</v>
      </c>
      <c r="S107" t="e">
        <f t="shared" si="17"/>
        <v>#N/A</v>
      </c>
      <c r="AK107">
        <v>1024</v>
      </c>
      <c r="AL107">
        <v>45746</v>
      </c>
      <c r="AM107" t="str">
        <v>North</v>
      </c>
      <c r="AN107" t="str">
        <v>Sneha</v>
      </c>
      <c r="AO107" t="str">
        <v>Customer_11</v>
      </c>
      <c r="AP107" t="str">
        <v>Electronics</v>
      </c>
      <c r="AQ107" t="str">
        <v>Chair</v>
      </c>
      <c r="AR107">
        <v>3</v>
      </c>
      <c r="AS107">
        <v>47470</v>
      </c>
      <c r="AT107">
        <v>10</v>
      </c>
      <c r="AU107">
        <v>128169</v>
      </c>
      <c r="AV107">
        <v>75508.17</v>
      </c>
      <c r="AW107">
        <v>52660.83</v>
      </c>
      <c r="AX107" t="str">
        <v>UPI</v>
      </c>
      <c r="AY107">
        <v>8</v>
      </c>
      <c r="AZ107">
        <v>4.2</v>
      </c>
      <c r="BA107">
        <v>105</v>
      </c>
      <c r="BB107" t="str">
        <v>Chair</v>
      </c>
      <c r="BC107" s="6">
        <f t="shared" si="18"/>
        <v>1</v>
      </c>
      <c r="BD107" t="str">
        <f t="shared" si="19"/>
        <v/>
      </c>
      <c r="BE107" s="8">
        <f t="shared" si="20"/>
        <v>0.3107182465202582</v>
      </c>
      <c r="BF107" t="str">
        <v>Customer_35</v>
      </c>
      <c r="BG107" t="str">
        <f t="shared" si="21"/>
        <v>North-Laptop</v>
      </c>
      <c r="BH107">
        <f t="shared" si="22"/>
        <v>2025</v>
      </c>
      <c r="BI107" t="str">
        <f t="shared" si="23"/>
        <v>April</v>
      </c>
      <c r="BJ107">
        <f t="shared" ca="1" si="14"/>
        <v>316</v>
      </c>
      <c r="BK107" s="8">
        <f t="shared" si="24"/>
        <v>0.3107182465202582</v>
      </c>
      <c r="BL107">
        <f t="shared" si="25"/>
        <v>30283</v>
      </c>
      <c r="BM107">
        <f t="shared" si="26"/>
        <v>107</v>
      </c>
      <c r="BN107">
        <v>1106</v>
      </c>
      <c r="BO107">
        <v>45369</v>
      </c>
      <c r="BP107" t="str">
        <v>East</v>
      </c>
      <c r="BQ107" t="str">
        <v>Neha</v>
      </c>
      <c r="BR107" t="str">
        <v>Customer_45</v>
      </c>
      <c r="BS107" t="str">
        <v>Office Supplies</v>
      </c>
      <c r="BT107" t="str">
        <v>Keyboard</v>
      </c>
      <c r="BU107">
        <v>2</v>
      </c>
      <c r="BV107">
        <v>3302</v>
      </c>
      <c r="BW107">
        <v>0</v>
      </c>
      <c r="BX107">
        <v>6604</v>
      </c>
      <c r="BY107">
        <v>5538.38</v>
      </c>
      <c r="BZ107">
        <v>1065.6199999999999</v>
      </c>
      <c r="CA107" t="str">
        <v>NetBanking</v>
      </c>
      <c r="CB107">
        <v>7</v>
      </c>
      <c r="CC107">
        <v>3</v>
      </c>
      <c r="CD107" t="b">
        <f>COUNTIF(Sales_Data!E:E,Sales_Data!E107)&gt;1</f>
        <v>1</v>
      </c>
      <c r="CE107">
        <f>SUM(Sales_Data!$K$2:'Sales_Data'!K107)</f>
        <v>26764439.199999992</v>
      </c>
      <c r="CF107">
        <f t="shared" si="27"/>
        <v>215062.65</v>
      </c>
      <c r="CG107" t="str">
        <f>CHOOSE(MATCH(C107,{"North","West","South","East"},0),"Zone 1","Zone 2","Zone 3","Zone 4")</f>
        <v>Zone 1</v>
      </c>
      <c r="CH107" t="str" cm="1">
        <f t="array" ref="CH107">_xlfn.SWITCH(N107,"Card","Card Payment","UPI", "UPI Payment","Cash","Cash Payment","NetBanking", "NetBanking Payment", "Unknown")</f>
        <v>NetBanking Payment</v>
      </c>
      <c r="CI107" t="str" cm="1">
        <f t="array" ref="CI107">_xlfn.IFS(Sales_Data!J107&lt;=5,"Low",Sales_Data!J107&lt;=10,"Medium",Sales_Data!J107&gt;10,"High")</f>
        <v>Low</v>
      </c>
    </row>
    <row r="108" spans="1:87" x14ac:dyDescent="0.3">
      <c r="A108">
        <v>1108</v>
      </c>
      <c r="B108" s="1">
        <v>45482</v>
      </c>
      <c r="C108" t="s">
        <v>16</v>
      </c>
      <c r="D108" t="s">
        <v>39</v>
      </c>
      <c r="E108" t="s">
        <v>53</v>
      </c>
      <c r="F108" t="s">
        <v>19</v>
      </c>
      <c r="G108" t="s">
        <v>47</v>
      </c>
      <c r="H108">
        <v>6</v>
      </c>
      <c r="I108">
        <v>35500</v>
      </c>
      <c r="J108">
        <v>5</v>
      </c>
      <c r="K108">
        <v>202350</v>
      </c>
      <c r="L108">
        <v>152822.1</v>
      </c>
      <c r="M108">
        <v>49527.9</v>
      </c>
      <c r="N108" t="s">
        <v>27</v>
      </c>
      <c r="O108">
        <v>1</v>
      </c>
      <c r="P108">
        <v>4.8</v>
      </c>
      <c r="Q108">
        <f t="shared" si="15"/>
        <v>108</v>
      </c>
      <c r="R108" t="str">
        <f t="shared" si="16"/>
        <v>Monitor</v>
      </c>
      <c r="S108" t="e">
        <f t="shared" si="17"/>
        <v>#N/A</v>
      </c>
      <c r="AK108">
        <v>1007</v>
      </c>
      <c r="AL108">
        <v>45551</v>
      </c>
      <c r="AM108" t="str">
        <v>South</v>
      </c>
      <c r="AN108" t="str">
        <v>Neha</v>
      </c>
      <c r="AO108" t="str">
        <v>Customer_12</v>
      </c>
      <c r="AP108" t="str">
        <v>Furniture</v>
      </c>
      <c r="AQ108" t="str">
        <v>Keyboard</v>
      </c>
      <c r="AR108">
        <v>8</v>
      </c>
      <c r="AS108">
        <v>24791</v>
      </c>
      <c r="AT108">
        <v>5</v>
      </c>
      <c r="AU108">
        <v>188411.6</v>
      </c>
      <c r="AV108">
        <v>136789.64000000001</v>
      </c>
      <c r="AW108">
        <v>51621.96</v>
      </c>
      <c r="AX108" t="str">
        <v>UPI</v>
      </c>
      <c r="AY108">
        <v>2</v>
      </c>
      <c r="AZ108">
        <v>2.7</v>
      </c>
      <c r="BA108">
        <v>106</v>
      </c>
      <c r="BB108" t="str">
        <v>Keyboard</v>
      </c>
      <c r="BC108" s="6">
        <f t="shared" si="18"/>
        <v>2</v>
      </c>
      <c r="BD108" t="str">
        <f t="shared" si="19"/>
        <v/>
      </c>
      <c r="BE108" s="8">
        <f t="shared" si="20"/>
        <v>0.24476352853965902</v>
      </c>
      <c r="BF108" t="str">
        <v>Customer_35</v>
      </c>
      <c r="BG108" t="str">
        <f t="shared" si="21"/>
        <v>West-Monitor</v>
      </c>
      <c r="BH108">
        <f t="shared" si="22"/>
        <v>2024</v>
      </c>
      <c r="BI108" t="str">
        <f t="shared" si="23"/>
        <v>July</v>
      </c>
      <c r="BJ108">
        <f t="shared" ca="1" si="14"/>
        <v>517</v>
      </c>
      <c r="BK108" s="8">
        <f t="shared" si="24"/>
        <v>0.24476352853965902</v>
      </c>
      <c r="BL108">
        <f t="shared" si="25"/>
        <v>26687</v>
      </c>
      <c r="BM108">
        <f t="shared" si="26"/>
        <v>15</v>
      </c>
      <c r="BN108">
        <v>1107</v>
      </c>
      <c r="BO108">
        <v>45763</v>
      </c>
      <c r="BP108" t="str">
        <v>North</v>
      </c>
      <c r="BQ108" t="str">
        <v>Megha</v>
      </c>
      <c r="BR108" t="str">
        <v>Customer_50</v>
      </c>
      <c r="BS108" t="str">
        <v>Office Supplies</v>
      </c>
      <c r="BT108" t="str">
        <v>Laptop</v>
      </c>
      <c r="BU108">
        <v>9</v>
      </c>
      <c r="BV108">
        <v>20779</v>
      </c>
      <c r="BW108">
        <v>0</v>
      </c>
      <c r="BX108">
        <v>187011</v>
      </c>
      <c r="BY108">
        <v>128903.27</v>
      </c>
      <c r="BZ108">
        <v>58107.73</v>
      </c>
      <c r="CA108" t="str">
        <v>NetBanking</v>
      </c>
      <c r="CB108">
        <v>2</v>
      </c>
      <c r="CC108">
        <v>3.4</v>
      </c>
      <c r="CD108" t="b">
        <f>COUNTIF(Sales_Data!E:E,Sales_Data!E108)&gt;1</f>
        <v>1</v>
      </c>
      <c r="CE108">
        <f>SUM(Sales_Data!$K$2:'Sales_Data'!K108)</f>
        <v>26966789.199999992</v>
      </c>
      <c r="CF108">
        <f t="shared" si="27"/>
        <v>232702.49999999997</v>
      </c>
      <c r="CG108" t="str">
        <f>CHOOSE(MATCH(C108,{"North","West","South","East"},0),"Zone 1","Zone 2","Zone 3","Zone 4")</f>
        <v>Zone 2</v>
      </c>
      <c r="CH108" t="str" cm="1">
        <f t="array" ref="CH108">_xlfn.SWITCH(N108,"Card","Card Payment","UPI", "UPI Payment","Cash","Cash Payment","NetBanking", "NetBanking Payment", "Unknown")</f>
        <v>UPI Payment</v>
      </c>
      <c r="CI108" t="str" cm="1">
        <f t="array" ref="CI108">_xlfn.IFS(Sales_Data!J108&lt;=5,"Low",Sales_Data!J108&lt;=10,"Medium",Sales_Data!J108&gt;10,"High")</f>
        <v>Low</v>
      </c>
    </row>
    <row r="109" spans="1:87" x14ac:dyDescent="0.3">
      <c r="A109">
        <v>1109</v>
      </c>
      <c r="B109" s="1">
        <v>45617</v>
      </c>
      <c r="C109" t="s">
        <v>22</v>
      </c>
      <c r="D109" t="s">
        <v>42</v>
      </c>
      <c r="E109" t="s">
        <v>86</v>
      </c>
      <c r="F109" t="s">
        <v>19</v>
      </c>
      <c r="G109" t="s">
        <v>41</v>
      </c>
      <c r="H109">
        <v>6</v>
      </c>
      <c r="I109">
        <v>3964</v>
      </c>
      <c r="J109">
        <v>15</v>
      </c>
      <c r="K109">
        <v>20216.400000000001</v>
      </c>
      <c r="L109">
        <v>15242.67</v>
      </c>
      <c r="M109">
        <v>4973.7299999999996</v>
      </c>
      <c r="N109" t="s">
        <v>48</v>
      </c>
      <c r="O109">
        <v>1</v>
      </c>
      <c r="P109">
        <v>3</v>
      </c>
      <c r="Q109">
        <f t="shared" si="15"/>
        <v>186</v>
      </c>
      <c r="R109" t="str">
        <f t="shared" si="16"/>
        <v>Chair</v>
      </c>
      <c r="S109" t="e">
        <f t="shared" si="17"/>
        <v>#N/A</v>
      </c>
      <c r="AK109">
        <v>1052</v>
      </c>
      <c r="AL109">
        <v>45754</v>
      </c>
      <c r="AM109" t="str">
        <v>West</v>
      </c>
      <c r="AN109" t="str">
        <v>Arjun</v>
      </c>
      <c r="AO109" t="str">
        <v>Customer_8</v>
      </c>
      <c r="AP109" t="str">
        <v>Furniture</v>
      </c>
      <c r="AQ109" t="str">
        <v>Printer</v>
      </c>
      <c r="AR109">
        <v>6</v>
      </c>
      <c r="AS109">
        <v>28271</v>
      </c>
      <c r="AT109">
        <v>20</v>
      </c>
      <c r="AU109">
        <v>135700.79999999999</v>
      </c>
      <c r="AV109">
        <v>86148.17</v>
      </c>
      <c r="AW109">
        <v>49552.63</v>
      </c>
      <c r="AX109" t="str">
        <v>Cash</v>
      </c>
      <c r="AY109">
        <v>4</v>
      </c>
      <c r="AZ109">
        <v>4.0999999999999996</v>
      </c>
      <c r="BA109">
        <v>107</v>
      </c>
      <c r="BB109" t="str">
        <v>Printer</v>
      </c>
      <c r="BC109" s="6">
        <f t="shared" si="18"/>
        <v>4</v>
      </c>
      <c r="BD109" t="str">
        <f t="shared" si="19"/>
        <v/>
      </c>
      <c r="BE109" s="8">
        <f t="shared" si="20"/>
        <v>0.24602451475040063</v>
      </c>
      <c r="BF109" t="str">
        <v>Customer_36</v>
      </c>
      <c r="BG109" t="str">
        <f t="shared" si="21"/>
        <v>South-Chair</v>
      </c>
      <c r="BH109">
        <f t="shared" si="22"/>
        <v>2024</v>
      </c>
      <c r="BI109" t="str">
        <f t="shared" si="23"/>
        <v>November</v>
      </c>
      <c r="BJ109">
        <f t="shared" ca="1" si="14"/>
        <v>420</v>
      </c>
      <c r="BK109" s="8">
        <f t="shared" si="24"/>
        <v>0.24602451475040063</v>
      </c>
      <c r="BL109">
        <f t="shared" si="25"/>
        <v>4972</v>
      </c>
      <c r="BM109">
        <f t="shared" si="26"/>
        <v>96</v>
      </c>
      <c r="BN109">
        <v>1108</v>
      </c>
      <c r="BO109">
        <v>45482</v>
      </c>
      <c r="BP109" t="str">
        <v>West</v>
      </c>
      <c r="BQ109" t="str">
        <v>Sneha</v>
      </c>
      <c r="BR109" t="str">
        <v>Customer_10</v>
      </c>
      <c r="BS109" t="str">
        <v>Electronics</v>
      </c>
      <c r="BT109" t="str">
        <v>Monitor</v>
      </c>
      <c r="BU109">
        <v>6</v>
      </c>
      <c r="BV109">
        <v>35500</v>
      </c>
      <c r="BW109">
        <v>5</v>
      </c>
      <c r="BX109">
        <v>202350</v>
      </c>
      <c r="BY109">
        <v>152822.1</v>
      </c>
      <c r="BZ109">
        <v>49527.9</v>
      </c>
      <c r="CA109" t="str">
        <v>UPI</v>
      </c>
      <c r="CB109">
        <v>1</v>
      </c>
      <c r="CC109">
        <v>4.8</v>
      </c>
      <c r="CD109" t="b">
        <f>COUNTIF(Sales_Data!E:E,Sales_Data!E109)&gt;1</f>
        <v>1</v>
      </c>
      <c r="CE109">
        <f>SUM(Sales_Data!$K$2:'Sales_Data'!K109)</f>
        <v>26987005.59999999</v>
      </c>
      <c r="CF109">
        <f t="shared" si="27"/>
        <v>23248.86</v>
      </c>
      <c r="CG109" t="str">
        <f>CHOOSE(MATCH(C109,{"North","West","South","East"},0),"Zone 1","Zone 2","Zone 3","Zone 4")</f>
        <v>Zone 3</v>
      </c>
      <c r="CH109" t="str" cm="1">
        <f t="array" ref="CH109">_xlfn.SWITCH(N109,"Card","Card Payment","UPI", "UPI Payment","Cash","Cash Payment","NetBanking", "NetBanking Payment", "Unknown")</f>
        <v>NetBanking Payment</v>
      </c>
      <c r="CI109" t="str" cm="1">
        <f t="array" ref="CI109">_xlfn.IFS(Sales_Data!J109&lt;=5,"Low",Sales_Data!J109&lt;=10,"Medium",Sales_Data!J109&gt;10,"High")</f>
        <v>High</v>
      </c>
    </row>
    <row r="110" spans="1:87" x14ac:dyDescent="0.3">
      <c r="A110">
        <v>1110</v>
      </c>
      <c r="B110" s="1">
        <v>45632</v>
      </c>
      <c r="C110" t="s">
        <v>50</v>
      </c>
      <c r="D110" t="s">
        <v>23</v>
      </c>
      <c r="E110" t="s">
        <v>69</v>
      </c>
      <c r="F110" t="s">
        <v>35</v>
      </c>
      <c r="G110" t="s">
        <v>36</v>
      </c>
      <c r="H110">
        <v>1</v>
      </c>
      <c r="I110">
        <v>14144</v>
      </c>
      <c r="J110">
        <v>15</v>
      </c>
      <c r="K110">
        <v>12022.4</v>
      </c>
      <c r="L110">
        <v>6995.11</v>
      </c>
      <c r="M110">
        <v>5027.29</v>
      </c>
      <c r="N110" t="s">
        <v>21</v>
      </c>
      <c r="O110">
        <v>1</v>
      </c>
      <c r="P110">
        <v>2.7</v>
      </c>
      <c r="Q110">
        <f t="shared" si="15"/>
        <v>185</v>
      </c>
      <c r="R110" t="str">
        <f t="shared" si="16"/>
        <v>Laptop</v>
      </c>
      <c r="S110" t="e">
        <f t="shared" si="17"/>
        <v>#N/A</v>
      </c>
      <c r="AK110">
        <v>1108</v>
      </c>
      <c r="AL110">
        <v>45482</v>
      </c>
      <c r="AM110" t="str">
        <v>West</v>
      </c>
      <c r="AN110" t="str">
        <v>Sneha</v>
      </c>
      <c r="AO110" t="str">
        <v>Customer_10</v>
      </c>
      <c r="AP110" t="str">
        <v>Electronics</v>
      </c>
      <c r="AQ110" t="str">
        <v>Monitor</v>
      </c>
      <c r="AR110">
        <v>6</v>
      </c>
      <c r="AS110">
        <v>35500</v>
      </c>
      <c r="AT110">
        <v>5</v>
      </c>
      <c r="AU110">
        <v>202350</v>
      </c>
      <c r="AV110">
        <v>152822.1</v>
      </c>
      <c r="AW110">
        <v>49527.9</v>
      </c>
      <c r="AX110" t="str">
        <v>UPI</v>
      </c>
      <c r="AY110">
        <v>1</v>
      </c>
      <c r="AZ110">
        <v>4.8</v>
      </c>
      <c r="BA110">
        <v>108</v>
      </c>
      <c r="BB110" t="str">
        <v>Monitor</v>
      </c>
      <c r="BC110" s="6">
        <f t="shared" si="18"/>
        <v>4</v>
      </c>
      <c r="BD110" t="str">
        <f t="shared" si="19"/>
        <v/>
      </c>
      <c r="BE110" s="8">
        <f t="shared" si="20"/>
        <v>0.41816026750066543</v>
      </c>
      <c r="BF110" t="str">
        <v>Customer_36</v>
      </c>
      <c r="BG110" t="str">
        <f t="shared" si="21"/>
        <v>North-Laptop</v>
      </c>
      <c r="BH110">
        <f t="shared" si="22"/>
        <v>2024</v>
      </c>
      <c r="BI110" t="str">
        <f t="shared" si="23"/>
        <v>December</v>
      </c>
      <c r="BJ110">
        <f t="shared" ca="1" si="14"/>
        <v>409</v>
      </c>
      <c r="BK110" s="8">
        <f t="shared" si="24"/>
        <v>0.41816026750066543</v>
      </c>
      <c r="BL110">
        <f t="shared" si="25"/>
        <v>30283</v>
      </c>
      <c r="BM110">
        <f t="shared" si="26"/>
        <v>38</v>
      </c>
      <c r="BN110">
        <v>1109</v>
      </c>
      <c r="BO110">
        <v>45617</v>
      </c>
      <c r="BP110" t="str">
        <v>South</v>
      </c>
      <c r="BQ110" t="str">
        <v>Priya</v>
      </c>
      <c r="BR110" t="str">
        <v>Customer_48</v>
      </c>
      <c r="BS110" t="str">
        <v>Electronics</v>
      </c>
      <c r="BT110" t="str">
        <v>Chair</v>
      </c>
      <c r="BU110">
        <v>6</v>
      </c>
      <c r="BV110">
        <v>3964</v>
      </c>
      <c r="BW110">
        <v>15</v>
      </c>
      <c r="BX110">
        <v>20216.400000000001</v>
      </c>
      <c r="BY110">
        <v>15242.67</v>
      </c>
      <c r="BZ110">
        <v>4973.7299999999996</v>
      </c>
      <c r="CA110" t="str">
        <v>NetBanking</v>
      </c>
      <c r="CB110">
        <v>1</v>
      </c>
      <c r="CC110">
        <v>3</v>
      </c>
      <c r="CD110" t="b">
        <f>COUNTIF(Sales_Data!E:E,Sales_Data!E110)&gt;1</f>
        <v>1</v>
      </c>
      <c r="CE110">
        <f>SUM(Sales_Data!$K$2:'Sales_Data'!K110)</f>
        <v>26999027.999999989</v>
      </c>
      <c r="CF110">
        <f t="shared" si="27"/>
        <v>13825.759999999998</v>
      </c>
      <c r="CG110" t="str">
        <f>CHOOSE(MATCH(C110,{"North","West","South","East"},0),"Zone 1","Zone 2","Zone 3","Zone 4")</f>
        <v>Zone 1</v>
      </c>
      <c r="CH110" t="str" cm="1">
        <f t="array" ref="CH110">_xlfn.SWITCH(N110,"Card","Card Payment","UPI", "UPI Payment","Cash","Cash Payment","NetBanking", "NetBanking Payment", "Unknown")</f>
        <v>Card Payment</v>
      </c>
      <c r="CI110" t="str" cm="1">
        <f t="array" ref="CI110">_xlfn.IFS(Sales_Data!J110&lt;=5,"Low",Sales_Data!J110&lt;=10,"Medium",Sales_Data!J110&gt;10,"High")</f>
        <v>High</v>
      </c>
    </row>
    <row r="111" spans="1:87" x14ac:dyDescent="0.3">
      <c r="A111">
        <v>1111</v>
      </c>
      <c r="B111" s="1">
        <v>45456</v>
      </c>
      <c r="C111" t="s">
        <v>33</v>
      </c>
      <c r="D111" t="s">
        <v>31</v>
      </c>
      <c r="E111" t="s">
        <v>89</v>
      </c>
      <c r="F111" t="s">
        <v>25</v>
      </c>
      <c r="G111" t="s">
        <v>65</v>
      </c>
      <c r="H111">
        <v>6</v>
      </c>
      <c r="I111">
        <v>11520</v>
      </c>
      <c r="J111">
        <v>20</v>
      </c>
      <c r="K111">
        <v>55296</v>
      </c>
      <c r="L111">
        <v>34058.68</v>
      </c>
      <c r="M111">
        <v>21237.32</v>
      </c>
      <c r="N111" t="s">
        <v>48</v>
      </c>
      <c r="O111">
        <v>9</v>
      </c>
      <c r="P111">
        <v>2.5</v>
      </c>
      <c r="Q111">
        <f t="shared" si="15"/>
        <v>147</v>
      </c>
      <c r="R111" t="str">
        <f t="shared" si="16"/>
        <v>Mouse</v>
      </c>
      <c r="S111" t="e">
        <f t="shared" si="17"/>
        <v>#N/A</v>
      </c>
      <c r="AK111">
        <v>1046</v>
      </c>
      <c r="AL111">
        <v>45393</v>
      </c>
      <c r="AM111" t="str">
        <v>East</v>
      </c>
      <c r="AN111" t="str">
        <v>Sneha</v>
      </c>
      <c r="AO111" t="str">
        <v>Customer_10</v>
      </c>
      <c r="AP111" t="str">
        <v>Electronics</v>
      </c>
      <c r="AQ111" t="str">
        <v>Monitor</v>
      </c>
      <c r="AR111">
        <v>17</v>
      </c>
      <c r="AS111">
        <v>9504</v>
      </c>
      <c r="AT111">
        <v>0</v>
      </c>
      <c r="AU111">
        <v>161568</v>
      </c>
      <c r="AV111">
        <v>112164.42</v>
      </c>
      <c r="AW111">
        <v>49403.58</v>
      </c>
      <c r="AX111" t="str">
        <v>Cash</v>
      </c>
      <c r="AY111">
        <v>3</v>
      </c>
      <c r="AZ111">
        <v>3.6</v>
      </c>
      <c r="BA111">
        <v>109</v>
      </c>
      <c r="BB111" t="str">
        <v>Monitor</v>
      </c>
      <c r="BC111" s="6">
        <f t="shared" si="18"/>
        <v>2</v>
      </c>
      <c r="BD111" t="str">
        <f t="shared" si="19"/>
        <v/>
      </c>
      <c r="BE111" s="8">
        <f t="shared" si="20"/>
        <v>0.38406611689814812</v>
      </c>
      <c r="BF111" t="str">
        <v>Customer_37</v>
      </c>
      <c r="BG111" t="str">
        <f t="shared" si="21"/>
        <v>East-Mouse</v>
      </c>
      <c r="BH111">
        <f t="shared" si="22"/>
        <v>2024</v>
      </c>
      <c r="BI111" t="str">
        <f t="shared" si="23"/>
        <v>June</v>
      </c>
      <c r="BJ111">
        <f t="shared" ca="1" si="14"/>
        <v>535</v>
      </c>
      <c r="BK111" s="8">
        <f t="shared" si="24"/>
        <v>0.38406611689814812</v>
      </c>
      <c r="BL111">
        <f t="shared" si="25"/>
        <v>41775</v>
      </c>
      <c r="BM111">
        <f t="shared" si="26"/>
        <v>111</v>
      </c>
      <c r="BN111">
        <v>1110</v>
      </c>
      <c r="BO111">
        <v>45632</v>
      </c>
      <c r="BP111" t="str">
        <v>North</v>
      </c>
      <c r="BQ111" t="str">
        <v>Karan</v>
      </c>
      <c r="BR111" t="str">
        <v>Customer_38</v>
      </c>
      <c r="BS111" t="str">
        <v>Furniture</v>
      </c>
      <c r="BT111" t="str">
        <v>Laptop</v>
      </c>
      <c r="BU111">
        <v>1</v>
      </c>
      <c r="BV111">
        <v>14144</v>
      </c>
      <c r="BW111">
        <v>15</v>
      </c>
      <c r="BX111">
        <v>12022.4</v>
      </c>
      <c r="BY111">
        <v>6995.11</v>
      </c>
      <c r="BZ111">
        <v>5027.29</v>
      </c>
      <c r="CA111" t="str">
        <v>Card</v>
      </c>
      <c r="CB111">
        <v>1</v>
      </c>
      <c r="CC111">
        <v>2.7</v>
      </c>
      <c r="CD111" t="b">
        <f>COUNTIF(Sales_Data!E:E,Sales_Data!E111)&gt;1</f>
        <v>1</v>
      </c>
      <c r="CE111">
        <f>SUM(Sales_Data!$K$2:'Sales_Data'!K111)</f>
        <v>27054323.999999989</v>
      </c>
      <c r="CF111">
        <f t="shared" si="27"/>
        <v>63590.399999999994</v>
      </c>
      <c r="CG111" t="str">
        <f>CHOOSE(MATCH(C111,{"North","West","South","East"},0),"Zone 1","Zone 2","Zone 3","Zone 4")</f>
        <v>Zone 4</v>
      </c>
      <c r="CH111" t="str" cm="1">
        <f t="array" ref="CH111">_xlfn.SWITCH(N111,"Card","Card Payment","UPI", "UPI Payment","Cash","Cash Payment","NetBanking", "NetBanking Payment", "Unknown")</f>
        <v>NetBanking Payment</v>
      </c>
      <c r="CI111" t="str" cm="1">
        <f t="array" ref="CI111">_xlfn.IFS(Sales_Data!J111&lt;=5,"Low",Sales_Data!J111&lt;=10,"Medium",Sales_Data!J111&gt;10,"High")</f>
        <v>High</v>
      </c>
    </row>
    <row r="112" spans="1:87" x14ac:dyDescent="0.3">
      <c r="A112">
        <v>1112</v>
      </c>
      <c r="B112" s="1">
        <v>45735</v>
      </c>
      <c r="C112" t="s">
        <v>33</v>
      </c>
      <c r="D112" t="s">
        <v>42</v>
      </c>
      <c r="E112" t="s">
        <v>88</v>
      </c>
      <c r="F112" t="s">
        <v>25</v>
      </c>
      <c r="G112" t="s">
        <v>36</v>
      </c>
      <c r="H112">
        <v>7</v>
      </c>
      <c r="I112">
        <v>29354</v>
      </c>
      <c r="J112">
        <v>10</v>
      </c>
      <c r="K112">
        <v>184930.2</v>
      </c>
      <c r="L112">
        <v>127141.61</v>
      </c>
      <c r="M112">
        <v>57788.59</v>
      </c>
      <c r="N112" t="s">
        <v>48</v>
      </c>
      <c r="O112">
        <v>1</v>
      </c>
      <c r="P112">
        <v>3.5</v>
      </c>
      <c r="Q112">
        <f t="shared" si="15"/>
        <v>98</v>
      </c>
      <c r="R112" t="str">
        <f t="shared" si="16"/>
        <v>Laptop</v>
      </c>
      <c r="S112" t="e">
        <f t="shared" si="17"/>
        <v>#N/A</v>
      </c>
      <c r="AK112">
        <v>1140</v>
      </c>
      <c r="AL112">
        <v>45339</v>
      </c>
      <c r="AM112" t="str">
        <v>West</v>
      </c>
      <c r="AN112" t="str">
        <v>Priya</v>
      </c>
      <c r="AO112" t="str">
        <v>Customer_7</v>
      </c>
      <c r="AP112" t="str">
        <v>Office Supplies</v>
      </c>
      <c r="AQ112" t="str">
        <v>Mouse</v>
      </c>
      <c r="AR112">
        <v>6</v>
      </c>
      <c r="AS112">
        <v>42004</v>
      </c>
      <c r="AT112">
        <v>15</v>
      </c>
      <c r="AU112">
        <v>214220.4</v>
      </c>
      <c r="AV112">
        <v>165094.68</v>
      </c>
      <c r="AW112">
        <v>49125.72</v>
      </c>
      <c r="AX112" t="str">
        <v>Card</v>
      </c>
      <c r="AY112">
        <v>6</v>
      </c>
      <c r="AZ112">
        <v>4.5999999999999996</v>
      </c>
      <c r="BA112">
        <v>110</v>
      </c>
      <c r="BB112" t="str">
        <v>Mouse</v>
      </c>
      <c r="BC112" s="6">
        <f t="shared" si="18"/>
        <v>1</v>
      </c>
      <c r="BD112" t="str">
        <f t="shared" si="19"/>
        <v/>
      </c>
      <c r="BE112" s="8">
        <f t="shared" si="20"/>
        <v>0.31248865788281194</v>
      </c>
      <c r="BF112" t="str">
        <v>Customer_37</v>
      </c>
      <c r="BG112" t="str">
        <f t="shared" si="21"/>
        <v>East-Laptop</v>
      </c>
      <c r="BH112">
        <f t="shared" si="22"/>
        <v>2025</v>
      </c>
      <c r="BI112" t="str">
        <f t="shared" si="23"/>
        <v>March</v>
      </c>
      <c r="BJ112">
        <f t="shared" ca="1" si="14"/>
        <v>336</v>
      </c>
      <c r="BK112" s="8">
        <f t="shared" si="24"/>
        <v>0.31248865788281194</v>
      </c>
      <c r="BL112">
        <f t="shared" si="25"/>
        <v>30283</v>
      </c>
      <c r="BM112">
        <f t="shared" si="26"/>
        <v>107</v>
      </c>
      <c r="BN112">
        <v>1111</v>
      </c>
      <c r="BO112">
        <v>45456</v>
      </c>
      <c r="BP112" t="str">
        <v>East</v>
      </c>
      <c r="BQ112" t="str">
        <v>Neha</v>
      </c>
      <c r="BR112" t="str">
        <v>Customer_23</v>
      </c>
      <c r="BS112" t="str">
        <v>Office Supplies</v>
      </c>
      <c r="BT112" t="str">
        <v>Mouse</v>
      </c>
      <c r="BU112">
        <v>6</v>
      </c>
      <c r="BV112">
        <v>11520</v>
      </c>
      <c r="BW112">
        <v>20</v>
      </c>
      <c r="BX112">
        <v>55296</v>
      </c>
      <c r="BY112">
        <v>34058.68</v>
      </c>
      <c r="BZ112">
        <v>21237.32</v>
      </c>
      <c r="CA112" t="str">
        <v>NetBanking</v>
      </c>
      <c r="CB112">
        <v>9</v>
      </c>
      <c r="CC112">
        <v>2.5</v>
      </c>
      <c r="CD112" t="b">
        <f>COUNTIF(Sales_Data!E:E,Sales_Data!E112)&gt;1</f>
        <v>1</v>
      </c>
      <c r="CE112">
        <f>SUM(Sales_Data!$K$2:'Sales_Data'!K112)</f>
        <v>27239254.199999988</v>
      </c>
      <c r="CF112">
        <f t="shared" si="27"/>
        <v>212669.73</v>
      </c>
      <c r="CG112" t="str">
        <f>CHOOSE(MATCH(C112,{"North","West","South","East"},0),"Zone 1","Zone 2","Zone 3","Zone 4")</f>
        <v>Zone 4</v>
      </c>
      <c r="CH112" t="str" cm="1">
        <f t="array" ref="CH112">_xlfn.SWITCH(N112,"Card","Card Payment","UPI", "UPI Payment","Cash","Cash Payment","NetBanking", "NetBanking Payment", "Unknown")</f>
        <v>NetBanking Payment</v>
      </c>
      <c r="CI112" t="str" cm="1">
        <f t="array" ref="CI112">_xlfn.IFS(Sales_Data!J112&lt;=5,"Low",Sales_Data!J112&lt;=10,"Medium",Sales_Data!J112&gt;10,"High")</f>
        <v>Medium</v>
      </c>
    </row>
    <row r="113" spans="1:87" x14ac:dyDescent="0.3">
      <c r="A113">
        <v>1113</v>
      </c>
      <c r="B113" s="1">
        <v>45545</v>
      </c>
      <c r="C113" t="s">
        <v>16</v>
      </c>
      <c r="D113" t="s">
        <v>17</v>
      </c>
      <c r="E113" t="s">
        <v>90</v>
      </c>
      <c r="F113" t="s">
        <v>35</v>
      </c>
      <c r="G113" t="s">
        <v>65</v>
      </c>
      <c r="H113">
        <v>3</v>
      </c>
      <c r="I113">
        <v>31317</v>
      </c>
      <c r="J113">
        <v>15</v>
      </c>
      <c r="K113">
        <v>79858.350000000006</v>
      </c>
      <c r="L113">
        <v>56104.21</v>
      </c>
      <c r="M113">
        <v>23754.14</v>
      </c>
      <c r="N113" t="s">
        <v>21</v>
      </c>
      <c r="O113">
        <v>9</v>
      </c>
      <c r="P113">
        <v>3.6</v>
      </c>
      <c r="Q113">
        <f t="shared" si="15"/>
        <v>140</v>
      </c>
      <c r="R113" t="str">
        <f t="shared" si="16"/>
        <v>Mouse</v>
      </c>
      <c r="S113" t="e">
        <f t="shared" si="17"/>
        <v>#N/A</v>
      </c>
      <c r="AK113">
        <v>1118</v>
      </c>
      <c r="AL113">
        <v>45626</v>
      </c>
      <c r="AM113" t="str">
        <v>West</v>
      </c>
      <c r="AN113" t="str">
        <v>Priya</v>
      </c>
      <c r="AO113" t="str">
        <v>Customer_12</v>
      </c>
      <c r="AP113" t="str">
        <v>Furniture</v>
      </c>
      <c r="AQ113" t="str">
        <v>Desk</v>
      </c>
      <c r="AR113">
        <v>19</v>
      </c>
      <c r="AS113">
        <v>9389</v>
      </c>
      <c r="AT113">
        <v>15</v>
      </c>
      <c r="AU113">
        <v>151632.35</v>
      </c>
      <c r="AV113">
        <v>103056.25</v>
      </c>
      <c r="AW113">
        <v>48576.1</v>
      </c>
      <c r="AX113" t="str">
        <v>NetBanking</v>
      </c>
      <c r="AY113">
        <v>1</v>
      </c>
      <c r="AZ113">
        <v>4.5</v>
      </c>
      <c r="BA113">
        <v>111</v>
      </c>
      <c r="BB113" t="str">
        <v>Desk</v>
      </c>
      <c r="BC113" s="6">
        <f t="shared" si="18"/>
        <v>3</v>
      </c>
      <c r="BD113" t="str">
        <f t="shared" si="19"/>
        <v/>
      </c>
      <c r="BE113" s="8">
        <f t="shared" si="20"/>
        <v>0.29745342847679668</v>
      </c>
      <c r="BF113" t="str">
        <v>Customer_37</v>
      </c>
      <c r="BG113" t="str">
        <f t="shared" si="21"/>
        <v>West-Mouse</v>
      </c>
      <c r="BH113">
        <f t="shared" si="22"/>
        <v>2024</v>
      </c>
      <c r="BI113" t="str">
        <f t="shared" si="23"/>
        <v>September</v>
      </c>
      <c r="BJ113">
        <f t="shared" ca="1" si="14"/>
        <v>472</v>
      </c>
      <c r="BK113" s="8">
        <f t="shared" si="24"/>
        <v>0.29745342847679668</v>
      </c>
      <c r="BL113">
        <f t="shared" si="25"/>
        <v>41775</v>
      </c>
      <c r="BM113">
        <f t="shared" si="26"/>
        <v>113</v>
      </c>
      <c r="BN113">
        <v>1112</v>
      </c>
      <c r="BO113">
        <v>45735</v>
      </c>
      <c r="BP113" t="str">
        <v>East</v>
      </c>
      <c r="BQ113" t="str">
        <v>Priya</v>
      </c>
      <c r="BR113" t="str">
        <v>Customer_50</v>
      </c>
      <c r="BS113" t="str">
        <v>Office Supplies</v>
      </c>
      <c r="BT113" t="str">
        <v>Laptop</v>
      </c>
      <c r="BU113">
        <v>7</v>
      </c>
      <c r="BV113">
        <v>29354</v>
      </c>
      <c r="BW113">
        <v>10</v>
      </c>
      <c r="BX113">
        <v>184930.2</v>
      </c>
      <c r="BY113">
        <v>127141.61</v>
      </c>
      <c r="BZ113">
        <v>57788.59</v>
      </c>
      <c r="CA113" t="str">
        <v>NetBanking</v>
      </c>
      <c r="CB113">
        <v>1</v>
      </c>
      <c r="CC113">
        <v>3.5</v>
      </c>
      <c r="CD113" t="b">
        <f>COUNTIF(Sales_Data!E:E,Sales_Data!E113)&gt;1</f>
        <v>1</v>
      </c>
      <c r="CE113">
        <f>SUM(Sales_Data!$K$2:'Sales_Data'!K113)</f>
        <v>27319112.54999999</v>
      </c>
      <c r="CF113">
        <f t="shared" si="27"/>
        <v>91837.102499999994</v>
      </c>
      <c r="CG113" t="str">
        <f>CHOOSE(MATCH(C113,{"North","West","South","East"},0),"Zone 1","Zone 2","Zone 3","Zone 4")</f>
        <v>Zone 2</v>
      </c>
      <c r="CH113" t="str" cm="1">
        <f t="array" ref="CH113">_xlfn.SWITCH(N113,"Card","Card Payment","UPI", "UPI Payment","Cash","Cash Payment","NetBanking", "NetBanking Payment", "Unknown")</f>
        <v>Card Payment</v>
      </c>
      <c r="CI113" t="str" cm="1">
        <f t="array" ref="CI113">_xlfn.IFS(Sales_Data!J113&lt;=5,"Low",Sales_Data!J113&lt;=10,"Medium",Sales_Data!J113&gt;10,"High")</f>
        <v>High</v>
      </c>
    </row>
    <row r="114" spans="1:87" x14ac:dyDescent="0.3">
      <c r="A114">
        <v>1114</v>
      </c>
      <c r="B114" s="1">
        <v>45555</v>
      </c>
      <c r="C114" t="s">
        <v>16</v>
      </c>
      <c r="D114" t="s">
        <v>23</v>
      </c>
      <c r="E114" t="s">
        <v>59</v>
      </c>
      <c r="F114" t="s">
        <v>19</v>
      </c>
      <c r="G114" t="s">
        <v>65</v>
      </c>
      <c r="H114">
        <v>19</v>
      </c>
      <c r="I114">
        <v>19693</v>
      </c>
      <c r="J114">
        <v>20</v>
      </c>
      <c r="K114">
        <v>299333.59999999998</v>
      </c>
      <c r="L114">
        <v>186352.34</v>
      </c>
      <c r="M114">
        <v>112981.26</v>
      </c>
      <c r="N114" t="s">
        <v>48</v>
      </c>
      <c r="O114">
        <v>6</v>
      </c>
      <c r="P114">
        <v>2.5</v>
      </c>
      <c r="Q114">
        <f t="shared" si="15"/>
        <v>45</v>
      </c>
      <c r="R114" t="str">
        <f t="shared" si="16"/>
        <v>Mouse</v>
      </c>
      <c r="S114" t="e">
        <f t="shared" si="17"/>
        <v>#N/A</v>
      </c>
      <c r="AK114">
        <v>1084</v>
      </c>
      <c r="AL114">
        <v>45413</v>
      </c>
      <c r="AM114" t="str">
        <v>West</v>
      </c>
      <c r="AN114" t="str">
        <v>Neha</v>
      </c>
      <c r="AO114" t="str">
        <v>Customer_19</v>
      </c>
      <c r="AP114" t="str">
        <v>Office Supplies</v>
      </c>
      <c r="AQ114" t="str">
        <v>Chair</v>
      </c>
      <c r="AR114">
        <v>12</v>
      </c>
      <c r="AS114">
        <v>20185</v>
      </c>
      <c r="AT114">
        <v>0</v>
      </c>
      <c r="AU114">
        <v>242220</v>
      </c>
      <c r="AV114">
        <v>194664.34</v>
      </c>
      <c r="AW114">
        <v>47555.66</v>
      </c>
      <c r="AX114" t="str">
        <v>Card</v>
      </c>
      <c r="AY114">
        <v>8</v>
      </c>
      <c r="AZ114">
        <v>4.5999999999999996</v>
      </c>
      <c r="BA114">
        <v>112</v>
      </c>
      <c r="BB114" t="str">
        <v>Chair</v>
      </c>
      <c r="BC114" s="6">
        <f t="shared" si="18"/>
        <v>3</v>
      </c>
      <c r="BD114" t="str">
        <f t="shared" si="19"/>
        <v>Bonus!</v>
      </c>
      <c r="BE114" s="8">
        <f t="shared" si="20"/>
        <v>0.37744262588630212</v>
      </c>
      <c r="BF114" t="str">
        <v>Customer_37</v>
      </c>
      <c r="BG114" t="str">
        <f t="shared" si="21"/>
        <v>West-Mouse</v>
      </c>
      <c r="BH114">
        <f t="shared" si="22"/>
        <v>2024</v>
      </c>
      <c r="BI114" t="str">
        <f t="shared" si="23"/>
        <v>September</v>
      </c>
      <c r="BJ114">
        <f t="shared" ca="1" si="14"/>
        <v>464</v>
      </c>
      <c r="BK114" s="8">
        <f t="shared" si="24"/>
        <v>0.37744262588630212</v>
      </c>
      <c r="BL114">
        <f t="shared" si="25"/>
        <v>41775</v>
      </c>
      <c r="BM114">
        <f t="shared" si="26"/>
        <v>20</v>
      </c>
      <c r="BN114">
        <v>1113</v>
      </c>
      <c r="BO114">
        <v>45545</v>
      </c>
      <c r="BP114" t="str">
        <v>West</v>
      </c>
      <c r="BQ114" t="str">
        <v>Rohan</v>
      </c>
      <c r="BR114" t="str">
        <v>Customer_27</v>
      </c>
      <c r="BS114" t="str">
        <v>Furniture</v>
      </c>
      <c r="BT114" t="str">
        <v>Mouse</v>
      </c>
      <c r="BU114">
        <v>3</v>
      </c>
      <c r="BV114">
        <v>31317</v>
      </c>
      <c r="BW114">
        <v>15</v>
      </c>
      <c r="BX114">
        <v>79858.350000000006</v>
      </c>
      <c r="BY114">
        <v>56104.21</v>
      </c>
      <c r="BZ114">
        <v>23754.14</v>
      </c>
      <c r="CA114" t="str">
        <v>Card</v>
      </c>
      <c r="CB114">
        <v>9</v>
      </c>
      <c r="CC114">
        <v>3.6</v>
      </c>
      <c r="CD114" t="b">
        <f>COUNTIF(Sales_Data!E:E,Sales_Data!E114)&gt;1</f>
        <v>1</v>
      </c>
      <c r="CE114">
        <f>SUM(Sales_Data!$K$2:'Sales_Data'!K114)</f>
        <v>27618446.149999991</v>
      </c>
      <c r="CF114">
        <f t="shared" si="27"/>
        <v>344233.63999999996</v>
      </c>
      <c r="CG114" t="str">
        <f>CHOOSE(MATCH(C114,{"North","West","South","East"},0),"Zone 1","Zone 2","Zone 3","Zone 4")</f>
        <v>Zone 2</v>
      </c>
      <c r="CH114" t="str" cm="1">
        <f t="array" ref="CH114">_xlfn.SWITCH(N114,"Card","Card Payment","UPI", "UPI Payment","Cash","Cash Payment","NetBanking", "NetBanking Payment", "Unknown")</f>
        <v>NetBanking Payment</v>
      </c>
      <c r="CI114" t="str" cm="1">
        <f t="array" ref="CI114">_xlfn.IFS(Sales_Data!J114&lt;=5,"Low",Sales_Data!J114&lt;=10,"Medium",Sales_Data!J114&gt;10,"High")</f>
        <v>High</v>
      </c>
    </row>
    <row r="115" spans="1:87" x14ac:dyDescent="0.3">
      <c r="A115">
        <v>1115</v>
      </c>
      <c r="B115" s="1">
        <v>45506</v>
      </c>
      <c r="C115" t="s">
        <v>50</v>
      </c>
      <c r="D115" t="s">
        <v>17</v>
      </c>
      <c r="E115" t="s">
        <v>66</v>
      </c>
      <c r="F115" t="s">
        <v>19</v>
      </c>
      <c r="G115" t="s">
        <v>65</v>
      </c>
      <c r="H115">
        <v>13</v>
      </c>
      <c r="I115">
        <v>44823</v>
      </c>
      <c r="J115">
        <v>10</v>
      </c>
      <c r="K115">
        <v>524429.1</v>
      </c>
      <c r="L115">
        <v>365810.59</v>
      </c>
      <c r="M115">
        <v>158618.51</v>
      </c>
      <c r="N115" t="s">
        <v>48</v>
      </c>
      <c r="O115">
        <v>1</v>
      </c>
      <c r="P115">
        <v>3.8</v>
      </c>
      <c r="Q115">
        <f t="shared" si="15"/>
        <v>22</v>
      </c>
      <c r="R115" t="str">
        <f t="shared" si="16"/>
        <v>Mouse</v>
      </c>
      <c r="S115" t="e">
        <f t="shared" si="17"/>
        <v>#N/A</v>
      </c>
      <c r="AK115">
        <v>1152</v>
      </c>
      <c r="AL115">
        <v>45418</v>
      </c>
      <c r="AM115" t="str">
        <v>South</v>
      </c>
      <c r="AN115" t="str">
        <v>Neha</v>
      </c>
      <c r="AO115" t="str">
        <v>Customer_7</v>
      </c>
      <c r="AP115" t="str">
        <v>Office Supplies</v>
      </c>
      <c r="AQ115" t="str">
        <v>Desk</v>
      </c>
      <c r="AR115">
        <v>8</v>
      </c>
      <c r="AS115">
        <v>25378</v>
      </c>
      <c r="AT115">
        <v>15</v>
      </c>
      <c r="AU115">
        <v>172570.4</v>
      </c>
      <c r="AV115">
        <v>126705.4</v>
      </c>
      <c r="AW115">
        <v>45865</v>
      </c>
      <c r="AX115" t="str">
        <v>UPI</v>
      </c>
      <c r="AY115">
        <v>6</v>
      </c>
      <c r="AZ115">
        <v>4.5999999999999996</v>
      </c>
      <c r="BA115">
        <v>113</v>
      </c>
      <c r="BB115" t="str">
        <v>Desk</v>
      </c>
      <c r="BC115" s="6">
        <f t="shared" si="18"/>
        <v>3</v>
      </c>
      <c r="BD115" t="str">
        <f t="shared" si="19"/>
        <v>Bonus!</v>
      </c>
      <c r="BE115" s="8">
        <f t="shared" si="20"/>
        <v>0.30245939822942702</v>
      </c>
      <c r="BF115" t="str">
        <v>Customer_37</v>
      </c>
      <c r="BG115" t="str">
        <f t="shared" si="21"/>
        <v>North-Mouse</v>
      </c>
      <c r="BH115">
        <f t="shared" si="22"/>
        <v>2024</v>
      </c>
      <c r="BI115" t="str">
        <f t="shared" si="23"/>
        <v>August</v>
      </c>
      <c r="BJ115">
        <f t="shared" ca="1" si="14"/>
        <v>499</v>
      </c>
      <c r="BK115" s="8">
        <f t="shared" si="24"/>
        <v>0.30245939822942702</v>
      </c>
      <c r="BL115">
        <f t="shared" si="25"/>
        <v>41775</v>
      </c>
      <c r="BM115">
        <f t="shared" si="26"/>
        <v>33</v>
      </c>
      <c r="BN115">
        <v>1114</v>
      </c>
      <c r="BO115">
        <v>45555</v>
      </c>
      <c r="BP115" t="str">
        <v>West</v>
      </c>
      <c r="BQ115" t="str">
        <v>Karan</v>
      </c>
      <c r="BR115" t="str">
        <v>Customer_18</v>
      </c>
      <c r="BS115" t="str">
        <v>Electronics</v>
      </c>
      <c r="BT115" t="str">
        <v>Mouse</v>
      </c>
      <c r="BU115">
        <v>19</v>
      </c>
      <c r="BV115">
        <v>19693</v>
      </c>
      <c r="BW115">
        <v>20</v>
      </c>
      <c r="BX115">
        <v>299333.59999999998</v>
      </c>
      <c r="BY115">
        <v>186352.34</v>
      </c>
      <c r="BZ115">
        <v>112981.26</v>
      </c>
      <c r="CA115" t="str">
        <v>NetBanking</v>
      </c>
      <c r="CB115">
        <v>6</v>
      </c>
      <c r="CC115">
        <v>2.5</v>
      </c>
      <c r="CD115" t="b">
        <f>COUNTIF(Sales_Data!E:E,Sales_Data!E115)&gt;1</f>
        <v>1</v>
      </c>
      <c r="CE115">
        <f>SUM(Sales_Data!$K$2:'Sales_Data'!K115)</f>
        <v>28142875.249999993</v>
      </c>
      <c r="CF115">
        <f t="shared" si="27"/>
        <v>603093.46499999997</v>
      </c>
      <c r="CG115" t="str">
        <f>CHOOSE(MATCH(C115,{"North","West","South","East"},0),"Zone 1","Zone 2","Zone 3","Zone 4")</f>
        <v>Zone 1</v>
      </c>
      <c r="CH115" t="str" cm="1">
        <f t="array" ref="CH115">_xlfn.SWITCH(N115,"Card","Card Payment","UPI", "UPI Payment","Cash","Cash Payment","NetBanking", "NetBanking Payment", "Unknown")</f>
        <v>NetBanking Payment</v>
      </c>
      <c r="CI115" t="str" cm="1">
        <f t="array" ref="CI115">_xlfn.IFS(Sales_Data!J115&lt;=5,"Low",Sales_Data!J115&lt;=10,"Medium",Sales_Data!J115&gt;10,"High")</f>
        <v>Medium</v>
      </c>
    </row>
    <row r="116" spans="1:87" x14ac:dyDescent="0.3">
      <c r="A116">
        <v>1116</v>
      </c>
      <c r="B116" s="1">
        <v>45729</v>
      </c>
      <c r="C116" t="s">
        <v>50</v>
      </c>
      <c r="D116" t="s">
        <v>51</v>
      </c>
      <c r="E116" t="s">
        <v>59</v>
      </c>
      <c r="F116" t="s">
        <v>35</v>
      </c>
      <c r="G116" t="s">
        <v>20</v>
      </c>
      <c r="H116">
        <v>15</v>
      </c>
      <c r="I116">
        <v>46801</v>
      </c>
      <c r="J116">
        <v>10</v>
      </c>
      <c r="K116">
        <v>631813.5</v>
      </c>
      <c r="L116">
        <v>395768.98</v>
      </c>
      <c r="M116">
        <v>236044.52</v>
      </c>
      <c r="N116" t="s">
        <v>48</v>
      </c>
      <c r="O116">
        <v>10</v>
      </c>
      <c r="P116">
        <v>4.5999999999999996</v>
      </c>
      <c r="Q116">
        <f t="shared" si="15"/>
        <v>7</v>
      </c>
      <c r="R116" t="str">
        <f t="shared" si="16"/>
        <v>Phone</v>
      </c>
      <c r="S116" t="e">
        <f t="shared" si="17"/>
        <v>#N/A</v>
      </c>
      <c r="AK116">
        <v>1172</v>
      </c>
      <c r="AL116">
        <v>45478</v>
      </c>
      <c r="AM116" t="str">
        <v>East</v>
      </c>
      <c r="AN116" t="str">
        <v>Arjun</v>
      </c>
      <c r="AO116" t="str">
        <v>Customer_28</v>
      </c>
      <c r="AP116" t="str">
        <v>Office Supplies</v>
      </c>
      <c r="AQ116" t="str">
        <v>Keyboard</v>
      </c>
      <c r="AR116">
        <v>6</v>
      </c>
      <c r="AS116">
        <v>45974</v>
      </c>
      <c r="AT116">
        <v>15</v>
      </c>
      <c r="AU116">
        <v>234467.4</v>
      </c>
      <c r="AV116">
        <v>189358.89</v>
      </c>
      <c r="AW116">
        <v>45108.51</v>
      </c>
      <c r="AX116" t="str">
        <v>Card</v>
      </c>
      <c r="AY116">
        <v>4</v>
      </c>
      <c r="AZ116">
        <v>4.7</v>
      </c>
      <c r="BA116">
        <v>114</v>
      </c>
      <c r="BB116" t="str">
        <v>Keyboard</v>
      </c>
      <c r="BC116" s="6">
        <f t="shared" si="18"/>
        <v>1</v>
      </c>
      <c r="BD116" t="str">
        <f t="shared" si="19"/>
        <v>Bonus!</v>
      </c>
      <c r="BE116" s="8">
        <f t="shared" si="20"/>
        <v>0.37359841155657481</v>
      </c>
      <c r="BF116" t="str">
        <v>Customer_37</v>
      </c>
      <c r="BG116" t="str">
        <f t="shared" si="21"/>
        <v>North-Phone</v>
      </c>
      <c r="BH116">
        <f t="shared" si="22"/>
        <v>2025</v>
      </c>
      <c r="BI116" t="str">
        <f t="shared" si="23"/>
        <v>March</v>
      </c>
      <c r="BJ116">
        <f t="shared" ca="1" si="14"/>
        <v>340</v>
      </c>
      <c r="BK116" s="8">
        <f t="shared" si="24"/>
        <v>0.37359841155657481</v>
      </c>
      <c r="BL116">
        <f t="shared" si="25"/>
        <v>33295</v>
      </c>
      <c r="BM116">
        <f t="shared" si="26"/>
        <v>20</v>
      </c>
      <c r="BN116">
        <v>1115</v>
      </c>
      <c r="BO116">
        <v>45506</v>
      </c>
      <c r="BP116" t="str">
        <v>North</v>
      </c>
      <c r="BQ116" t="str">
        <v>Rohan</v>
      </c>
      <c r="BR116" t="str">
        <v>Customer_15</v>
      </c>
      <c r="BS116" t="str">
        <v>Electronics</v>
      </c>
      <c r="BT116" t="str">
        <v>Mouse</v>
      </c>
      <c r="BU116">
        <v>13</v>
      </c>
      <c r="BV116">
        <v>44823</v>
      </c>
      <c r="BW116">
        <v>10</v>
      </c>
      <c r="BX116">
        <v>524429.1</v>
      </c>
      <c r="BY116">
        <v>365810.59</v>
      </c>
      <c r="BZ116">
        <v>158618.51</v>
      </c>
      <c r="CA116" t="str">
        <v>NetBanking</v>
      </c>
      <c r="CB116">
        <v>1</v>
      </c>
      <c r="CC116">
        <v>3.8</v>
      </c>
      <c r="CD116" t="b">
        <f>COUNTIF(Sales_Data!E:E,Sales_Data!E116)&gt;1</f>
        <v>1</v>
      </c>
      <c r="CE116">
        <f>SUM(Sales_Data!$K$2:'Sales_Data'!K116)</f>
        <v>28774688.749999993</v>
      </c>
      <c r="CF116">
        <f t="shared" si="27"/>
        <v>726585.52499999991</v>
      </c>
      <c r="CG116" t="str">
        <f>CHOOSE(MATCH(C116,{"North","West","South","East"},0),"Zone 1","Zone 2","Zone 3","Zone 4")</f>
        <v>Zone 1</v>
      </c>
      <c r="CH116" t="str" cm="1">
        <f t="array" ref="CH116">_xlfn.SWITCH(N116,"Card","Card Payment","UPI", "UPI Payment","Cash","Cash Payment","NetBanking", "NetBanking Payment", "Unknown")</f>
        <v>NetBanking Payment</v>
      </c>
      <c r="CI116" t="str" cm="1">
        <f t="array" ref="CI116">_xlfn.IFS(Sales_Data!J116&lt;=5,"Low",Sales_Data!J116&lt;=10,"Medium",Sales_Data!J116&gt;10,"High")</f>
        <v>Medium</v>
      </c>
    </row>
    <row r="117" spans="1:87" x14ac:dyDescent="0.3">
      <c r="A117">
        <v>1117</v>
      </c>
      <c r="B117" s="1">
        <v>45453</v>
      </c>
      <c r="C117" t="s">
        <v>33</v>
      </c>
      <c r="D117" t="s">
        <v>42</v>
      </c>
      <c r="E117" t="s">
        <v>76</v>
      </c>
      <c r="F117" t="s">
        <v>19</v>
      </c>
      <c r="G117" t="s">
        <v>47</v>
      </c>
      <c r="H117">
        <v>12</v>
      </c>
      <c r="I117">
        <v>27694</v>
      </c>
      <c r="J117">
        <v>10</v>
      </c>
      <c r="K117">
        <v>299095.2</v>
      </c>
      <c r="L117">
        <v>167642.43</v>
      </c>
      <c r="M117">
        <v>131452.76999999999</v>
      </c>
      <c r="N117" t="s">
        <v>37</v>
      </c>
      <c r="O117">
        <v>5</v>
      </c>
      <c r="P117">
        <v>4.7</v>
      </c>
      <c r="Q117">
        <f t="shared" si="15"/>
        <v>35</v>
      </c>
      <c r="R117" t="str">
        <f t="shared" si="16"/>
        <v>Monitor</v>
      </c>
      <c r="S117" t="e">
        <f t="shared" si="17"/>
        <v>#N/A</v>
      </c>
      <c r="AK117">
        <v>1142</v>
      </c>
      <c r="AL117">
        <v>45317</v>
      </c>
      <c r="AM117" t="str">
        <v>West</v>
      </c>
      <c r="AN117" t="str">
        <v>Rohan</v>
      </c>
      <c r="AO117" t="str">
        <v>Customer_50</v>
      </c>
      <c r="AP117" t="str">
        <v>Furniture</v>
      </c>
      <c r="AQ117" t="str">
        <v>Mouse</v>
      </c>
      <c r="AR117">
        <v>13</v>
      </c>
      <c r="AS117">
        <v>19117</v>
      </c>
      <c r="AT117">
        <v>20</v>
      </c>
      <c r="AU117">
        <v>198816.8</v>
      </c>
      <c r="AV117">
        <v>154526.16</v>
      </c>
      <c r="AW117">
        <v>44290.64</v>
      </c>
      <c r="AX117" t="str">
        <v>UPI</v>
      </c>
      <c r="AY117">
        <v>5</v>
      </c>
      <c r="AZ117">
        <v>2.5</v>
      </c>
      <c r="BA117">
        <v>115</v>
      </c>
      <c r="BB117" t="str">
        <v>Mouse</v>
      </c>
      <c r="BC117" s="6">
        <f t="shared" si="18"/>
        <v>2</v>
      </c>
      <c r="BD117" t="str">
        <f t="shared" si="19"/>
        <v>Bonus!</v>
      </c>
      <c r="BE117" s="8">
        <f t="shared" si="20"/>
        <v>0.43950143633197719</v>
      </c>
      <c r="BF117" t="str">
        <v>Customer_37</v>
      </c>
      <c r="BG117" t="str">
        <f t="shared" si="21"/>
        <v>East-Monitor</v>
      </c>
      <c r="BH117">
        <f t="shared" si="22"/>
        <v>2024</v>
      </c>
      <c r="BI117" t="str">
        <f t="shared" si="23"/>
        <v>June</v>
      </c>
      <c r="BJ117">
        <f t="shared" ca="1" si="14"/>
        <v>538</v>
      </c>
      <c r="BK117" s="8">
        <f t="shared" si="24"/>
        <v>0.43950143633197719</v>
      </c>
      <c r="BL117">
        <f t="shared" si="25"/>
        <v>26687</v>
      </c>
      <c r="BM117">
        <f t="shared" si="26"/>
        <v>63</v>
      </c>
      <c r="BN117">
        <v>1116</v>
      </c>
      <c r="BO117">
        <v>45729</v>
      </c>
      <c r="BP117" t="str">
        <v>North</v>
      </c>
      <c r="BQ117" t="str">
        <v>Aman</v>
      </c>
      <c r="BR117" t="str">
        <v>Customer_18</v>
      </c>
      <c r="BS117" t="str">
        <v>Furniture</v>
      </c>
      <c r="BT117" t="str">
        <v>Phone</v>
      </c>
      <c r="BU117">
        <v>15</v>
      </c>
      <c r="BV117">
        <v>46801</v>
      </c>
      <c r="BW117">
        <v>10</v>
      </c>
      <c r="BX117">
        <v>631813.5</v>
      </c>
      <c r="BY117">
        <v>395768.98</v>
      </c>
      <c r="BZ117">
        <v>236044.52</v>
      </c>
      <c r="CA117" t="str">
        <v>NetBanking</v>
      </c>
      <c r="CB117">
        <v>10</v>
      </c>
      <c r="CC117">
        <v>4.5999999999999996</v>
      </c>
      <c r="CD117" t="b">
        <f>COUNTIF(Sales_Data!E:E,Sales_Data!E117)&gt;1</f>
        <v>1</v>
      </c>
      <c r="CE117">
        <f>SUM(Sales_Data!$K$2:'Sales_Data'!K117)</f>
        <v>29073783.949999992</v>
      </c>
      <c r="CF117">
        <f t="shared" si="27"/>
        <v>343959.48</v>
      </c>
      <c r="CG117" t="str">
        <f>CHOOSE(MATCH(C117,{"North","West","South","East"},0),"Zone 1","Zone 2","Zone 3","Zone 4")</f>
        <v>Zone 4</v>
      </c>
      <c r="CH117" t="str" cm="1">
        <f t="array" ref="CH117">_xlfn.SWITCH(N117,"Card","Card Payment","UPI", "UPI Payment","Cash","Cash Payment","NetBanking", "NetBanking Payment", "Unknown")</f>
        <v>Cash Payment</v>
      </c>
      <c r="CI117" t="str" cm="1">
        <f t="array" ref="CI117">_xlfn.IFS(Sales_Data!J117&lt;=5,"Low",Sales_Data!J117&lt;=10,"Medium",Sales_Data!J117&gt;10,"High")</f>
        <v>Medium</v>
      </c>
    </row>
    <row r="118" spans="1:87" x14ac:dyDescent="0.3">
      <c r="A118">
        <v>1118</v>
      </c>
      <c r="B118" s="1">
        <v>45626</v>
      </c>
      <c r="C118" t="s">
        <v>16</v>
      </c>
      <c r="D118" t="s">
        <v>42</v>
      </c>
      <c r="E118" t="s">
        <v>38</v>
      </c>
      <c r="F118" t="s">
        <v>35</v>
      </c>
      <c r="G118" t="s">
        <v>30</v>
      </c>
      <c r="H118">
        <v>19</v>
      </c>
      <c r="I118">
        <v>9389</v>
      </c>
      <c r="J118">
        <v>15</v>
      </c>
      <c r="K118">
        <v>151632.35</v>
      </c>
      <c r="L118">
        <v>103056.25</v>
      </c>
      <c r="M118">
        <v>48576.1</v>
      </c>
      <c r="N118" t="s">
        <v>48</v>
      </c>
      <c r="O118">
        <v>1</v>
      </c>
      <c r="P118">
        <v>4.5</v>
      </c>
      <c r="Q118">
        <f t="shared" si="15"/>
        <v>111</v>
      </c>
      <c r="R118" t="str">
        <f t="shared" si="16"/>
        <v>Desk</v>
      </c>
      <c r="S118" t="e">
        <f t="shared" si="17"/>
        <v>#N/A</v>
      </c>
      <c r="AK118">
        <v>1175</v>
      </c>
      <c r="AL118">
        <v>45567</v>
      </c>
      <c r="AM118" t="str">
        <v>North</v>
      </c>
      <c r="AN118" t="str">
        <v>Aman</v>
      </c>
      <c r="AO118" t="str">
        <v>Customer_35</v>
      </c>
      <c r="AP118" t="str">
        <v>Furniture</v>
      </c>
      <c r="AQ118" t="str">
        <v>Laptop</v>
      </c>
      <c r="AR118">
        <v>5</v>
      </c>
      <c r="AS118">
        <v>27813</v>
      </c>
      <c r="AT118">
        <v>5</v>
      </c>
      <c r="AU118">
        <v>132111.75</v>
      </c>
      <c r="AV118">
        <v>88913.54</v>
      </c>
      <c r="AW118">
        <v>43198.21</v>
      </c>
      <c r="AX118" t="str">
        <v>NetBanking</v>
      </c>
      <c r="AY118">
        <v>1</v>
      </c>
      <c r="AZ118">
        <v>4.0999999999999996</v>
      </c>
      <c r="BA118">
        <v>116</v>
      </c>
      <c r="BB118" t="str">
        <v>Laptop</v>
      </c>
      <c r="BC118" s="6">
        <f t="shared" si="18"/>
        <v>4</v>
      </c>
      <c r="BD118" t="str">
        <f t="shared" si="19"/>
        <v/>
      </c>
      <c r="BE118" s="8">
        <f t="shared" si="20"/>
        <v>0.32035446261961908</v>
      </c>
      <c r="BF118" t="str">
        <v>Customer_38</v>
      </c>
      <c r="BG118" t="str">
        <f t="shared" si="21"/>
        <v>West-Desk</v>
      </c>
      <c r="BH118">
        <f t="shared" si="22"/>
        <v>2024</v>
      </c>
      <c r="BI118" t="str">
        <f t="shared" si="23"/>
        <v>November</v>
      </c>
      <c r="BJ118">
        <f t="shared" ca="1" si="14"/>
        <v>413</v>
      </c>
      <c r="BK118" s="8">
        <f t="shared" si="24"/>
        <v>0.32035446261961908</v>
      </c>
      <c r="BL118">
        <f t="shared" si="25"/>
        <v>13233</v>
      </c>
      <c r="BM118">
        <f t="shared" si="26"/>
        <v>7</v>
      </c>
      <c r="BN118">
        <v>1117</v>
      </c>
      <c r="BO118">
        <v>45453</v>
      </c>
      <c r="BP118" t="str">
        <v>East</v>
      </c>
      <c r="BQ118" t="str">
        <v>Priya</v>
      </c>
      <c r="BR118" t="str">
        <v>Customer_37</v>
      </c>
      <c r="BS118" t="str">
        <v>Electronics</v>
      </c>
      <c r="BT118" t="str">
        <v>Monitor</v>
      </c>
      <c r="BU118">
        <v>12</v>
      </c>
      <c r="BV118">
        <v>27694</v>
      </c>
      <c r="BW118">
        <v>10</v>
      </c>
      <c r="BX118">
        <v>299095.2</v>
      </c>
      <c r="BY118">
        <v>167642.43</v>
      </c>
      <c r="BZ118">
        <v>131452.76999999999</v>
      </c>
      <c r="CA118" t="str">
        <v>Cash</v>
      </c>
      <c r="CB118">
        <v>5</v>
      </c>
      <c r="CC118">
        <v>4.7</v>
      </c>
      <c r="CD118" t="b">
        <f>COUNTIF(Sales_Data!E:E,Sales_Data!E118)&gt;1</f>
        <v>1</v>
      </c>
      <c r="CE118">
        <f>SUM(Sales_Data!$K$2:'Sales_Data'!K118)</f>
        <v>29225416.299999993</v>
      </c>
      <c r="CF118">
        <f t="shared" si="27"/>
        <v>174377.20249999998</v>
      </c>
      <c r="CG118" t="str">
        <f>CHOOSE(MATCH(C118,{"North","West","South","East"},0),"Zone 1","Zone 2","Zone 3","Zone 4")</f>
        <v>Zone 2</v>
      </c>
      <c r="CH118" t="str" cm="1">
        <f t="array" ref="CH118">_xlfn.SWITCH(N118,"Card","Card Payment","UPI", "UPI Payment","Cash","Cash Payment","NetBanking", "NetBanking Payment", "Unknown")</f>
        <v>NetBanking Payment</v>
      </c>
      <c r="CI118" t="str" cm="1">
        <f t="array" ref="CI118">_xlfn.IFS(Sales_Data!J118&lt;=5,"Low",Sales_Data!J118&lt;=10,"Medium",Sales_Data!J118&gt;10,"High")</f>
        <v>High</v>
      </c>
    </row>
    <row r="119" spans="1:87" x14ac:dyDescent="0.3">
      <c r="A119">
        <v>1119</v>
      </c>
      <c r="B119" s="1">
        <v>45554</v>
      </c>
      <c r="C119" t="s">
        <v>22</v>
      </c>
      <c r="D119" t="s">
        <v>39</v>
      </c>
      <c r="E119" t="s">
        <v>70</v>
      </c>
      <c r="F119" t="s">
        <v>35</v>
      </c>
      <c r="G119" t="s">
        <v>26</v>
      </c>
      <c r="H119">
        <v>12</v>
      </c>
      <c r="I119">
        <v>28911</v>
      </c>
      <c r="J119">
        <v>0</v>
      </c>
      <c r="K119">
        <v>346932</v>
      </c>
      <c r="L119">
        <v>264406.14</v>
      </c>
      <c r="M119">
        <v>82525.86</v>
      </c>
      <c r="N119" t="s">
        <v>48</v>
      </c>
      <c r="O119">
        <v>1</v>
      </c>
      <c r="P119">
        <v>2.7</v>
      </c>
      <c r="Q119">
        <f t="shared" si="15"/>
        <v>75</v>
      </c>
      <c r="R119" t="str">
        <f t="shared" si="16"/>
        <v>Keyboard</v>
      </c>
      <c r="S119" t="e">
        <f t="shared" si="17"/>
        <v>#N/A</v>
      </c>
      <c r="AK119">
        <v>1100</v>
      </c>
      <c r="AL119">
        <v>45425</v>
      </c>
      <c r="AM119" t="str">
        <v>North</v>
      </c>
      <c r="AN119" t="str">
        <v>Arjun</v>
      </c>
      <c r="AO119" t="str">
        <v>Customer_37</v>
      </c>
      <c r="AP119" t="str">
        <v>Electronics</v>
      </c>
      <c r="AQ119" t="str">
        <v>Monitor</v>
      </c>
      <c r="AR119">
        <v>15</v>
      </c>
      <c r="AS119">
        <v>20968</v>
      </c>
      <c r="AT119">
        <v>20</v>
      </c>
      <c r="AU119">
        <v>251616</v>
      </c>
      <c r="AV119">
        <v>208981.6</v>
      </c>
      <c r="AW119">
        <v>42634.400000000001</v>
      </c>
      <c r="AX119" t="str">
        <v>NetBanking</v>
      </c>
      <c r="AY119">
        <v>8</v>
      </c>
      <c r="AZ119">
        <v>2.8</v>
      </c>
      <c r="BA119">
        <v>117</v>
      </c>
      <c r="BB119" t="str">
        <v>Monitor</v>
      </c>
      <c r="BC119" s="6">
        <f t="shared" si="18"/>
        <v>3</v>
      </c>
      <c r="BD119" t="str">
        <f t="shared" si="19"/>
        <v/>
      </c>
      <c r="BE119" s="8">
        <f t="shared" si="20"/>
        <v>0.23787330081975719</v>
      </c>
      <c r="BF119" t="str">
        <v>Customer_38</v>
      </c>
      <c r="BG119" t="str">
        <f t="shared" si="21"/>
        <v>South-Keyboard</v>
      </c>
      <c r="BH119">
        <f t="shared" si="22"/>
        <v>2024</v>
      </c>
      <c r="BI119" t="str">
        <f t="shared" si="23"/>
        <v>September</v>
      </c>
      <c r="BJ119">
        <f t="shared" ca="1" si="14"/>
        <v>465</v>
      </c>
      <c r="BK119" s="8">
        <f t="shared" si="24"/>
        <v>0.23787330081975719</v>
      </c>
      <c r="BL119">
        <f t="shared" si="25"/>
        <v>23829</v>
      </c>
      <c r="BM119">
        <f t="shared" si="26"/>
        <v>42</v>
      </c>
      <c r="BN119">
        <v>1118</v>
      </c>
      <c r="BO119">
        <v>45626</v>
      </c>
      <c r="BP119" t="str">
        <v>West</v>
      </c>
      <c r="BQ119" t="str">
        <v>Priya</v>
      </c>
      <c r="BR119" t="str">
        <v>Customer_12</v>
      </c>
      <c r="BS119" t="str">
        <v>Furniture</v>
      </c>
      <c r="BT119" t="str">
        <v>Desk</v>
      </c>
      <c r="BU119">
        <v>19</v>
      </c>
      <c r="BV119">
        <v>9389</v>
      </c>
      <c r="BW119">
        <v>15</v>
      </c>
      <c r="BX119">
        <v>151632.35</v>
      </c>
      <c r="BY119">
        <v>103056.25</v>
      </c>
      <c r="BZ119">
        <v>48576.1</v>
      </c>
      <c r="CA119" t="str">
        <v>NetBanking</v>
      </c>
      <c r="CB119">
        <v>1</v>
      </c>
      <c r="CC119">
        <v>4.5</v>
      </c>
      <c r="CD119" t="b">
        <f>COUNTIF(Sales_Data!E:E,Sales_Data!E119)&gt;1</f>
        <v>1</v>
      </c>
      <c r="CE119">
        <f>SUM(Sales_Data!$K$2:'Sales_Data'!K119)</f>
        <v>29572348.299999993</v>
      </c>
      <c r="CF119">
        <f t="shared" si="27"/>
        <v>398971.8</v>
      </c>
      <c r="CG119" t="str">
        <f>CHOOSE(MATCH(C119,{"North","West","South","East"},0),"Zone 1","Zone 2","Zone 3","Zone 4")</f>
        <v>Zone 3</v>
      </c>
      <c r="CH119" t="str" cm="1">
        <f t="array" ref="CH119">_xlfn.SWITCH(N119,"Card","Card Payment","UPI", "UPI Payment","Cash","Cash Payment","NetBanking", "NetBanking Payment", "Unknown")</f>
        <v>NetBanking Payment</v>
      </c>
      <c r="CI119" t="str" cm="1">
        <f t="array" ref="CI119">_xlfn.IFS(Sales_Data!J119&lt;=5,"Low",Sales_Data!J119&lt;=10,"Medium",Sales_Data!J119&gt;10,"High")</f>
        <v>Low</v>
      </c>
    </row>
    <row r="120" spans="1:87" x14ac:dyDescent="0.3">
      <c r="A120">
        <v>1120</v>
      </c>
      <c r="B120" s="1">
        <v>45491</v>
      </c>
      <c r="C120" t="s">
        <v>22</v>
      </c>
      <c r="D120" t="s">
        <v>23</v>
      </c>
      <c r="E120" t="s">
        <v>38</v>
      </c>
      <c r="F120" t="s">
        <v>35</v>
      </c>
      <c r="G120" t="s">
        <v>20</v>
      </c>
      <c r="H120">
        <v>2</v>
      </c>
      <c r="I120">
        <v>26691</v>
      </c>
      <c r="J120">
        <v>20</v>
      </c>
      <c r="K120">
        <v>42705.599999999999</v>
      </c>
      <c r="L120">
        <v>31330.98</v>
      </c>
      <c r="M120">
        <v>11374.62</v>
      </c>
      <c r="N120" t="s">
        <v>21</v>
      </c>
      <c r="O120">
        <v>2</v>
      </c>
      <c r="P120">
        <v>3.5</v>
      </c>
      <c r="Q120">
        <f t="shared" si="15"/>
        <v>171</v>
      </c>
      <c r="R120" t="str">
        <f t="shared" si="16"/>
        <v>Phone</v>
      </c>
      <c r="S120" t="e">
        <f t="shared" si="17"/>
        <v>#N/A</v>
      </c>
      <c r="AK120">
        <v>1154</v>
      </c>
      <c r="AL120">
        <v>45497</v>
      </c>
      <c r="AM120" t="str">
        <v>West</v>
      </c>
      <c r="AN120" t="str">
        <v>Aman</v>
      </c>
      <c r="AO120" t="str">
        <v>Customer_8</v>
      </c>
      <c r="AP120" t="str">
        <v>Office Supplies</v>
      </c>
      <c r="AQ120" t="str">
        <v>Printer</v>
      </c>
      <c r="AR120">
        <v>6</v>
      </c>
      <c r="AS120">
        <v>29536</v>
      </c>
      <c r="AT120">
        <v>20</v>
      </c>
      <c r="AU120">
        <v>141772.79999999999</v>
      </c>
      <c r="AV120">
        <v>100220.92</v>
      </c>
      <c r="AW120">
        <v>41551.879999999997</v>
      </c>
      <c r="AX120" t="str">
        <v>UPI</v>
      </c>
      <c r="AY120">
        <v>10</v>
      </c>
      <c r="AZ120">
        <v>3</v>
      </c>
      <c r="BA120">
        <v>118</v>
      </c>
      <c r="BB120" t="str">
        <v>Printer</v>
      </c>
      <c r="BC120" s="6">
        <f t="shared" si="18"/>
        <v>2</v>
      </c>
      <c r="BD120" t="str">
        <f t="shared" si="19"/>
        <v/>
      </c>
      <c r="BE120" s="8">
        <f t="shared" si="20"/>
        <v>0.26634961222884124</v>
      </c>
      <c r="BF120" t="str">
        <v>Customer_38</v>
      </c>
      <c r="BG120" t="str">
        <f t="shared" si="21"/>
        <v>South-Phone</v>
      </c>
      <c r="BH120">
        <f t="shared" si="22"/>
        <v>2024</v>
      </c>
      <c r="BI120" t="str">
        <f t="shared" si="23"/>
        <v>July</v>
      </c>
      <c r="BJ120">
        <f t="shared" ca="1" si="14"/>
        <v>510</v>
      </c>
      <c r="BK120" s="8">
        <f t="shared" si="24"/>
        <v>0.26634961222884124</v>
      </c>
      <c r="BL120">
        <f t="shared" si="25"/>
        <v>33295</v>
      </c>
      <c r="BM120">
        <f t="shared" si="26"/>
        <v>7</v>
      </c>
      <c r="BN120">
        <v>1119</v>
      </c>
      <c r="BO120">
        <v>45554</v>
      </c>
      <c r="BP120" t="str">
        <v>South</v>
      </c>
      <c r="BQ120" t="str">
        <v>Sneha</v>
      </c>
      <c r="BR120" t="str">
        <v>Customer_35</v>
      </c>
      <c r="BS120" t="str">
        <v>Furniture</v>
      </c>
      <c r="BT120" t="str">
        <v>Keyboard</v>
      </c>
      <c r="BU120">
        <v>12</v>
      </c>
      <c r="BV120">
        <v>28911</v>
      </c>
      <c r="BW120">
        <v>0</v>
      </c>
      <c r="BX120">
        <v>346932</v>
      </c>
      <c r="BY120">
        <v>264406.14</v>
      </c>
      <c r="BZ120">
        <v>82525.86</v>
      </c>
      <c r="CA120" t="str">
        <v>NetBanking</v>
      </c>
      <c r="CB120">
        <v>1</v>
      </c>
      <c r="CC120">
        <v>2.7</v>
      </c>
      <c r="CD120" t="b">
        <f>COUNTIF(Sales_Data!E:E,Sales_Data!E120)&gt;1</f>
        <v>1</v>
      </c>
      <c r="CE120">
        <f>SUM(Sales_Data!$K$2:'Sales_Data'!K120)</f>
        <v>29615053.899999995</v>
      </c>
      <c r="CF120">
        <f t="shared" si="27"/>
        <v>49111.439999999995</v>
      </c>
      <c r="CG120" t="str">
        <f>CHOOSE(MATCH(C120,{"North","West","South","East"},0),"Zone 1","Zone 2","Zone 3","Zone 4")</f>
        <v>Zone 3</v>
      </c>
      <c r="CH120" t="str" cm="1">
        <f t="array" ref="CH120">_xlfn.SWITCH(N120,"Card","Card Payment","UPI", "UPI Payment","Cash","Cash Payment","NetBanking", "NetBanking Payment", "Unknown")</f>
        <v>Card Payment</v>
      </c>
      <c r="CI120" t="str" cm="1">
        <f t="array" ref="CI120">_xlfn.IFS(Sales_Data!J120&lt;=5,"Low",Sales_Data!J120&lt;=10,"Medium",Sales_Data!J120&gt;10,"High")</f>
        <v>High</v>
      </c>
    </row>
    <row r="121" spans="1:87" x14ac:dyDescent="0.3">
      <c r="A121">
        <v>1121</v>
      </c>
      <c r="B121" s="1">
        <v>45680</v>
      </c>
      <c r="C121" t="s">
        <v>16</v>
      </c>
      <c r="D121" t="s">
        <v>57</v>
      </c>
      <c r="E121" t="s">
        <v>49</v>
      </c>
      <c r="F121" t="s">
        <v>19</v>
      </c>
      <c r="G121" t="s">
        <v>65</v>
      </c>
      <c r="H121">
        <v>16</v>
      </c>
      <c r="I121">
        <v>25769</v>
      </c>
      <c r="J121">
        <v>10</v>
      </c>
      <c r="K121">
        <v>371073.6</v>
      </c>
      <c r="L121">
        <v>258303.87</v>
      </c>
      <c r="M121">
        <v>112769.73</v>
      </c>
      <c r="N121" t="s">
        <v>37</v>
      </c>
      <c r="O121">
        <v>5</v>
      </c>
      <c r="P121">
        <v>2.6</v>
      </c>
      <c r="Q121">
        <f t="shared" si="15"/>
        <v>47</v>
      </c>
      <c r="R121" t="str">
        <f t="shared" si="16"/>
        <v>Mouse</v>
      </c>
      <c r="S121" t="e">
        <f t="shared" si="17"/>
        <v>#N/A</v>
      </c>
      <c r="AK121">
        <v>1178</v>
      </c>
      <c r="AL121">
        <v>45444</v>
      </c>
      <c r="AM121" t="str">
        <v>East</v>
      </c>
      <c r="AN121" t="str">
        <v>Neha</v>
      </c>
      <c r="AO121" t="str">
        <v>Customer_28</v>
      </c>
      <c r="AP121" t="str">
        <v>Office Supplies</v>
      </c>
      <c r="AQ121" t="str">
        <v>Desk</v>
      </c>
      <c r="AR121">
        <v>11</v>
      </c>
      <c r="AS121">
        <v>25126</v>
      </c>
      <c r="AT121">
        <v>15</v>
      </c>
      <c r="AU121">
        <v>234928.1</v>
      </c>
      <c r="AV121">
        <v>193528.84</v>
      </c>
      <c r="AW121">
        <v>41399.26</v>
      </c>
      <c r="AX121" t="str">
        <v>Card</v>
      </c>
      <c r="AY121">
        <v>10</v>
      </c>
      <c r="AZ121">
        <v>3.5</v>
      </c>
      <c r="BA121">
        <v>119</v>
      </c>
      <c r="BB121" t="str">
        <v>Desk</v>
      </c>
      <c r="BC121" s="6">
        <f t="shared" si="18"/>
        <v>0</v>
      </c>
      <c r="BD121" t="str">
        <f t="shared" si="19"/>
        <v>Bonus!</v>
      </c>
      <c r="BE121" s="8">
        <f t="shared" si="20"/>
        <v>0.30390124762311305</v>
      </c>
      <c r="BF121" t="str">
        <v>Customer_38</v>
      </c>
      <c r="BG121" t="str">
        <f t="shared" si="21"/>
        <v>West-Mouse</v>
      </c>
      <c r="BH121">
        <f t="shared" si="22"/>
        <v>2025</v>
      </c>
      <c r="BI121" t="str">
        <f t="shared" si="23"/>
        <v>January</v>
      </c>
      <c r="BJ121">
        <f t="shared" ca="1" si="14"/>
        <v>375</v>
      </c>
      <c r="BK121" s="8">
        <f t="shared" si="24"/>
        <v>0.30390124762311305</v>
      </c>
      <c r="BL121">
        <f t="shared" si="25"/>
        <v>41775</v>
      </c>
      <c r="BM121">
        <f t="shared" si="26"/>
        <v>13</v>
      </c>
      <c r="BN121">
        <v>1120</v>
      </c>
      <c r="BO121">
        <v>45491</v>
      </c>
      <c r="BP121" t="str">
        <v>South</v>
      </c>
      <c r="BQ121" t="str">
        <v>Karan</v>
      </c>
      <c r="BR121" t="str">
        <v>Customer_12</v>
      </c>
      <c r="BS121" t="str">
        <v>Furniture</v>
      </c>
      <c r="BT121" t="str">
        <v>Phone</v>
      </c>
      <c r="BU121">
        <v>2</v>
      </c>
      <c r="BV121">
        <v>26691</v>
      </c>
      <c r="BW121">
        <v>20</v>
      </c>
      <c r="BX121">
        <v>42705.599999999999</v>
      </c>
      <c r="BY121">
        <v>31330.98</v>
      </c>
      <c r="BZ121">
        <v>11374.62</v>
      </c>
      <c r="CA121" t="str">
        <v>Card</v>
      </c>
      <c r="CB121">
        <v>2</v>
      </c>
      <c r="CC121">
        <v>3.5</v>
      </c>
      <c r="CD121" t="b">
        <f>COUNTIF(Sales_Data!E:E,Sales_Data!E121)&gt;1</f>
        <v>1</v>
      </c>
      <c r="CE121">
        <f>SUM(Sales_Data!$K$2:'Sales_Data'!K121)</f>
        <v>29986127.499999996</v>
      </c>
      <c r="CF121">
        <f t="shared" si="27"/>
        <v>426734.63999999996</v>
      </c>
      <c r="CG121" t="str">
        <f>CHOOSE(MATCH(C121,{"North","West","South","East"},0),"Zone 1","Zone 2","Zone 3","Zone 4")</f>
        <v>Zone 2</v>
      </c>
      <c r="CH121" t="str" cm="1">
        <f t="array" ref="CH121">_xlfn.SWITCH(N121,"Card","Card Payment","UPI", "UPI Payment","Cash","Cash Payment","NetBanking", "NetBanking Payment", "Unknown")</f>
        <v>Cash Payment</v>
      </c>
      <c r="CI121" t="str" cm="1">
        <f t="array" ref="CI121">_xlfn.IFS(Sales_Data!J121&lt;=5,"Low",Sales_Data!J121&lt;=10,"Medium",Sales_Data!J121&gt;10,"High")</f>
        <v>Medium</v>
      </c>
    </row>
    <row r="122" spans="1:87" x14ac:dyDescent="0.3">
      <c r="A122">
        <v>1122</v>
      </c>
      <c r="B122" s="1">
        <v>45432</v>
      </c>
      <c r="C122" t="s">
        <v>22</v>
      </c>
      <c r="D122" t="s">
        <v>42</v>
      </c>
      <c r="E122" t="s">
        <v>75</v>
      </c>
      <c r="F122" t="s">
        <v>35</v>
      </c>
      <c r="G122" t="s">
        <v>30</v>
      </c>
      <c r="H122">
        <v>20</v>
      </c>
      <c r="I122">
        <v>31953</v>
      </c>
      <c r="J122">
        <v>5</v>
      </c>
      <c r="K122">
        <v>607107</v>
      </c>
      <c r="L122">
        <v>483067.54</v>
      </c>
      <c r="M122">
        <v>124039.46</v>
      </c>
      <c r="N122" t="s">
        <v>48</v>
      </c>
      <c r="O122">
        <v>9</v>
      </c>
      <c r="P122">
        <v>4.5999999999999996</v>
      </c>
      <c r="Q122">
        <f t="shared" si="15"/>
        <v>39</v>
      </c>
      <c r="R122" t="str">
        <f t="shared" si="16"/>
        <v>Desk</v>
      </c>
      <c r="S122" t="e">
        <f t="shared" si="17"/>
        <v>#N/A</v>
      </c>
      <c r="AK122">
        <v>1033</v>
      </c>
      <c r="AL122">
        <v>45306</v>
      </c>
      <c r="AM122" t="str">
        <v>North</v>
      </c>
      <c r="AN122" t="str">
        <v>Karan</v>
      </c>
      <c r="AO122" t="str">
        <v>Customer_15</v>
      </c>
      <c r="AP122" t="str">
        <v>Office Supplies</v>
      </c>
      <c r="AQ122" t="str">
        <v>Phone</v>
      </c>
      <c r="AR122">
        <v>12</v>
      </c>
      <c r="AS122">
        <v>11878</v>
      </c>
      <c r="AT122">
        <v>20</v>
      </c>
      <c r="AU122">
        <v>114028.8</v>
      </c>
      <c r="AV122">
        <v>73531.59</v>
      </c>
      <c r="AW122">
        <v>40497.21</v>
      </c>
      <c r="AX122" t="str">
        <v>NetBanking</v>
      </c>
      <c r="AY122">
        <v>9</v>
      </c>
      <c r="AZ122">
        <v>2.8</v>
      </c>
      <c r="BA122">
        <v>120</v>
      </c>
      <c r="BB122" t="str">
        <v>Phone</v>
      </c>
      <c r="BC122" s="6">
        <f t="shared" si="18"/>
        <v>2</v>
      </c>
      <c r="BD122" t="str">
        <f t="shared" si="19"/>
        <v>Bonus!</v>
      </c>
      <c r="BE122" s="8">
        <f t="shared" si="20"/>
        <v>0.20431235350605415</v>
      </c>
      <c r="BF122" t="str">
        <v>Customer_38</v>
      </c>
      <c r="BG122" t="str">
        <f t="shared" si="21"/>
        <v>South-Desk</v>
      </c>
      <c r="BH122">
        <f t="shared" si="22"/>
        <v>2024</v>
      </c>
      <c r="BI122" t="str">
        <f t="shared" si="23"/>
        <v>May</v>
      </c>
      <c r="BJ122">
        <f t="shared" ca="1" si="14"/>
        <v>553</v>
      </c>
      <c r="BK122" s="8">
        <f t="shared" si="24"/>
        <v>0.20431235350605415</v>
      </c>
      <c r="BL122">
        <f t="shared" si="25"/>
        <v>13233</v>
      </c>
      <c r="BM122">
        <f t="shared" si="26"/>
        <v>52</v>
      </c>
      <c r="BN122">
        <v>1121</v>
      </c>
      <c r="BO122">
        <v>45680</v>
      </c>
      <c r="BP122" t="str">
        <v>West</v>
      </c>
      <c r="BQ122" t="str">
        <v>Megha</v>
      </c>
      <c r="BR122" t="str">
        <v>Customer_44</v>
      </c>
      <c r="BS122" t="str">
        <v>Electronics</v>
      </c>
      <c r="BT122" t="str">
        <v>Mouse</v>
      </c>
      <c r="BU122">
        <v>16</v>
      </c>
      <c r="BV122">
        <v>25769</v>
      </c>
      <c r="BW122">
        <v>10</v>
      </c>
      <c r="BX122">
        <v>371073.6</v>
      </c>
      <c r="BY122">
        <v>258303.87</v>
      </c>
      <c r="BZ122">
        <v>112769.73</v>
      </c>
      <c r="CA122" t="str">
        <v>Cash</v>
      </c>
      <c r="CB122">
        <v>5</v>
      </c>
      <c r="CC122">
        <v>2.6</v>
      </c>
      <c r="CD122" t="b">
        <f>COUNTIF(Sales_Data!E:E,Sales_Data!E122)&gt;1</f>
        <v>1</v>
      </c>
      <c r="CE122">
        <f>SUM(Sales_Data!$K$2:'Sales_Data'!K122)</f>
        <v>30593234.499999996</v>
      </c>
      <c r="CF122">
        <f t="shared" si="27"/>
        <v>698173.04999999993</v>
      </c>
      <c r="CG122" t="str">
        <f>CHOOSE(MATCH(C122,{"North","West","South","East"},0),"Zone 1","Zone 2","Zone 3","Zone 4")</f>
        <v>Zone 3</v>
      </c>
      <c r="CH122" t="str" cm="1">
        <f t="array" ref="CH122">_xlfn.SWITCH(N122,"Card","Card Payment","UPI", "UPI Payment","Cash","Cash Payment","NetBanking", "NetBanking Payment", "Unknown")</f>
        <v>NetBanking Payment</v>
      </c>
      <c r="CI122" t="str" cm="1">
        <f t="array" ref="CI122">_xlfn.IFS(Sales_Data!J122&lt;=5,"Low",Sales_Data!J122&lt;=10,"Medium",Sales_Data!J122&gt;10,"High")</f>
        <v>Low</v>
      </c>
    </row>
    <row r="123" spans="1:87" x14ac:dyDescent="0.3">
      <c r="A123">
        <v>1123</v>
      </c>
      <c r="B123" s="1">
        <v>45455</v>
      </c>
      <c r="C123" t="s">
        <v>22</v>
      </c>
      <c r="D123" t="s">
        <v>23</v>
      </c>
      <c r="E123" t="s">
        <v>49</v>
      </c>
      <c r="F123" t="s">
        <v>35</v>
      </c>
      <c r="G123" t="s">
        <v>65</v>
      </c>
      <c r="H123">
        <v>18</v>
      </c>
      <c r="I123">
        <v>8717</v>
      </c>
      <c r="J123">
        <v>20</v>
      </c>
      <c r="K123">
        <v>125524.8</v>
      </c>
      <c r="L123">
        <v>70519.3</v>
      </c>
      <c r="M123">
        <v>55005.5</v>
      </c>
      <c r="N123" t="s">
        <v>37</v>
      </c>
      <c r="O123">
        <v>10</v>
      </c>
      <c r="P123">
        <v>2.7</v>
      </c>
      <c r="Q123">
        <f t="shared" si="15"/>
        <v>101</v>
      </c>
      <c r="R123" t="str">
        <f t="shared" si="16"/>
        <v>Mouse</v>
      </c>
      <c r="S123" t="e">
        <f t="shared" si="17"/>
        <v>#N/A</v>
      </c>
      <c r="AK123">
        <v>1145</v>
      </c>
      <c r="AL123">
        <v>45786</v>
      </c>
      <c r="AM123" t="str">
        <v>North</v>
      </c>
      <c r="AN123" t="str">
        <v>Aman</v>
      </c>
      <c r="AO123" t="str">
        <v>Customer_20</v>
      </c>
      <c r="AP123" t="str">
        <v>Electronics</v>
      </c>
      <c r="AQ123" t="str">
        <v>Chair</v>
      </c>
      <c r="AR123">
        <v>5</v>
      </c>
      <c r="AS123">
        <v>24228</v>
      </c>
      <c r="AT123">
        <v>15</v>
      </c>
      <c r="AU123">
        <v>102969</v>
      </c>
      <c r="AV123">
        <v>62507.54</v>
      </c>
      <c r="AW123">
        <v>40461.46</v>
      </c>
      <c r="AX123" t="str">
        <v>NetBanking</v>
      </c>
      <c r="AY123">
        <v>10</v>
      </c>
      <c r="AZ123">
        <v>3.8</v>
      </c>
      <c r="BA123">
        <v>121</v>
      </c>
      <c r="BB123" t="str">
        <v>Chair</v>
      </c>
      <c r="BC123" s="6">
        <f t="shared" si="18"/>
        <v>2</v>
      </c>
      <c r="BD123" t="str">
        <f t="shared" si="19"/>
        <v/>
      </c>
      <c r="BE123" s="8">
        <f t="shared" si="20"/>
        <v>0.43820424330490865</v>
      </c>
      <c r="BF123" t="str">
        <v>Customer_39</v>
      </c>
      <c r="BG123" t="str">
        <f t="shared" si="21"/>
        <v>South-Mouse</v>
      </c>
      <c r="BH123">
        <f t="shared" si="22"/>
        <v>2024</v>
      </c>
      <c r="BI123" t="str">
        <f t="shared" si="23"/>
        <v>June</v>
      </c>
      <c r="BJ123">
        <f t="shared" ca="1" si="14"/>
        <v>536</v>
      </c>
      <c r="BK123" s="8">
        <f t="shared" si="24"/>
        <v>0.43820424330490865</v>
      </c>
      <c r="BL123">
        <f t="shared" si="25"/>
        <v>41775</v>
      </c>
      <c r="BM123">
        <f t="shared" si="26"/>
        <v>13</v>
      </c>
      <c r="BN123">
        <v>1122</v>
      </c>
      <c r="BO123">
        <v>45432</v>
      </c>
      <c r="BP123" t="str">
        <v>South</v>
      </c>
      <c r="BQ123" t="str">
        <v>Priya</v>
      </c>
      <c r="BR123" t="str">
        <v>Customer_8</v>
      </c>
      <c r="BS123" t="str">
        <v>Furniture</v>
      </c>
      <c r="BT123" t="str">
        <v>Desk</v>
      </c>
      <c r="BU123">
        <v>20</v>
      </c>
      <c r="BV123">
        <v>31953</v>
      </c>
      <c r="BW123">
        <v>5</v>
      </c>
      <c r="BX123">
        <v>607107</v>
      </c>
      <c r="BY123">
        <v>483067.54</v>
      </c>
      <c r="BZ123">
        <v>124039.46</v>
      </c>
      <c r="CA123" t="str">
        <v>NetBanking</v>
      </c>
      <c r="CB123">
        <v>9</v>
      </c>
      <c r="CC123">
        <v>4.5999999999999996</v>
      </c>
      <c r="CD123" t="b">
        <f>COUNTIF(Sales_Data!E:E,Sales_Data!E123)&gt;1</f>
        <v>1</v>
      </c>
      <c r="CE123">
        <f>SUM(Sales_Data!$K$2:'Sales_Data'!K123)</f>
        <v>30718759.299999997</v>
      </c>
      <c r="CF123">
        <f t="shared" si="27"/>
        <v>144353.51999999999</v>
      </c>
      <c r="CG123" t="str">
        <f>CHOOSE(MATCH(C123,{"North","West","South","East"},0),"Zone 1","Zone 2","Zone 3","Zone 4")</f>
        <v>Zone 3</v>
      </c>
      <c r="CH123" t="str" cm="1">
        <f t="array" ref="CH123">_xlfn.SWITCH(N123,"Card","Card Payment","UPI", "UPI Payment","Cash","Cash Payment","NetBanking", "NetBanking Payment", "Unknown")</f>
        <v>Cash Payment</v>
      </c>
      <c r="CI123" t="str" cm="1">
        <f t="array" ref="CI123">_xlfn.IFS(Sales_Data!J123&lt;=5,"Low",Sales_Data!J123&lt;=10,"Medium",Sales_Data!J123&gt;10,"High")</f>
        <v>High</v>
      </c>
    </row>
    <row r="124" spans="1:87" x14ac:dyDescent="0.3">
      <c r="A124">
        <v>1124</v>
      </c>
      <c r="B124" s="1">
        <v>45777</v>
      </c>
      <c r="C124" t="s">
        <v>33</v>
      </c>
      <c r="D124" t="s">
        <v>51</v>
      </c>
      <c r="E124" t="s">
        <v>69</v>
      </c>
      <c r="F124" t="s">
        <v>25</v>
      </c>
      <c r="G124" t="s">
        <v>30</v>
      </c>
      <c r="H124">
        <v>20</v>
      </c>
      <c r="I124">
        <v>25850</v>
      </c>
      <c r="J124">
        <v>10</v>
      </c>
      <c r="K124">
        <v>465300</v>
      </c>
      <c r="L124">
        <v>322127.03000000003</v>
      </c>
      <c r="M124">
        <v>143172.97</v>
      </c>
      <c r="N124" t="s">
        <v>21</v>
      </c>
      <c r="O124">
        <v>7</v>
      </c>
      <c r="P124">
        <v>3.7</v>
      </c>
      <c r="Q124">
        <f t="shared" si="15"/>
        <v>27</v>
      </c>
      <c r="R124" t="str">
        <f t="shared" si="16"/>
        <v>Desk</v>
      </c>
      <c r="S124" t="e">
        <f t="shared" si="17"/>
        <v>#N/A</v>
      </c>
      <c r="AK124">
        <v>1093</v>
      </c>
      <c r="AL124">
        <v>45480</v>
      </c>
      <c r="AM124" t="str">
        <v>North</v>
      </c>
      <c r="AN124" t="str">
        <v>Aman</v>
      </c>
      <c r="AO124" t="str">
        <v>Customer_42</v>
      </c>
      <c r="AP124" t="str">
        <v>Furniture</v>
      </c>
      <c r="AQ124" t="str">
        <v>Desk</v>
      </c>
      <c r="AR124">
        <v>19</v>
      </c>
      <c r="AS124">
        <v>16452</v>
      </c>
      <c r="AT124">
        <v>20</v>
      </c>
      <c r="AU124">
        <v>250070.39999999999</v>
      </c>
      <c r="AV124">
        <v>209692.45</v>
      </c>
      <c r="AW124">
        <v>40377.949999999997</v>
      </c>
      <c r="AX124" t="str">
        <v>NetBanking</v>
      </c>
      <c r="AY124">
        <v>1</v>
      </c>
      <c r="AZ124">
        <v>3.2</v>
      </c>
      <c r="BA124">
        <v>122</v>
      </c>
      <c r="BB124" t="str">
        <v>Desk</v>
      </c>
      <c r="BC124" s="6">
        <f t="shared" si="18"/>
        <v>1</v>
      </c>
      <c r="BD124" t="str">
        <f t="shared" si="19"/>
        <v>Bonus!</v>
      </c>
      <c r="BE124" s="8">
        <f t="shared" si="20"/>
        <v>0.30770034386417366</v>
      </c>
      <c r="BF124" t="str">
        <v>Customer_39</v>
      </c>
      <c r="BG124" t="str">
        <f t="shared" si="21"/>
        <v>East-Desk</v>
      </c>
      <c r="BH124">
        <f t="shared" si="22"/>
        <v>2025</v>
      </c>
      <c r="BI124" t="str">
        <f t="shared" si="23"/>
        <v>April</v>
      </c>
      <c r="BJ124">
        <f t="shared" ca="1" si="14"/>
        <v>306</v>
      </c>
      <c r="BK124" s="8">
        <f t="shared" si="24"/>
        <v>0.30770034386417366</v>
      </c>
      <c r="BL124">
        <f t="shared" si="25"/>
        <v>13233</v>
      </c>
      <c r="BM124">
        <f t="shared" si="26"/>
        <v>38</v>
      </c>
      <c r="BN124">
        <v>1123</v>
      </c>
      <c r="BO124">
        <v>45455</v>
      </c>
      <c r="BP124" t="str">
        <v>South</v>
      </c>
      <c r="BQ124" t="str">
        <v>Karan</v>
      </c>
      <c r="BR124" t="str">
        <v>Customer_44</v>
      </c>
      <c r="BS124" t="str">
        <v>Furniture</v>
      </c>
      <c r="BT124" t="str">
        <v>Mouse</v>
      </c>
      <c r="BU124">
        <v>18</v>
      </c>
      <c r="BV124">
        <v>8717</v>
      </c>
      <c r="BW124">
        <v>20</v>
      </c>
      <c r="BX124">
        <v>125524.8</v>
      </c>
      <c r="BY124">
        <v>70519.3</v>
      </c>
      <c r="BZ124">
        <v>55005.5</v>
      </c>
      <c r="CA124" t="str">
        <v>Cash</v>
      </c>
      <c r="CB124">
        <v>10</v>
      </c>
      <c r="CC124">
        <v>2.7</v>
      </c>
      <c r="CD124" t="b">
        <f>COUNTIF(Sales_Data!E:E,Sales_Data!E124)&gt;1</f>
        <v>1</v>
      </c>
      <c r="CE124">
        <f>SUM(Sales_Data!$K$2:'Sales_Data'!K124)</f>
        <v>31184059.299999997</v>
      </c>
      <c r="CF124">
        <f t="shared" si="27"/>
        <v>535095</v>
      </c>
      <c r="CG124" t="str">
        <f>CHOOSE(MATCH(C124,{"North","West","South","East"},0),"Zone 1","Zone 2","Zone 3","Zone 4")</f>
        <v>Zone 4</v>
      </c>
      <c r="CH124" t="str" cm="1">
        <f t="array" ref="CH124">_xlfn.SWITCH(N124,"Card","Card Payment","UPI", "UPI Payment","Cash","Cash Payment","NetBanking", "NetBanking Payment", "Unknown")</f>
        <v>Card Payment</v>
      </c>
      <c r="CI124" t="str" cm="1">
        <f t="array" ref="CI124">_xlfn.IFS(Sales_Data!J124&lt;=5,"Low",Sales_Data!J124&lt;=10,"Medium",Sales_Data!J124&gt;10,"High")</f>
        <v>Medium</v>
      </c>
    </row>
    <row r="125" spans="1:87" x14ac:dyDescent="0.3">
      <c r="A125">
        <v>1125</v>
      </c>
      <c r="B125" s="1">
        <v>45357</v>
      </c>
      <c r="C125" t="s">
        <v>50</v>
      </c>
      <c r="D125" t="s">
        <v>42</v>
      </c>
      <c r="E125" t="s">
        <v>45</v>
      </c>
      <c r="F125" t="s">
        <v>25</v>
      </c>
      <c r="G125" t="s">
        <v>65</v>
      </c>
      <c r="H125">
        <v>10</v>
      </c>
      <c r="I125">
        <v>7565</v>
      </c>
      <c r="J125">
        <v>15</v>
      </c>
      <c r="K125">
        <v>64302.5</v>
      </c>
      <c r="L125">
        <v>52571.86</v>
      </c>
      <c r="M125">
        <v>11730.64</v>
      </c>
      <c r="N125" t="s">
        <v>48</v>
      </c>
      <c r="O125">
        <v>2</v>
      </c>
      <c r="P125">
        <v>3.4</v>
      </c>
      <c r="Q125">
        <f t="shared" si="15"/>
        <v>169</v>
      </c>
      <c r="R125" t="str">
        <f t="shared" si="16"/>
        <v>Mouse</v>
      </c>
      <c r="S125" t="e">
        <f t="shared" si="17"/>
        <v>#N/A</v>
      </c>
      <c r="AK125">
        <v>1064</v>
      </c>
      <c r="AL125">
        <v>45420</v>
      </c>
      <c r="AM125" t="str">
        <v>East</v>
      </c>
      <c r="AN125" t="str">
        <v>Sneha</v>
      </c>
      <c r="AO125" t="str">
        <v>Customer_19</v>
      </c>
      <c r="AP125" t="str">
        <v>Office Supplies</v>
      </c>
      <c r="AQ125" t="str">
        <v>Laptop</v>
      </c>
      <c r="AR125">
        <v>19</v>
      </c>
      <c r="AS125">
        <v>6726</v>
      </c>
      <c r="AT125">
        <v>10</v>
      </c>
      <c r="AU125">
        <v>115014.6</v>
      </c>
      <c r="AV125">
        <v>75213.81</v>
      </c>
      <c r="AW125">
        <v>39800.79</v>
      </c>
      <c r="AX125" t="str">
        <v>Card</v>
      </c>
      <c r="AY125">
        <v>4</v>
      </c>
      <c r="AZ125">
        <v>4.8</v>
      </c>
      <c r="BA125">
        <v>123</v>
      </c>
      <c r="BB125" t="str">
        <v>Laptop</v>
      </c>
      <c r="BC125" s="6">
        <f t="shared" si="18"/>
        <v>1</v>
      </c>
      <c r="BD125" t="str">
        <f t="shared" si="19"/>
        <v/>
      </c>
      <c r="BE125" s="8">
        <f t="shared" si="20"/>
        <v>0.1824289879864702</v>
      </c>
      <c r="BF125" t="str">
        <v>Customer_39</v>
      </c>
      <c r="BG125" t="str">
        <f t="shared" si="21"/>
        <v>North-Mouse</v>
      </c>
      <c r="BH125">
        <f t="shared" si="22"/>
        <v>2024</v>
      </c>
      <c r="BI125" t="str">
        <f t="shared" si="23"/>
        <v>March</v>
      </c>
      <c r="BJ125">
        <f t="shared" ca="1" si="14"/>
        <v>606</v>
      </c>
      <c r="BK125" s="8">
        <f t="shared" si="24"/>
        <v>0.1824289879864702</v>
      </c>
      <c r="BL125">
        <f t="shared" si="25"/>
        <v>41775</v>
      </c>
      <c r="BM125">
        <f t="shared" si="26"/>
        <v>10</v>
      </c>
      <c r="BN125">
        <v>1124</v>
      </c>
      <c r="BO125">
        <v>45777</v>
      </c>
      <c r="BP125" t="str">
        <v>East</v>
      </c>
      <c r="BQ125" t="str">
        <v>Aman</v>
      </c>
      <c r="BR125" t="str">
        <v>Customer_38</v>
      </c>
      <c r="BS125" t="str">
        <v>Office Supplies</v>
      </c>
      <c r="BT125" t="str">
        <v>Desk</v>
      </c>
      <c r="BU125">
        <v>20</v>
      </c>
      <c r="BV125">
        <v>25850</v>
      </c>
      <c r="BW125">
        <v>10</v>
      </c>
      <c r="BX125">
        <v>465300</v>
      </c>
      <c r="BY125">
        <v>322127.03000000003</v>
      </c>
      <c r="BZ125">
        <v>143172.97</v>
      </c>
      <c r="CA125" t="str">
        <v>Card</v>
      </c>
      <c r="CB125">
        <v>7</v>
      </c>
      <c r="CC125">
        <v>3.7</v>
      </c>
      <c r="CD125" t="b">
        <f>COUNTIF(Sales_Data!E:E,Sales_Data!E125)&gt;1</f>
        <v>1</v>
      </c>
      <c r="CE125">
        <f>SUM(Sales_Data!$K$2:'Sales_Data'!K125)</f>
        <v>31248361.799999997</v>
      </c>
      <c r="CF125">
        <f t="shared" si="27"/>
        <v>73947.875</v>
      </c>
      <c r="CG125" t="str">
        <f>CHOOSE(MATCH(C125,{"North","West","South","East"},0),"Zone 1","Zone 2","Zone 3","Zone 4")</f>
        <v>Zone 1</v>
      </c>
      <c r="CH125" t="str" cm="1">
        <f t="array" ref="CH125">_xlfn.SWITCH(N125,"Card","Card Payment","UPI", "UPI Payment","Cash","Cash Payment","NetBanking", "NetBanking Payment", "Unknown")</f>
        <v>NetBanking Payment</v>
      </c>
      <c r="CI125" t="str" cm="1">
        <f t="array" ref="CI125">_xlfn.IFS(Sales_Data!J125&lt;=5,"Low",Sales_Data!J125&lt;=10,"Medium",Sales_Data!J125&gt;10,"High")</f>
        <v>High</v>
      </c>
    </row>
    <row r="126" spans="1:87" x14ac:dyDescent="0.3">
      <c r="A126">
        <v>1126</v>
      </c>
      <c r="B126" s="1">
        <v>45352</v>
      </c>
      <c r="C126" t="s">
        <v>33</v>
      </c>
      <c r="D126" t="s">
        <v>23</v>
      </c>
      <c r="E126" t="s">
        <v>70</v>
      </c>
      <c r="F126" t="s">
        <v>25</v>
      </c>
      <c r="G126" t="s">
        <v>36</v>
      </c>
      <c r="H126">
        <v>19</v>
      </c>
      <c r="I126">
        <v>14233</v>
      </c>
      <c r="J126">
        <v>20</v>
      </c>
      <c r="K126">
        <v>216341.6</v>
      </c>
      <c r="L126">
        <v>149682.25</v>
      </c>
      <c r="M126">
        <v>66659.350000000006</v>
      </c>
      <c r="N126" t="s">
        <v>48</v>
      </c>
      <c r="O126">
        <v>1</v>
      </c>
      <c r="P126">
        <v>4.5999999999999996</v>
      </c>
      <c r="Q126">
        <f t="shared" si="15"/>
        <v>85</v>
      </c>
      <c r="R126" t="str">
        <f t="shared" si="16"/>
        <v>Laptop</v>
      </c>
      <c r="S126" t="e">
        <f t="shared" si="17"/>
        <v>#N/A</v>
      </c>
      <c r="AK126">
        <v>1017</v>
      </c>
      <c r="AL126">
        <v>45650</v>
      </c>
      <c r="AM126" t="str">
        <v>South</v>
      </c>
      <c r="AN126" t="str">
        <v>Rohan</v>
      </c>
      <c r="AO126" t="str">
        <v>Customer_40</v>
      </c>
      <c r="AP126" t="str">
        <v>Office Supplies</v>
      </c>
      <c r="AQ126" t="str">
        <v>Phone</v>
      </c>
      <c r="AR126">
        <v>19</v>
      </c>
      <c r="AS126">
        <v>4927</v>
      </c>
      <c r="AT126">
        <v>5</v>
      </c>
      <c r="AU126">
        <v>88932.35</v>
      </c>
      <c r="AV126">
        <v>52639.62</v>
      </c>
      <c r="AW126">
        <v>36292.730000000003</v>
      </c>
      <c r="AX126" t="str">
        <v>Cash</v>
      </c>
      <c r="AY126">
        <v>4</v>
      </c>
      <c r="AZ126">
        <v>3.5</v>
      </c>
      <c r="BA126">
        <v>124</v>
      </c>
      <c r="BB126" t="str">
        <v>Phone</v>
      </c>
      <c r="BC126" s="6">
        <f t="shared" si="18"/>
        <v>1</v>
      </c>
      <c r="BD126" t="str">
        <f t="shared" si="19"/>
        <v/>
      </c>
      <c r="BE126" s="8">
        <f t="shared" si="20"/>
        <v>0.30812081448967743</v>
      </c>
      <c r="BF126" t="str">
        <v>Customer_39</v>
      </c>
      <c r="BG126" t="str">
        <f t="shared" si="21"/>
        <v>East-Laptop</v>
      </c>
      <c r="BH126">
        <f t="shared" si="22"/>
        <v>2024</v>
      </c>
      <c r="BI126" t="str">
        <f t="shared" si="23"/>
        <v>March</v>
      </c>
      <c r="BJ126">
        <f t="shared" ca="1" si="14"/>
        <v>609</v>
      </c>
      <c r="BK126" s="8">
        <f t="shared" si="24"/>
        <v>0.30812081448967743</v>
      </c>
      <c r="BL126">
        <f t="shared" si="25"/>
        <v>30283</v>
      </c>
      <c r="BM126">
        <f t="shared" si="26"/>
        <v>42</v>
      </c>
      <c r="BN126">
        <v>1125</v>
      </c>
      <c r="BO126">
        <v>45357</v>
      </c>
      <c r="BP126" t="str">
        <v>North</v>
      </c>
      <c r="BQ126" t="str">
        <v>Priya</v>
      </c>
      <c r="BR126" t="str">
        <v>Customer_47</v>
      </c>
      <c r="BS126" t="str">
        <v>Office Supplies</v>
      </c>
      <c r="BT126" t="str">
        <v>Mouse</v>
      </c>
      <c r="BU126">
        <v>10</v>
      </c>
      <c r="BV126">
        <v>7565</v>
      </c>
      <c r="BW126">
        <v>15</v>
      </c>
      <c r="BX126">
        <v>64302.5</v>
      </c>
      <c r="BY126">
        <v>52571.86</v>
      </c>
      <c r="BZ126">
        <v>11730.64</v>
      </c>
      <c r="CA126" t="str">
        <v>NetBanking</v>
      </c>
      <c r="CB126">
        <v>2</v>
      </c>
      <c r="CC126">
        <v>3.4</v>
      </c>
      <c r="CD126" t="b">
        <f>COUNTIF(Sales_Data!E:E,Sales_Data!E126)&gt;1</f>
        <v>1</v>
      </c>
      <c r="CE126">
        <f>SUM(Sales_Data!$K$2:'Sales_Data'!K126)</f>
        <v>31464703.399999999</v>
      </c>
      <c r="CF126">
        <f t="shared" si="27"/>
        <v>248792.84</v>
      </c>
      <c r="CG126" t="str">
        <f>CHOOSE(MATCH(C126,{"North","West","South","East"},0),"Zone 1","Zone 2","Zone 3","Zone 4")</f>
        <v>Zone 4</v>
      </c>
      <c r="CH126" t="str" cm="1">
        <f t="array" ref="CH126">_xlfn.SWITCH(N126,"Card","Card Payment","UPI", "UPI Payment","Cash","Cash Payment","NetBanking", "NetBanking Payment", "Unknown")</f>
        <v>NetBanking Payment</v>
      </c>
      <c r="CI126" t="str" cm="1">
        <f t="array" ref="CI126">_xlfn.IFS(Sales_Data!J126&lt;=5,"Low",Sales_Data!J126&lt;=10,"Medium",Sales_Data!J126&gt;10,"High")</f>
        <v>High</v>
      </c>
    </row>
    <row r="127" spans="1:87" x14ac:dyDescent="0.3">
      <c r="A127">
        <v>1127</v>
      </c>
      <c r="B127" s="1">
        <v>45459</v>
      </c>
      <c r="C127" t="s">
        <v>33</v>
      </c>
      <c r="D127" t="s">
        <v>39</v>
      </c>
      <c r="E127" t="s">
        <v>45</v>
      </c>
      <c r="F127" t="s">
        <v>19</v>
      </c>
      <c r="G127" t="s">
        <v>41</v>
      </c>
      <c r="H127">
        <v>17</v>
      </c>
      <c r="I127">
        <v>22457</v>
      </c>
      <c r="J127">
        <v>20</v>
      </c>
      <c r="K127">
        <v>305415.2</v>
      </c>
      <c r="L127">
        <v>193951.39</v>
      </c>
      <c r="M127">
        <v>111463.81</v>
      </c>
      <c r="N127" t="s">
        <v>27</v>
      </c>
      <c r="O127">
        <v>3</v>
      </c>
      <c r="P127">
        <v>4.5</v>
      </c>
      <c r="Q127">
        <f t="shared" si="15"/>
        <v>48</v>
      </c>
      <c r="R127" t="str">
        <f t="shared" si="16"/>
        <v>Chair</v>
      </c>
      <c r="S127" t="e">
        <f t="shared" si="17"/>
        <v>#N/A</v>
      </c>
      <c r="AK127">
        <v>1164</v>
      </c>
      <c r="AL127">
        <v>45535</v>
      </c>
      <c r="AM127" t="str">
        <v>North</v>
      </c>
      <c r="AN127" t="str">
        <v>Priya</v>
      </c>
      <c r="AO127" t="str">
        <v>Customer_31</v>
      </c>
      <c r="AP127" t="str">
        <v>Furniture</v>
      </c>
      <c r="AQ127" t="str">
        <v>Monitor</v>
      </c>
      <c r="AR127">
        <v>16</v>
      </c>
      <c r="AS127">
        <v>12921</v>
      </c>
      <c r="AT127">
        <v>15</v>
      </c>
      <c r="AU127">
        <v>175725.6</v>
      </c>
      <c r="AV127">
        <v>141825.91</v>
      </c>
      <c r="AW127">
        <v>33899.69</v>
      </c>
      <c r="AX127" t="str">
        <v>NetBanking</v>
      </c>
      <c r="AY127">
        <v>3</v>
      </c>
      <c r="AZ127">
        <v>4.9000000000000004</v>
      </c>
      <c r="BA127">
        <v>125</v>
      </c>
      <c r="BB127" t="str">
        <v>Monitor</v>
      </c>
      <c r="BC127" s="6">
        <f t="shared" si="18"/>
        <v>2</v>
      </c>
      <c r="BD127" t="str">
        <f t="shared" si="19"/>
        <v>Bonus!</v>
      </c>
      <c r="BE127" s="8">
        <f t="shared" si="20"/>
        <v>0.36495829284200654</v>
      </c>
      <c r="BF127" t="str">
        <v>Customer_39</v>
      </c>
      <c r="BG127" t="str">
        <f t="shared" si="21"/>
        <v>East-Chair</v>
      </c>
      <c r="BH127">
        <f t="shared" si="22"/>
        <v>2024</v>
      </c>
      <c r="BI127" t="str">
        <f t="shared" si="23"/>
        <v>June</v>
      </c>
      <c r="BJ127">
        <f t="shared" ca="1" si="14"/>
        <v>533</v>
      </c>
      <c r="BK127" s="8">
        <f t="shared" si="24"/>
        <v>0.36495829284200654</v>
      </c>
      <c r="BL127">
        <f t="shared" si="25"/>
        <v>4972</v>
      </c>
      <c r="BM127">
        <f t="shared" si="26"/>
        <v>10</v>
      </c>
      <c r="BN127">
        <v>1126</v>
      </c>
      <c r="BO127">
        <v>45352</v>
      </c>
      <c r="BP127" t="str">
        <v>East</v>
      </c>
      <c r="BQ127" t="str">
        <v>Karan</v>
      </c>
      <c r="BR127" t="str">
        <v>Customer_35</v>
      </c>
      <c r="BS127" t="str">
        <v>Office Supplies</v>
      </c>
      <c r="BT127" t="str">
        <v>Laptop</v>
      </c>
      <c r="BU127">
        <v>19</v>
      </c>
      <c r="BV127">
        <v>14233</v>
      </c>
      <c r="BW127">
        <v>20</v>
      </c>
      <c r="BX127">
        <v>216341.6</v>
      </c>
      <c r="BY127">
        <v>149682.25</v>
      </c>
      <c r="BZ127">
        <v>66659.350000000006</v>
      </c>
      <c r="CA127" t="str">
        <v>NetBanking</v>
      </c>
      <c r="CB127">
        <v>1</v>
      </c>
      <c r="CC127">
        <v>4.5999999999999996</v>
      </c>
      <c r="CD127" t="b">
        <f>COUNTIF(Sales_Data!E:E,Sales_Data!E127)&gt;1</f>
        <v>1</v>
      </c>
      <c r="CE127">
        <f>SUM(Sales_Data!$K$2:'Sales_Data'!K127)</f>
        <v>31770118.599999998</v>
      </c>
      <c r="CF127">
        <f t="shared" si="27"/>
        <v>351227.48</v>
      </c>
      <c r="CG127" t="str">
        <f>CHOOSE(MATCH(C127,{"North","West","South","East"},0),"Zone 1","Zone 2","Zone 3","Zone 4")</f>
        <v>Zone 4</v>
      </c>
      <c r="CH127" t="str" cm="1">
        <f t="array" ref="CH127">_xlfn.SWITCH(N127,"Card","Card Payment","UPI", "UPI Payment","Cash","Cash Payment","NetBanking", "NetBanking Payment", "Unknown")</f>
        <v>UPI Payment</v>
      </c>
      <c r="CI127" t="str" cm="1">
        <f t="array" ref="CI127">_xlfn.IFS(Sales_Data!J127&lt;=5,"Low",Sales_Data!J127&lt;=10,"Medium",Sales_Data!J127&gt;10,"High")</f>
        <v>High</v>
      </c>
    </row>
    <row r="128" spans="1:87" x14ac:dyDescent="0.3">
      <c r="A128">
        <v>1128</v>
      </c>
      <c r="B128" s="1">
        <v>45445</v>
      </c>
      <c r="C128" t="s">
        <v>33</v>
      </c>
      <c r="D128" t="s">
        <v>57</v>
      </c>
      <c r="E128" t="s">
        <v>80</v>
      </c>
      <c r="F128" t="s">
        <v>25</v>
      </c>
      <c r="G128" t="s">
        <v>47</v>
      </c>
      <c r="H128">
        <v>7</v>
      </c>
      <c r="I128">
        <v>1605</v>
      </c>
      <c r="J128">
        <v>0</v>
      </c>
      <c r="K128">
        <v>11235</v>
      </c>
      <c r="L128">
        <v>6446.58</v>
      </c>
      <c r="M128">
        <v>4788.42</v>
      </c>
      <c r="N128" t="s">
        <v>27</v>
      </c>
      <c r="O128">
        <v>2</v>
      </c>
      <c r="P128">
        <v>2.9</v>
      </c>
      <c r="Q128">
        <f t="shared" si="15"/>
        <v>188</v>
      </c>
      <c r="R128" t="str">
        <f t="shared" si="16"/>
        <v>Monitor</v>
      </c>
      <c r="S128" t="e">
        <f t="shared" si="17"/>
        <v>#N/A</v>
      </c>
      <c r="AK128">
        <v>1194</v>
      </c>
      <c r="AL128">
        <v>45294</v>
      </c>
      <c r="AM128" t="str">
        <v>West</v>
      </c>
      <c r="AN128" t="str">
        <v>Priya</v>
      </c>
      <c r="AO128" t="str">
        <v>Customer_10</v>
      </c>
      <c r="AP128" t="str">
        <v>Office Supplies</v>
      </c>
      <c r="AQ128" t="str">
        <v>Keyboard</v>
      </c>
      <c r="AR128">
        <v>16</v>
      </c>
      <c r="AS128">
        <v>5045</v>
      </c>
      <c r="AT128">
        <v>5</v>
      </c>
      <c r="AU128">
        <v>76684</v>
      </c>
      <c r="AV128">
        <v>43232.41</v>
      </c>
      <c r="AW128">
        <v>33451.589999999997</v>
      </c>
      <c r="AX128" t="str">
        <v>UPI</v>
      </c>
      <c r="AY128">
        <v>5</v>
      </c>
      <c r="AZ128">
        <v>4.4000000000000004</v>
      </c>
      <c r="BA128">
        <v>126</v>
      </c>
      <c r="BB128" t="str">
        <v>Keyboard</v>
      </c>
      <c r="BC128" s="6">
        <f t="shared" si="18"/>
        <v>2</v>
      </c>
      <c r="BD128" t="str">
        <f t="shared" si="19"/>
        <v/>
      </c>
      <c r="BE128" s="8">
        <f t="shared" si="20"/>
        <v>0.4262056074766355</v>
      </c>
      <c r="BF128" t="str">
        <v>Customer_4</v>
      </c>
      <c r="BG128" t="str">
        <f t="shared" si="21"/>
        <v>East-Monitor</v>
      </c>
      <c r="BH128">
        <f t="shared" si="22"/>
        <v>2024</v>
      </c>
      <c r="BI128" t="str">
        <f t="shared" si="23"/>
        <v>June</v>
      </c>
      <c r="BJ128">
        <f t="shared" ca="1" si="14"/>
        <v>543</v>
      </c>
      <c r="BK128" s="8">
        <f t="shared" si="24"/>
        <v>0.4262056074766355</v>
      </c>
      <c r="BL128">
        <f t="shared" si="25"/>
        <v>26687</v>
      </c>
      <c r="BM128">
        <f t="shared" si="26"/>
        <v>74</v>
      </c>
      <c r="BN128">
        <v>1127</v>
      </c>
      <c r="BO128">
        <v>45459</v>
      </c>
      <c r="BP128" t="str">
        <v>East</v>
      </c>
      <c r="BQ128" t="str">
        <v>Sneha</v>
      </c>
      <c r="BR128" t="str">
        <v>Customer_47</v>
      </c>
      <c r="BS128" t="str">
        <v>Electronics</v>
      </c>
      <c r="BT128" t="str">
        <v>Chair</v>
      </c>
      <c r="BU128">
        <v>17</v>
      </c>
      <c r="BV128">
        <v>22457</v>
      </c>
      <c r="BW128">
        <v>20</v>
      </c>
      <c r="BX128">
        <v>305415.2</v>
      </c>
      <c r="BY128">
        <v>193951.39</v>
      </c>
      <c r="BZ128">
        <v>111463.81</v>
      </c>
      <c r="CA128" t="str">
        <v>UPI</v>
      </c>
      <c r="CB128">
        <v>3</v>
      </c>
      <c r="CC128">
        <v>4.5</v>
      </c>
      <c r="CD128" t="b">
        <f>COUNTIF(Sales_Data!E:E,Sales_Data!E128)&gt;1</f>
        <v>1</v>
      </c>
      <c r="CE128">
        <f>SUM(Sales_Data!$K$2:'Sales_Data'!K128)</f>
        <v>31781353.599999998</v>
      </c>
      <c r="CF128">
        <f t="shared" si="27"/>
        <v>12920.249999999998</v>
      </c>
      <c r="CG128" t="str">
        <f>CHOOSE(MATCH(C128,{"North","West","South","East"},0),"Zone 1","Zone 2","Zone 3","Zone 4")</f>
        <v>Zone 4</v>
      </c>
      <c r="CH128" t="str" cm="1">
        <f t="array" ref="CH128">_xlfn.SWITCH(N128,"Card","Card Payment","UPI", "UPI Payment","Cash","Cash Payment","NetBanking", "NetBanking Payment", "Unknown")</f>
        <v>UPI Payment</v>
      </c>
      <c r="CI128" t="str" cm="1">
        <f t="array" ref="CI128">_xlfn.IFS(Sales_Data!J128&lt;=5,"Low",Sales_Data!J128&lt;=10,"Medium",Sales_Data!J128&gt;10,"High")</f>
        <v>Low</v>
      </c>
    </row>
    <row r="129" spans="1:87" x14ac:dyDescent="0.3">
      <c r="A129">
        <v>1129</v>
      </c>
      <c r="B129" s="1">
        <v>45578</v>
      </c>
      <c r="C129" t="s">
        <v>16</v>
      </c>
      <c r="D129" t="s">
        <v>39</v>
      </c>
      <c r="E129" t="s">
        <v>90</v>
      </c>
      <c r="F129" t="s">
        <v>19</v>
      </c>
      <c r="G129" t="s">
        <v>41</v>
      </c>
      <c r="H129">
        <v>3</v>
      </c>
      <c r="I129">
        <v>18106</v>
      </c>
      <c r="J129">
        <v>15</v>
      </c>
      <c r="K129">
        <v>46170.3</v>
      </c>
      <c r="L129">
        <v>36147.279999999999</v>
      </c>
      <c r="M129">
        <v>10023.02</v>
      </c>
      <c r="N129" t="s">
        <v>37</v>
      </c>
      <c r="O129">
        <v>1</v>
      </c>
      <c r="P129">
        <v>4.3</v>
      </c>
      <c r="Q129">
        <f t="shared" si="15"/>
        <v>176</v>
      </c>
      <c r="R129" t="str">
        <f t="shared" si="16"/>
        <v>Chair</v>
      </c>
      <c r="S129" t="e">
        <f t="shared" si="17"/>
        <v>#N/A</v>
      </c>
      <c r="AK129">
        <v>1004</v>
      </c>
      <c r="AL129">
        <v>45442</v>
      </c>
      <c r="AM129" t="str">
        <v>South</v>
      </c>
      <c r="AN129" t="str">
        <v>Arjun</v>
      </c>
      <c r="AO129" t="str">
        <v>Customer_24</v>
      </c>
      <c r="AP129" t="str">
        <v>Office Supplies</v>
      </c>
      <c r="AQ129" t="str">
        <v>Desk</v>
      </c>
      <c r="AR129">
        <v>20</v>
      </c>
      <c r="AS129">
        <v>13233</v>
      </c>
      <c r="AT129">
        <v>20</v>
      </c>
      <c r="AU129">
        <v>211728</v>
      </c>
      <c r="AV129">
        <v>178596.79</v>
      </c>
      <c r="AW129">
        <v>33131.21</v>
      </c>
      <c r="AX129" t="str">
        <v>UPI</v>
      </c>
      <c r="AY129">
        <v>10</v>
      </c>
      <c r="AZ129">
        <v>3.2</v>
      </c>
      <c r="BA129">
        <v>127</v>
      </c>
      <c r="BB129" t="str">
        <v>Desk</v>
      </c>
      <c r="BC129" s="6">
        <f t="shared" si="18"/>
        <v>3</v>
      </c>
      <c r="BD129" t="str">
        <f t="shared" si="19"/>
        <v/>
      </c>
      <c r="BE129" s="8">
        <f t="shared" si="20"/>
        <v>0.21708804144655763</v>
      </c>
      <c r="BF129" t="str">
        <v>Customer_4</v>
      </c>
      <c r="BG129" t="str">
        <f t="shared" si="21"/>
        <v>West-Chair</v>
      </c>
      <c r="BH129">
        <f t="shared" si="22"/>
        <v>2024</v>
      </c>
      <c r="BI129" t="str">
        <f t="shared" si="23"/>
        <v>October</v>
      </c>
      <c r="BJ129">
        <f t="shared" ca="1" si="14"/>
        <v>448</v>
      </c>
      <c r="BK129" s="8">
        <f t="shared" si="24"/>
        <v>0.21708804144655763</v>
      </c>
      <c r="BL129">
        <f t="shared" si="25"/>
        <v>4972</v>
      </c>
      <c r="BM129">
        <f t="shared" si="26"/>
        <v>113</v>
      </c>
      <c r="BN129">
        <v>1128</v>
      </c>
      <c r="BO129">
        <v>45445</v>
      </c>
      <c r="BP129" t="str">
        <v>East</v>
      </c>
      <c r="BQ129" t="str">
        <v>Megha</v>
      </c>
      <c r="BR129" t="str">
        <v>Customer_41</v>
      </c>
      <c r="BS129" t="str">
        <v>Office Supplies</v>
      </c>
      <c r="BT129" t="str">
        <v>Monitor</v>
      </c>
      <c r="BU129">
        <v>7</v>
      </c>
      <c r="BV129">
        <v>1605</v>
      </c>
      <c r="BW129">
        <v>0</v>
      </c>
      <c r="BX129">
        <v>11235</v>
      </c>
      <c r="BY129">
        <v>6446.58</v>
      </c>
      <c r="BZ129">
        <v>4788.42</v>
      </c>
      <c r="CA129" t="str">
        <v>UPI</v>
      </c>
      <c r="CB129">
        <v>2</v>
      </c>
      <c r="CC129">
        <v>2.9</v>
      </c>
      <c r="CD129" t="b">
        <f>COUNTIF(Sales_Data!E:E,Sales_Data!E129)&gt;1</f>
        <v>1</v>
      </c>
      <c r="CE129">
        <f>SUM(Sales_Data!$K$2:'Sales_Data'!K129)</f>
        <v>31827523.899999999</v>
      </c>
      <c r="CF129">
        <f t="shared" si="27"/>
        <v>53095.845000000001</v>
      </c>
      <c r="CG129" t="str">
        <f>CHOOSE(MATCH(C129,{"North","West","South","East"},0),"Zone 1","Zone 2","Zone 3","Zone 4")</f>
        <v>Zone 2</v>
      </c>
      <c r="CH129" t="str" cm="1">
        <f t="array" ref="CH129">_xlfn.SWITCH(N129,"Card","Card Payment","UPI", "UPI Payment","Cash","Cash Payment","NetBanking", "NetBanking Payment", "Unknown")</f>
        <v>Cash Payment</v>
      </c>
      <c r="CI129" t="str" cm="1">
        <f t="array" ref="CI129">_xlfn.IFS(Sales_Data!J129&lt;=5,"Low",Sales_Data!J129&lt;=10,"Medium",Sales_Data!J129&gt;10,"High")</f>
        <v>High</v>
      </c>
    </row>
    <row r="130" spans="1:87" x14ac:dyDescent="0.3">
      <c r="A130">
        <v>1130</v>
      </c>
      <c r="B130" s="1">
        <v>45531</v>
      </c>
      <c r="C130" t="s">
        <v>22</v>
      </c>
      <c r="D130" t="s">
        <v>23</v>
      </c>
      <c r="E130" t="s">
        <v>91</v>
      </c>
      <c r="F130" t="s">
        <v>35</v>
      </c>
      <c r="G130" t="s">
        <v>36</v>
      </c>
      <c r="H130">
        <v>12</v>
      </c>
      <c r="I130">
        <v>17649</v>
      </c>
      <c r="J130">
        <v>5</v>
      </c>
      <c r="K130">
        <v>201198.6</v>
      </c>
      <c r="L130">
        <v>132394.13</v>
      </c>
      <c r="M130">
        <v>68804.47</v>
      </c>
      <c r="N130" t="s">
        <v>48</v>
      </c>
      <c r="O130">
        <v>6</v>
      </c>
      <c r="P130">
        <v>2.7</v>
      </c>
      <c r="Q130">
        <f t="shared" si="15"/>
        <v>83</v>
      </c>
      <c r="R130" t="str">
        <f t="shared" si="16"/>
        <v>Laptop</v>
      </c>
      <c r="S130" t="e">
        <f t="shared" si="17"/>
        <v>#N/A</v>
      </c>
      <c r="AK130">
        <v>1176</v>
      </c>
      <c r="AL130">
        <v>45502</v>
      </c>
      <c r="AM130" t="str">
        <v>North</v>
      </c>
      <c r="AN130" t="str">
        <v>Sneha</v>
      </c>
      <c r="AO130" t="str">
        <v>Customer_6</v>
      </c>
      <c r="AP130" t="str">
        <v>Furniture</v>
      </c>
      <c r="AQ130" t="str">
        <v>Desk</v>
      </c>
      <c r="AR130">
        <v>3</v>
      </c>
      <c r="AS130">
        <v>27215</v>
      </c>
      <c r="AT130">
        <v>10</v>
      </c>
      <c r="AU130">
        <v>73480.5</v>
      </c>
      <c r="AV130">
        <v>41716.11</v>
      </c>
      <c r="AW130">
        <v>31764.39</v>
      </c>
      <c r="AX130" t="str">
        <v>NetBanking</v>
      </c>
      <c r="AY130">
        <v>4</v>
      </c>
      <c r="AZ130">
        <v>4.5999999999999996</v>
      </c>
      <c r="BA130">
        <v>128</v>
      </c>
      <c r="BB130" t="str">
        <v>Desk</v>
      </c>
      <c r="BC130" s="6">
        <f t="shared" si="18"/>
        <v>3</v>
      </c>
      <c r="BD130" t="str">
        <f t="shared" si="19"/>
        <v/>
      </c>
      <c r="BE130" s="8">
        <f t="shared" si="20"/>
        <v>0.34197290637211192</v>
      </c>
      <c r="BF130" t="str">
        <v>Customer_40</v>
      </c>
      <c r="BG130" t="str">
        <f t="shared" si="21"/>
        <v>South-Laptop</v>
      </c>
      <c r="BH130">
        <f t="shared" si="22"/>
        <v>2024</v>
      </c>
      <c r="BI130" t="str">
        <f t="shared" si="23"/>
        <v>August</v>
      </c>
      <c r="BJ130">
        <f t="shared" ref="BJ130:BJ193" ca="1" si="28">NETWORKDAYS(B130,TODAY())</f>
        <v>482</v>
      </c>
      <c r="BK130" s="8">
        <f t="shared" si="24"/>
        <v>0.34197290637211192</v>
      </c>
      <c r="BL130">
        <f t="shared" si="25"/>
        <v>30283</v>
      </c>
      <c r="BM130">
        <f t="shared" si="26"/>
        <v>130</v>
      </c>
      <c r="BN130">
        <v>1129</v>
      </c>
      <c r="BO130">
        <v>45578</v>
      </c>
      <c r="BP130" t="str">
        <v>West</v>
      </c>
      <c r="BQ130" t="str">
        <v>Sneha</v>
      </c>
      <c r="BR130" t="str">
        <v>Customer_27</v>
      </c>
      <c r="BS130" t="str">
        <v>Electronics</v>
      </c>
      <c r="BT130" t="str">
        <v>Chair</v>
      </c>
      <c r="BU130">
        <v>3</v>
      </c>
      <c r="BV130">
        <v>18106</v>
      </c>
      <c r="BW130">
        <v>15</v>
      </c>
      <c r="BX130">
        <v>46170.3</v>
      </c>
      <c r="BY130">
        <v>36147.279999999999</v>
      </c>
      <c r="BZ130">
        <v>10023.02</v>
      </c>
      <c r="CA130" t="str">
        <v>Cash</v>
      </c>
      <c r="CB130">
        <v>1</v>
      </c>
      <c r="CC130">
        <v>4.3</v>
      </c>
      <c r="CD130" t="b">
        <f>COUNTIF(Sales_Data!E:E,Sales_Data!E130)&gt;1</f>
        <v>1</v>
      </c>
      <c r="CE130">
        <f>SUM(Sales_Data!$K$2:'Sales_Data'!K130)</f>
        <v>32028722.5</v>
      </c>
      <c r="CF130">
        <f t="shared" si="27"/>
        <v>231378.38999999998</v>
      </c>
      <c r="CG130" t="str">
        <f>CHOOSE(MATCH(C130,{"North","West","South","East"},0),"Zone 1","Zone 2","Zone 3","Zone 4")</f>
        <v>Zone 3</v>
      </c>
      <c r="CH130" t="str" cm="1">
        <f t="array" ref="CH130">_xlfn.SWITCH(N130,"Card","Card Payment","UPI", "UPI Payment","Cash","Cash Payment","NetBanking", "NetBanking Payment", "Unknown")</f>
        <v>NetBanking Payment</v>
      </c>
      <c r="CI130" t="str" cm="1">
        <f t="array" ref="CI130">_xlfn.IFS(Sales_Data!J130&lt;=5,"Low",Sales_Data!J130&lt;=10,"Medium",Sales_Data!J130&gt;10,"High")</f>
        <v>Low</v>
      </c>
    </row>
    <row r="131" spans="1:87" x14ac:dyDescent="0.3">
      <c r="A131">
        <v>1131</v>
      </c>
      <c r="B131" s="1">
        <v>45789</v>
      </c>
      <c r="C131" t="s">
        <v>33</v>
      </c>
      <c r="D131" t="s">
        <v>57</v>
      </c>
      <c r="E131" t="s">
        <v>90</v>
      </c>
      <c r="F131" t="s">
        <v>19</v>
      </c>
      <c r="G131" t="s">
        <v>36</v>
      </c>
      <c r="H131">
        <v>12</v>
      </c>
      <c r="I131">
        <v>42610</v>
      </c>
      <c r="J131">
        <v>5</v>
      </c>
      <c r="K131">
        <v>485754</v>
      </c>
      <c r="L131">
        <v>306428.53000000003</v>
      </c>
      <c r="M131">
        <v>179325.47</v>
      </c>
      <c r="N131" t="s">
        <v>37</v>
      </c>
      <c r="O131">
        <v>3</v>
      </c>
      <c r="P131">
        <v>4</v>
      </c>
      <c r="Q131">
        <f t="shared" ref="Q131:Q194" si="29">RANK(M131,$M$2:$M$1000)</f>
        <v>14</v>
      </c>
      <c r="R131" t="str">
        <f t="shared" ref="R131:R194" si="30">_xlfn.XLOOKUP(A131,A:A,G:G,"")</f>
        <v>Laptop</v>
      </c>
      <c r="S131" t="e">
        <f t="shared" ref="S131:S194" si="31">INDEX(D:D,MATCH($T$1,A:A,0))</f>
        <v>#N/A</v>
      </c>
      <c r="AK131">
        <v>1098</v>
      </c>
      <c r="AL131">
        <v>45727</v>
      </c>
      <c r="AM131" t="str">
        <v>South</v>
      </c>
      <c r="AN131" t="str">
        <v>Sneha</v>
      </c>
      <c r="AO131" t="str">
        <v>Customer_22</v>
      </c>
      <c r="AP131" t="str">
        <v>Electronics</v>
      </c>
      <c r="AQ131" t="str">
        <v>Chair</v>
      </c>
      <c r="AR131">
        <v>6</v>
      </c>
      <c r="AS131">
        <v>15937</v>
      </c>
      <c r="AT131">
        <v>20</v>
      </c>
      <c r="AU131">
        <v>76497.600000000006</v>
      </c>
      <c r="AV131">
        <v>44848.76</v>
      </c>
      <c r="AW131">
        <v>31648.84</v>
      </c>
      <c r="AX131" t="str">
        <v>NetBanking</v>
      </c>
      <c r="AY131">
        <v>3</v>
      </c>
      <c r="AZ131">
        <v>3.4</v>
      </c>
      <c r="BA131">
        <v>129</v>
      </c>
      <c r="BB131" t="str">
        <v>Chair</v>
      </c>
      <c r="BC131" s="6">
        <f t="shared" ref="BC131:BC194" si="32">ROUND(MONTH(B131)/3,0)</f>
        <v>2</v>
      </c>
      <c r="BD131" t="str">
        <f t="shared" ref="BD131:BD194" si="33">IF(M131&gt;100000,"Bonus!","")</f>
        <v>Bonus!</v>
      </c>
      <c r="BE131" s="8">
        <f t="shared" ref="BE131:BE194" si="34">_xlfn.LET(_xlpm.profit,M131,_xlpm.sales,K131,_xlpm.profit/_xlpm.sales)</f>
        <v>0.36916931203860393</v>
      </c>
      <c r="BF131" t="str">
        <v>Customer_40</v>
      </c>
      <c r="BG131" t="str">
        <f t="shared" ref="BG131:BG194" si="35">_xlfn.TEXTJOIN("-",TRUE,C131,G131)</f>
        <v>East-Laptop</v>
      </c>
      <c r="BH131">
        <f t="shared" ref="BH131:BH194" si="36">YEAR(B131)</f>
        <v>2025</v>
      </c>
      <c r="BI131" t="str">
        <f t="shared" ref="BI131:BI194" si="37">TEXT(B131,"mmmm")</f>
        <v>May</v>
      </c>
      <c r="BJ131">
        <f t="shared" ca="1" si="28"/>
        <v>298</v>
      </c>
      <c r="BK131" s="8">
        <f t="shared" ref="BK131:BK194" si="38">M131/K131</f>
        <v>0.36916931203860393</v>
      </c>
      <c r="BL131">
        <f t="shared" ref="BL131:BL194" si="39">_xlfn.XLOOKUP(G131,G:G,I:I,"",0)</f>
        <v>30283</v>
      </c>
      <c r="BM131">
        <f t="shared" ref="BM131:BM194" si="40">_xlfn.XMATCH(E131,E:E,0)</f>
        <v>113</v>
      </c>
      <c r="BN131">
        <v>1130</v>
      </c>
      <c r="BO131">
        <v>45531</v>
      </c>
      <c r="BP131" t="str">
        <v>South</v>
      </c>
      <c r="BQ131" t="str">
        <v>Karan</v>
      </c>
      <c r="BR131" t="str">
        <v>Customer_32</v>
      </c>
      <c r="BS131" t="str">
        <v>Furniture</v>
      </c>
      <c r="BT131" t="str">
        <v>Laptop</v>
      </c>
      <c r="BU131">
        <v>12</v>
      </c>
      <c r="BV131">
        <v>17649</v>
      </c>
      <c r="BW131">
        <v>5</v>
      </c>
      <c r="BX131">
        <v>201198.6</v>
      </c>
      <c r="BY131">
        <v>132394.13</v>
      </c>
      <c r="BZ131">
        <v>68804.47</v>
      </c>
      <c r="CA131" t="str">
        <v>NetBanking</v>
      </c>
      <c r="CB131">
        <v>6</v>
      </c>
      <c r="CC131">
        <v>2.7</v>
      </c>
      <c r="CD131" t="b">
        <f>COUNTIF(Sales_Data!E:E,Sales_Data!E131)&gt;1</f>
        <v>1</v>
      </c>
      <c r="CE131">
        <f>SUM(Sales_Data!$K$2:'Sales_Data'!K131)</f>
        <v>32514476.5</v>
      </c>
      <c r="CF131">
        <f t="shared" ref="CF131:CF194" si="41">K131*1.15</f>
        <v>558617.1</v>
      </c>
      <c r="CG131" t="str">
        <f>CHOOSE(MATCH(C131,{"North","West","South","East"},0),"Zone 1","Zone 2","Zone 3","Zone 4")</f>
        <v>Zone 4</v>
      </c>
      <c r="CH131" t="str" cm="1">
        <f t="array" ref="CH131">_xlfn.SWITCH(N131,"Card","Card Payment","UPI", "UPI Payment","Cash","Cash Payment","NetBanking", "NetBanking Payment", "Unknown")</f>
        <v>Cash Payment</v>
      </c>
      <c r="CI131" t="str" cm="1">
        <f t="array" ref="CI131">_xlfn.IFS(Sales_Data!J131&lt;=5,"Low",Sales_Data!J131&lt;=10,"Medium",Sales_Data!J131&gt;10,"High")</f>
        <v>Low</v>
      </c>
    </row>
    <row r="132" spans="1:87" x14ac:dyDescent="0.3">
      <c r="A132">
        <v>1132</v>
      </c>
      <c r="B132" s="1">
        <v>45504</v>
      </c>
      <c r="C132" t="s">
        <v>22</v>
      </c>
      <c r="D132" t="s">
        <v>31</v>
      </c>
      <c r="E132" t="s">
        <v>18</v>
      </c>
      <c r="F132" t="s">
        <v>19</v>
      </c>
      <c r="G132" t="s">
        <v>30</v>
      </c>
      <c r="H132">
        <v>9</v>
      </c>
      <c r="I132">
        <v>6477</v>
      </c>
      <c r="J132">
        <v>0</v>
      </c>
      <c r="K132">
        <v>58293</v>
      </c>
      <c r="L132">
        <v>39748.080000000002</v>
      </c>
      <c r="M132">
        <v>18544.919999999998</v>
      </c>
      <c r="N132" t="s">
        <v>37</v>
      </c>
      <c r="O132">
        <v>10</v>
      </c>
      <c r="P132">
        <v>3.2</v>
      </c>
      <c r="Q132">
        <f t="shared" si="29"/>
        <v>150</v>
      </c>
      <c r="R132" t="str">
        <f t="shared" si="30"/>
        <v>Desk</v>
      </c>
      <c r="S132" t="e">
        <f t="shared" si="31"/>
        <v>#N/A</v>
      </c>
      <c r="AK132">
        <v>1177</v>
      </c>
      <c r="AL132">
        <v>45606</v>
      </c>
      <c r="AM132" t="str">
        <v>East</v>
      </c>
      <c r="AN132" t="str">
        <v>Sneha</v>
      </c>
      <c r="AO132" t="str">
        <v>Customer_5</v>
      </c>
      <c r="AP132" t="str">
        <v>Furniture</v>
      </c>
      <c r="AQ132" t="str">
        <v>Chair</v>
      </c>
      <c r="AR132">
        <v>13</v>
      </c>
      <c r="AS132">
        <v>15227</v>
      </c>
      <c r="AT132">
        <v>0</v>
      </c>
      <c r="AU132">
        <v>197951</v>
      </c>
      <c r="AV132">
        <v>167503.20000000001</v>
      </c>
      <c r="AW132">
        <v>30447.8</v>
      </c>
      <c r="AX132" t="str">
        <v>UPI</v>
      </c>
      <c r="AY132">
        <v>5</v>
      </c>
      <c r="AZ132">
        <v>3.8</v>
      </c>
      <c r="BA132">
        <v>130</v>
      </c>
      <c r="BB132" t="str">
        <v>Chair</v>
      </c>
      <c r="BC132" s="6">
        <f t="shared" si="32"/>
        <v>2</v>
      </c>
      <c r="BD132" t="str">
        <f t="shared" si="33"/>
        <v/>
      </c>
      <c r="BE132" s="8">
        <f t="shared" si="34"/>
        <v>0.31813288044876742</v>
      </c>
      <c r="BF132" t="str">
        <v>Customer_40</v>
      </c>
      <c r="BG132" t="str">
        <f t="shared" si="35"/>
        <v>South-Desk</v>
      </c>
      <c r="BH132">
        <f t="shared" si="36"/>
        <v>2024</v>
      </c>
      <c r="BI132" t="str">
        <f t="shared" si="37"/>
        <v>July</v>
      </c>
      <c r="BJ132">
        <f t="shared" ca="1" si="28"/>
        <v>501</v>
      </c>
      <c r="BK132" s="8">
        <f t="shared" si="38"/>
        <v>0.31813288044876742</v>
      </c>
      <c r="BL132">
        <f t="shared" si="39"/>
        <v>13233</v>
      </c>
      <c r="BM132">
        <f t="shared" si="40"/>
        <v>2</v>
      </c>
      <c r="BN132">
        <v>1131</v>
      </c>
      <c r="BO132">
        <v>45789</v>
      </c>
      <c r="BP132" t="str">
        <v>East</v>
      </c>
      <c r="BQ132" t="str">
        <v>Megha</v>
      </c>
      <c r="BR132" t="str">
        <v>Customer_27</v>
      </c>
      <c r="BS132" t="str">
        <v>Electronics</v>
      </c>
      <c r="BT132" t="str">
        <v>Laptop</v>
      </c>
      <c r="BU132">
        <v>12</v>
      </c>
      <c r="BV132">
        <v>42610</v>
      </c>
      <c r="BW132">
        <v>5</v>
      </c>
      <c r="BX132">
        <v>485754</v>
      </c>
      <c r="BY132">
        <v>306428.53000000003</v>
      </c>
      <c r="BZ132">
        <v>179325.47</v>
      </c>
      <c r="CA132" t="str">
        <v>Cash</v>
      </c>
      <c r="CB132">
        <v>3</v>
      </c>
      <c r="CC132">
        <v>4</v>
      </c>
      <c r="CD132" t="b">
        <f>COUNTIF(Sales_Data!E:E,Sales_Data!E132)&gt;1</f>
        <v>1</v>
      </c>
      <c r="CE132">
        <f>SUM(Sales_Data!$K$2:'Sales_Data'!K132)</f>
        <v>32572769.5</v>
      </c>
      <c r="CF132">
        <f t="shared" si="41"/>
        <v>67036.95</v>
      </c>
      <c r="CG132" t="str">
        <f>CHOOSE(MATCH(C132,{"North","West","South","East"},0),"Zone 1","Zone 2","Zone 3","Zone 4")</f>
        <v>Zone 3</v>
      </c>
      <c r="CH132" t="str" cm="1">
        <f t="array" ref="CH132">_xlfn.SWITCH(N132,"Card","Card Payment","UPI", "UPI Payment","Cash","Cash Payment","NetBanking", "NetBanking Payment", "Unknown")</f>
        <v>Cash Payment</v>
      </c>
      <c r="CI132" t="str" cm="1">
        <f t="array" ref="CI132">_xlfn.IFS(Sales_Data!J132&lt;=5,"Low",Sales_Data!J132&lt;=10,"Medium",Sales_Data!J132&gt;10,"High")</f>
        <v>Low</v>
      </c>
    </row>
    <row r="133" spans="1:87" x14ac:dyDescent="0.3">
      <c r="A133">
        <v>1133</v>
      </c>
      <c r="B133" s="1">
        <v>45431</v>
      </c>
      <c r="C133" t="s">
        <v>16</v>
      </c>
      <c r="D133" t="s">
        <v>17</v>
      </c>
      <c r="E133" t="s">
        <v>40</v>
      </c>
      <c r="F133" t="s">
        <v>35</v>
      </c>
      <c r="G133" t="s">
        <v>65</v>
      </c>
      <c r="H133">
        <v>16</v>
      </c>
      <c r="I133">
        <v>13036</v>
      </c>
      <c r="J133">
        <v>10</v>
      </c>
      <c r="K133">
        <v>187718.39999999999</v>
      </c>
      <c r="L133">
        <v>125240.8</v>
      </c>
      <c r="M133">
        <v>62477.599999999999</v>
      </c>
      <c r="N133" t="s">
        <v>21</v>
      </c>
      <c r="O133">
        <v>8</v>
      </c>
      <c r="P133">
        <v>4.8</v>
      </c>
      <c r="Q133">
        <f t="shared" si="29"/>
        <v>92</v>
      </c>
      <c r="R133" t="str">
        <f t="shared" si="30"/>
        <v>Mouse</v>
      </c>
      <c r="S133" t="e">
        <f t="shared" si="31"/>
        <v>#N/A</v>
      </c>
      <c r="AK133">
        <v>1077</v>
      </c>
      <c r="AL133">
        <v>45548</v>
      </c>
      <c r="AM133" t="str">
        <v>South</v>
      </c>
      <c r="AN133" t="str">
        <v>Karan</v>
      </c>
      <c r="AO133" t="str">
        <v>Customer_43</v>
      </c>
      <c r="AP133" t="str">
        <v>Furniture</v>
      </c>
      <c r="AQ133" t="str">
        <v>Laptop</v>
      </c>
      <c r="AR133">
        <v>8</v>
      </c>
      <c r="AS133">
        <v>16701</v>
      </c>
      <c r="AT133">
        <v>20</v>
      </c>
      <c r="AU133">
        <v>106886.39999999999</v>
      </c>
      <c r="AV133">
        <v>76645.440000000002</v>
      </c>
      <c r="AW133">
        <v>30240.959999999999</v>
      </c>
      <c r="AX133" t="str">
        <v>Cash</v>
      </c>
      <c r="AY133">
        <v>4</v>
      </c>
      <c r="AZ133">
        <v>3.3</v>
      </c>
      <c r="BA133">
        <v>131</v>
      </c>
      <c r="BB133" t="str">
        <v>Laptop</v>
      </c>
      <c r="BC133" s="6">
        <f t="shared" si="32"/>
        <v>2</v>
      </c>
      <c r="BD133" t="str">
        <f t="shared" si="33"/>
        <v/>
      </c>
      <c r="BE133" s="8">
        <f t="shared" si="34"/>
        <v>0.33282619071971636</v>
      </c>
      <c r="BF133" t="str">
        <v>Customer_40</v>
      </c>
      <c r="BG133" t="str">
        <f t="shared" si="35"/>
        <v>West-Mouse</v>
      </c>
      <c r="BH133">
        <f t="shared" si="36"/>
        <v>2024</v>
      </c>
      <c r="BI133" t="str">
        <f t="shared" si="37"/>
        <v>May</v>
      </c>
      <c r="BJ133">
        <f t="shared" ca="1" si="28"/>
        <v>553</v>
      </c>
      <c r="BK133" s="8">
        <f t="shared" si="38"/>
        <v>0.33282619071971636</v>
      </c>
      <c r="BL133">
        <f t="shared" si="39"/>
        <v>41775</v>
      </c>
      <c r="BM133">
        <f t="shared" si="40"/>
        <v>8</v>
      </c>
      <c r="BN133">
        <v>1132</v>
      </c>
      <c r="BO133">
        <v>45504</v>
      </c>
      <c r="BP133" t="str">
        <v>South</v>
      </c>
      <c r="BQ133" t="str">
        <v>Neha</v>
      </c>
      <c r="BR133" t="str">
        <v>Customer_46</v>
      </c>
      <c r="BS133" t="str">
        <v>Electronics</v>
      </c>
      <c r="BT133" t="str">
        <v>Desk</v>
      </c>
      <c r="BU133">
        <v>9</v>
      </c>
      <c r="BV133">
        <v>6477</v>
      </c>
      <c r="BW133">
        <v>0</v>
      </c>
      <c r="BX133">
        <v>58293</v>
      </c>
      <c r="BY133">
        <v>39748.080000000002</v>
      </c>
      <c r="BZ133">
        <v>18544.919999999998</v>
      </c>
      <c r="CA133" t="str">
        <v>Cash</v>
      </c>
      <c r="CB133">
        <v>10</v>
      </c>
      <c r="CC133">
        <v>3.2</v>
      </c>
      <c r="CD133" t="b">
        <f>COUNTIF(Sales_Data!E:E,Sales_Data!E133)&gt;1</f>
        <v>1</v>
      </c>
      <c r="CE133">
        <f>SUM(Sales_Data!$K$2:'Sales_Data'!K133)</f>
        <v>32760487.899999999</v>
      </c>
      <c r="CF133">
        <f t="shared" si="41"/>
        <v>215876.15999999997</v>
      </c>
      <c r="CG133" t="str">
        <f>CHOOSE(MATCH(C133,{"North","West","South","East"},0),"Zone 1","Zone 2","Zone 3","Zone 4")</f>
        <v>Zone 2</v>
      </c>
      <c r="CH133" t="str" cm="1">
        <f t="array" ref="CH133">_xlfn.SWITCH(N133,"Card","Card Payment","UPI", "UPI Payment","Cash","Cash Payment","NetBanking", "NetBanking Payment", "Unknown")</f>
        <v>Card Payment</v>
      </c>
      <c r="CI133" t="str" cm="1">
        <f t="array" ref="CI133">_xlfn.IFS(Sales_Data!J133&lt;=5,"Low",Sales_Data!J133&lt;=10,"Medium",Sales_Data!J133&gt;10,"High")</f>
        <v>Medium</v>
      </c>
    </row>
    <row r="134" spans="1:87" x14ac:dyDescent="0.3">
      <c r="A134">
        <v>1134</v>
      </c>
      <c r="B134" s="1">
        <v>45617</v>
      </c>
      <c r="C134" t="s">
        <v>33</v>
      </c>
      <c r="D134" t="s">
        <v>51</v>
      </c>
      <c r="E134" t="s">
        <v>75</v>
      </c>
      <c r="F134" t="s">
        <v>19</v>
      </c>
      <c r="G134" t="s">
        <v>44</v>
      </c>
      <c r="H134">
        <v>20</v>
      </c>
      <c r="I134">
        <v>16396</v>
      </c>
      <c r="J134">
        <v>0</v>
      </c>
      <c r="K134">
        <v>327920</v>
      </c>
      <c r="L134">
        <v>186074.48</v>
      </c>
      <c r="M134">
        <v>141845.51999999999</v>
      </c>
      <c r="N134" t="s">
        <v>48</v>
      </c>
      <c r="O134">
        <v>8</v>
      </c>
      <c r="P134">
        <v>4.4000000000000004</v>
      </c>
      <c r="Q134">
        <f t="shared" si="29"/>
        <v>29</v>
      </c>
      <c r="R134" t="str">
        <f t="shared" si="30"/>
        <v>Printer</v>
      </c>
      <c r="S134" t="e">
        <f t="shared" si="31"/>
        <v>#N/A</v>
      </c>
      <c r="AK134">
        <v>1032</v>
      </c>
      <c r="AL134">
        <v>45672</v>
      </c>
      <c r="AM134" t="str">
        <v>North</v>
      </c>
      <c r="AN134" t="str">
        <v>Priya</v>
      </c>
      <c r="AO134" t="str">
        <v>Customer_25</v>
      </c>
      <c r="AP134" t="str">
        <v>Office Supplies</v>
      </c>
      <c r="AQ134" t="str">
        <v>Laptop</v>
      </c>
      <c r="AR134">
        <v>5</v>
      </c>
      <c r="AS134">
        <v>26404</v>
      </c>
      <c r="AT134">
        <v>5</v>
      </c>
      <c r="AU134">
        <v>125419</v>
      </c>
      <c r="AV134">
        <v>95873</v>
      </c>
      <c r="AW134">
        <v>29546</v>
      </c>
      <c r="AX134" t="str">
        <v>Card</v>
      </c>
      <c r="AY134">
        <v>8</v>
      </c>
      <c r="AZ134">
        <v>4.9000000000000004</v>
      </c>
      <c r="BA134">
        <v>132</v>
      </c>
      <c r="BB134" t="str">
        <v>Laptop</v>
      </c>
      <c r="BC134" s="6">
        <f t="shared" si="32"/>
        <v>4</v>
      </c>
      <c r="BD134" t="str">
        <f t="shared" si="33"/>
        <v>Bonus!</v>
      </c>
      <c r="BE134" s="8">
        <f t="shared" si="34"/>
        <v>0.43256135642839716</v>
      </c>
      <c r="BF134" t="str">
        <v>Customer_40</v>
      </c>
      <c r="BG134" t="str">
        <f t="shared" si="35"/>
        <v>East-Printer</v>
      </c>
      <c r="BH134">
        <f t="shared" si="36"/>
        <v>2024</v>
      </c>
      <c r="BI134" t="str">
        <f t="shared" si="37"/>
        <v>November</v>
      </c>
      <c r="BJ134">
        <f t="shared" ca="1" si="28"/>
        <v>420</v>
      </c>
      <c r="BK134" s="8">
        <f t="shared" si="38"/>
        <v>0.43256135642839716</v>
      </c>
      <c r="BL134">
        <f t="shared" si="39"/>
        <v>1561</v>
      </c>
      <c r="BM134">
        <f t="shared" si="40"/>
        <v>52</v>
      </c>
      <c r="BN134">
        <v>1133</v>
      </c>
      <c r="BO134">
        <v>45431</v>
      </c>
      <c r="BP134" t="str">
        <v>West</v>
      </c>
      <c r="BQ134" t="str">
        <v>Rohan</v>
      </c>
      <c r="BR134" t="str">
        <v>Customer_30</v>
      </c>
      <c r="BS134" t="str">
        <v>Furniture</v>
      </c>
      <c r="BT134" t="str">
        <v>Mouse</v>
      </c>
      <c r="BU134">
        <v>16</v>
      </c>
      <c r="BV134">
        <v>13036</v>
      </c>
      <c r="BW134">
        <v>10</v>
      </c>
      <c r="BX134">
        <v>187718.39999999999</v>
      </c>
      <c r="BY134">
        <v>125240.8</v>
      </c>
      <c r="BZ134">
        <v>62477.599999999999</v>
      </c>
      <c r="CA134" t="str">
        <v>Card</v>
      </c>
      <c r="CB134">
        <v>8</v>
      </c>
      <c r="CC134">
        <v>4.8</v>
      </c>
      <c r="CD134" t="b">
        <f>COUNTIF(Sales_Data!E:E,Sales_Data!E134)&gt;1</f>
        <v>1</v>
      </c>
      <c r="CE134">
        <f>SUM(Sales_Data!$K$2:'Sales_Data'!K134)</f>
        <v>33088407.899999999</v>
      </c>
      <c r="CF134">
        <f t="shared" si="41"/>
        <v>377107.99999999994</v>
      </c>
      <c r="CG134" t="str">
        <f>CHOOSE(MATCH(C134,{"North","West","South","East"},0),"Zone 1","Zone 2","Zone 3","Zone 4")</f>
        <v>Zone 4</v>
      </c>
      <c r="CH134" t="str" cm="1">
        <f t="array" ref="CH134">_xlfn.SWITCH(N134,"Card","Card Payment","UPI", "UPI Payment","Cash","Cash Payment","NetBanking", "NetBanking Payment", "Unknown")</f>
        <v>NetBanking Payment</v>
      </c>
      <c r="CI134" t="str" cm="1">
        <f t="array" ref="CI134">_xlfn.IFS(Sales_Data!J134&lt;=5,"Low",Sales_Data!J134&lt;=10,"Medium",Sales_Data!J134&gt;10,"High")</f>
        <v>Low</v>
      </c>
    </row>
    <row r="135" spans="1:87" x14ac:dyDescent="0.3">
      <c r="A135">
        <v>1135</v>
      </c>
      <c r="B135" s="1">
        <v>45556</v>
      </c>
      <c r="C135" t="s">
        <v>50</v>
      </c>
      <c r="D135" t="s">
        <v>17</v>
      </c>
      <c r="E135" t="s">
        <v>80</v>
      </c>
      <c r="F135" t="s">
        <v>19</v>
      </c>
      <c r="G135" t="s">
        <v>47</v>
      </c>
      <c r="H135">
        <v>8</v>
      </c>
      <c r="I135">
        <v>6056</v>
      </c>
      <c r="J135">
        <v>20</v>
      </c>
      <c r="K135">
        <v>38758.400000000001</v>
      </c>
      <c r="L135">
        <v>32205.93</v>
      </c>
      <c r="M135">
        <v>6552.47</v>
      </c>
      <c r="N135" t="s">
        <v>37</v>
      </c>
      <c r="O135">
        <v>7</v>
      </c>
      <c r="P135">
        <v>4.2</v>
      </c>
      <c r="Q135">
        <f t="shared" si="29"/>
        <v>183</v>
      </c>
      <c r="R135" t="str">
        <f t="shared" si="30"/>
        <v>Monitor</v>
      </c>
      <c r="S135" t="e">
        <f t="shared" si="31"/>
        <v>#N/A</v>
      </c>
      <c r="AK135">
        <v>1057</v>
      </c>
      <c r="AL135">
        <v>45586</v>
      </c>
      <c r="AM135" t="str">
        <v>North</v>
      </c>
      <c r="AN135" t="str">
        <v>Rohan</v>
      </c>
      <c r="AO135" t="str">
        <v>Customer_43</v>
      </c>
      <c r="AP135" t="str">
        <v>Office Supplies</v>
      </c>
      <c r="AQ135" t="str">
        <v>Mouse</v>
      </c>
      <c r="AR135">
        <v>6</v>
      </c>
      <c r="AS135">
        <v>15241</v>
      </c>
      <c r="AT135">
        <v>15</v>
      </c>
      <c r="AU135">
        <v>77729.100000000006</v>
      </c>
      <c r="AV135">
        <v>48819.92</v>
      </c>
      <c r="AW135">
        <v>28909.18</v>
      </c>
      <c r="AX135" t="str">
        <v>Card</v>
      </c>
      <c r="AY135">
        <v>5</v>
      </c>
      <c r="AZ135">
        <v>4.9000000000000004</v>
      </c>
      <c r="BA135">
        <v>133</v>
      </c>
      <c r="BB135" t="str">
        <v>Mouse</v>
      </c>
      <c r="BC135" s="6">
        <f t="shared" si="32"/>
        <v>3</v>
      </c>
      <c r="BD135" t="str">
        <f t="shared" si="33"/>
        <v/>
      </c>
      <c r="BE135" s="8">
        <f t="shared" si="34"/>
        <v>0.16905935229524438</v>
      </c>
      <c r="BF135" t="str">
        <v>Customer_40</v>
      </c>
      <c r="BG135" t="str">
        <f t="shared" si="35"/>
        <v>North-Monitor</v>
      </c>
      <c r="BH135">
        <f t="shared" si="36"/>
        <v>2024</v>
      </c>
      <c r="BI135" t="str">
        <f t="shared" si="37"/>
        <v>September</v>
      </c>
      <c r="BJ135">
        <f t="shared" ca="1" si="28"/>
        <v>463</v>
      </c>
      <c r="BK135" s="8">
        <f t="shared" si="38"/>
        <v>0.16905935229524438</v>
      </c>
      <c r="BL135">
        <f t="shared" si="39"/>
        <v>26687</v>
      </c>
      <c r="BM135">
        <f t="shared" si="40"/>
        <v>74</v>
      </c>
      <c r="BN135">
        <v>1134</v>
      </c>
      <c r="BO135">
        <v>45617</v>
      </c>
      <c r="BP135" t="str">
        <v>East</v>
      </c>
      <c r="BQ135" t="str">
        <v>Aman</v>
      </c>
      <c r="BR135" t="str">
        <v>Customer_8</v>
      </c>
      <c r="BS135" t="str">
        <v>Electronics</v>
      </c>
      <c r="BT135" t="str">
        <v>Printer</v>
      </c>
      <c r="BU135">
        <v>20</v>
      </c>
      <c r="BV135">
        <v>16396</v>
      </c>
      <c r="BW135">
        <v>0</v>
      </c>
      <c r="BX135">
        <v>327920</v>
      </c>
      <c r="BY135">
        <v>186074.48</v>
      </c>
      <c r="BZ135">
        <v>141845.51999999999</v>
      </c>
      <c r="CA135" t="str">
        <v>NetBanking</v>
      </c>
      <c r="CB135">
        <v>8</v>
      </c>
      <c r="CC135">
        <v>4.4000000000000004</v>
      </c>
      <c r="CD135" t="b">
        <f>COUNTIF(Sales_Data!E:E,Sales_Data!E135)&gt;1</f>
        <v>1</v>
      </c>
      <c r="CE135">
        <f>SUM(Sales_Data!$K$2:'Sales_Data'!K135)</f>
        <v>33127166.299999997</v>
      </c>
      <c r="CF135">
        <f t="shared" si="41"/>
        <v>44572.159999999996</v>
      </c>
      <c r="CG135" t="str">
        <f>CHOOSE(MATCH(C135,{"North","West","South","East"},0),"Zone 1","Zone 2","Zone 3","Zone 4")</f>
        <v>Zone 1</v>
      </c>
      <c r="CH135" t="str" cm="1">
        <f t="array" ref="CH135">_xlfn.SWITCH(N135,"Card","Card Payment","UPI", "UPI Payment","Cash","Cash Payment","NetBanking", "NetBanking Payment", "Unknown")</f>
        <v>Cash Payment</v>
      </c>
      <c r="CI135" t="str" cm="1">
        <f t="array" ref="CI135">_xlfn.IFS(Sales_Data!J135&lt;=5,"Low",Sales_Data!J135&lt;=10,"Medium",Sales_Data!J135&gt;10,"High")</f>
        <v>High</v>
      </c>
    </row>
    <row r="136" spans="1:87" x14ac:dyDescent="0.3">
      <c r="A136">
        <v>1136</v>
      </c>
      <c r="B136" s="1">
        <v>45540</v>
      </c>
      <c r="C136" t="s">
        <v>16</v>
      </c>
      <c r="D136" t="s">
        <v>23</v>
      </c>
      <c r="E136" t="s">
        <v>89</v>
      </c>
      <c r="F136" t="s">
        <v>25</v>
      </c>
      <c r="G136" t="s">
        <v>65</v>
      </c>
      <c r="H136">
        <v>13</v>
      </c>
      <c r="I136">
        <v>26633</v>
      </c>
      <c r="J136">
        <v>10</v>
      </c>
      <c r="K136">
        <v>311606.09999999998</v>
      </c>
      <c r="L136">
        <v>258772</v>
      </c>
      <c r="M136">
        <v>52834.1</v>
      </c>
      <c r="N136" t="s">
        <v>27</v>
      </c>
      <c r="O136">
        <v>1</v>
      </c>
      <c r="P136">
        <v>3.5</v>
      </c>
      <c r="Q136">
        <f t="shared" si="29"/>
        <v>103</v>
      </c>
      <c r="R136" t="str">
        <f t="shared" si="30"/>
        <v>Mouse</v>
      </c>
      <c r="S136" t="e">
        <f t="shared" si="31"/>
        <v>#N/A</v>
      </c>
      <c r="AK136">
        <v>1038</v>
      </c>
      <c r="AL136">
        <v>45488</v>
      </c>
      <c r="AM136" t="str">
        <v>North</v>
      </c>
      <c r="AN136" t="str">
        <v>Sneha</v>
      </c>
      <c r="AO136" t="str">
        <v>Customer_38</v>
      </c>
      <c r="AP136" t="str">
        <v>Furniture</v>
      </c>
      <c r="AQ136" t="str">
        <v>Printer</v>
      </c>
      <c r="AR136">
        <v>4</v>
      </c>
      <c r="AS136">
        <v>22568</v>
      </c>
      <c r="AT136">
        <v>15</v>
      </c>
      <c r="AU136">
        <v>76731.199999999997</v>
      </c>
      <c r="AV136">
        <v>48562.62</v>
      </c>
      <c r="AW136">
        <v>28168.58</v>
      </c>
      <c r="AX136" t="str">
        <v>Card</v>
      </c>
      <c r="AY136">
        <v>4</v>
      </c>
      <c r="AZ136">
        <v>3</v>
      </c>
      <c r="BA136">
        <v>134</v>
      </c>
      <c r="BB136" t="str">
        <v>Printer</v>
      </c>
      <c r="BC136" s="6">
        <f t="shared" si="32"/>
        <v>3</v>
      </c>
      <c r="BD136" t="str">
        <f t="shared" si="33"/>
        <v/>
      </c>
      <c r="BE136" s="8">
        <f t="shared" si="34"/>
        <v>0.16955412618687504</v>
      </c>
      <c r="BF136" t="str">
        <v>Customer_41</v>
      </c>
      <c r="BG136" t="str">
        <f t="shared" si="35"/>
        <v>West-Mouse</v>
      </c>
      <c r="BH136">
        <f t="shared" si="36"/>
        <v>2024</v>
      </c>
      <c r="BI136" t="str">
        <f t="shared" si="37"/>
        <v>September</v>
      </c>
      <c r="BJ136">
        <f t="shared" ca="1" si="28"/>
        <v>475</v>
      </c>
      <c r="BK136" s="8">
        <f t="shared" si="38"/>
        <v>0.16955412618687504</v>
      </c>
      <c r="BL136">
        <f t="shared" si="39"/>
        <v>41775</v>
      </c>
      <c r="BM136">
        <f t="shared" si="40"/>
        <v>111</v>
      </c>
      <c r="BN136">
        <v>1135</v>
      </c>
      <c r="BO136">
        <v>45556</v>
      </c>
      <c r="BP136" t="str">
        <v>North</v>
      </c>
      <c r="BQ136" t="str">
        <v>Rohan</v>
      </c>
      <c r="BR136" t="str">
        <v>Customer_41</v>
      </c>
      <c r="BS136" t="str">
        <v>Electronics</v>
      </c>
      <c r="BT136" t="str">
        <v>Monitor</v>
      </c>
      <c r="BU136">
        <v>8</v>
      </c>
      <c r="BV136">
        <v>6056</v>
      </c>
      <c r="BW136">
        <v>20</v>
      </c>
      <c r="BX136">
        <v>38758.400000000001</v>
      </c>
      <c r="BY136">
        <v>32205.93</v>
      </c>
      <c r="BZ136">
        <v>6552.47</v>
      </c>
      <c r="CA136" t="str">
        <v>Cash</v>
      </c>
      <c r="CB136">
        <v>7</v>
      </c>
      <c r="CC136">
        <v>4.2</v>
      </c>
      <c r="CD136" t="b">
        <f>COUNTIF(Sales_Data!E:E,Sales_Data!E136)&gt;1</f>
        <v>1</v>
      </c>
      <c r="CE136">
        <f>SUM(Sales_Data!$K$2:'Sales_Data'!K136)</f>
        <v>33438772.399999999</v>
      </c>
      <c r="CF136">
        <f t="shared" si="41"/>
        <v>358347.01499999996</v>
      </c>
      <c r="CG136" t="str">
        <f>CHOOSE(MATCH(C136,{"North","West","South","East"},0),"Zone 1","Zone 2","Zone 3","Zone 4")</f>
        <v>Zone 2</v>
      </c>
      <c r="CH136" t="str" cm="1">
        <f t="array" ref="CH136">_xlfn.SWITCH(N136,"Card","Card Payment","UPI", "UPI Payment","Cash","Cash Payment","NetBanking", "NetBanking Payment", "Unknown")</f>
        <v>UPI Payment</v>
      </c>
      <c r="CI136" t="str" cm="1">
        <f t="array" ref="CI136">_xlfn.IFS(Sales_Data!J136&lt;=5,"Low",Sales_Data!J136&lt;=10,"Medium",Sales_Data!J136&gt;10,"High")</f>
        <v>Medium</v>
      </c>
    </row>
    <row r="137" spans="1:87" x14ac:dyDescent="0.3">
      <c r="A137">
        <v>1137</v>
      </c>
      <c r="B137" s="1">
        <v>45634</v>
      </c>
      <c r="C137" t="s">
        <v>16</v>
      </c>
      <c r="D137" t="s">
        <v>57</v>
      </c>
      <c r="E137" t="s">
        <v>87</v>
      </c>
      <c r="F137" t="s">
        <v>19</v>
      </c>
      <c r="G137" t="s">
        <v>26</v>
      </c>
      <c r="H137">
        <v>2</v>
      </c>
      <c r="I137">
        <v>24506</v>
      </c>
      <c r="J137">
        <v>10</v>
      </c>
      <c r="K137">
        <v>44110.8</v>
      </c>
      <c r="L137">
        <v>29847.96</v>
      </c>
      <c r="M137">
        <v>14262.84</v>
      </c>
      <c r="N137" t="s">
        <v>21</v>
      </c>
      <c r="O137">
        <v>6</v>
      </c>
      <c r="P137">
        <v>4.2</v>
      </c>
      <c r="Q137">
        <f t="shared" si="29"/>
        <v>161</v>
      </c>
      <c r="R137" t="str">
        <f t="shared" si="30"/>
        <v>Keyboard</v>
      </c>
      <c r="S137" t="e">
        <f t="shared" si="31"/>
        <v>#N/A</v>
      </c>
      <c r="AK137">
        <v>1169</v>
      </c>
      <c r="AL137">
        <v>45525</v>
      </c>
      <c r="AM137" t="str">
        <v>South</v>
      </c>
      <c r="AN137" t="str">
        <v>Megha</v>
      </c>
      <c r="AO137" t="str">
        <v>Customer_31</v>
      </c>
      <c r="AP137" t="str">
        <v>Office Supplies</v>
      </c>
      <c r="AQ137" t="str">
        <v>Laptop</v>
      </c>
      <c r="AR137">
        <v>3</v>
      </c>
      <c r="AS137">
        <v>26415</v>
      </c>
      <c r="AT137">
        <v>0</v>
      </c>
      <c r="AU137">
        <v>79245</v>
      </c>
      <c r="AV137">
        <v>51424.29</v>
      </c>
      <c r="AW137">
        <v>27820.71</v>
      </c>
      <c r="AX137" t="str">
        <v>Cash</v>
      </c>
      <c r="AY137">
        <v>8</v>
      </c>
      <c r="AZ137">
        <v>3.2</v>
      </c>
      <c r="BA137">
        <v>135</v>
      </c>
      <c r="BB137" t="str">
        <v>Laptop</v>
      </c>
      <c r="BC137" s="6">
        <f t="shared" si="32"/>
        <v>4</v>
      </c>
      <c r="BD137" t="str">
        <f t="shared" si="33"/>
        <v/>
      </c>
      <c r="BE137" s="8">
        <f t="shared" si="34"/>
        <v>0.32334122255774095</v>
      </c>
      <c r="BF137" t="str">
        <v>Customer_41</v>
      </c>
      <c r="BG137" t="str">
        <f t="shared" si="35"/>
        <v>West-Keyboard</v>
      </c>
      <c r="BH137">
        <f t="shared" si="36"/>
        <v>2024</v>
      </c>
      <c r="BI137" t="str">
        <f t="shared" si="37"/>
        <v>December</v>
      </c>
      <c r="BJ137">
        <f t="shared" ca="1" si="28"/>
        <v>408</v>
      </c>
      <c r="BK137" s="8">
        <f t="shared" si="38"/>
        <v>0.32334122255774095</v>
      </c>
      <c r="BL137">
        <f t="shared" si="39"/>
        <v>23829</v>
      </c>
      <c r="BM137">
        <f t="shared" si="40"/>
        <v>102</v>
      </c>
      <c r="BN137">
        <v>1136</v>
      </c>
      <c r="BO137">
        <v>45540</v>
      </c>
      <c r="BP137" t="str">
        <v>West</v>
      </c>
      <c r="BQ137" t="str">
        <v>Karan</v>
      </c>
      <c r="BR137" t="str">
        <v>Customer_23</v>
      </c>
      <c r="BS137" t="str">
        <v>Office Supplies</v>
      </c>
      <c r="BT137" t="str">
        <v>Mouse</v>
      </c>
      <c r="BU137">
        <v>13</v>
      </c>
      <c r="BV137">
        <v>26633</v>
      </c>
      <c r="BW137">
        <v>10</v>
      </c>
      <c r="BX137">
        <v>311606.09999999998</v>
      </c>
      <c r="BY137">
        <v>258772</v>
      </c>
      <c r="BZ137">
        <v>52834.1</v>
      </c>
      <c r="CA137" t="str">
        <v>UPI</v>
      </c>
      <c r="CB137">
        <v>1</v>
      </c>
      <c r="CC137">
        <v>3.5</v>
      </c>
      <c r="CD137" t="b">
        <f>COUNTIF(Sales_Data!E:E,Sales_Data!E137)&gt;1</f>
        <v>1</v>
      </c>
      <c r="CE137">
        <f>SUM(Sales_Data!$K$2:'Sales_Data'!K137)</f>
        <v>33482883.199999999</v>
      </c>
      <c r="CF137">
        <f t="shared" si="41"/>
        <v>50727.42</v>
      </c>
      <c r="CG137" t="str">
        <f>CHOOSE(MATCH(C137,{"North","West","South","East"},0),"Zone 1","Zone 2","Zone 3","Zone 4")</f>
        <v>Zone 2</v>
      </c>
      <c r="CH137" t="str" cm="1">
        <f t="array" ref="CH137">_xlfn.SWITCH(N137,"Card","Card Payment","UPI", "UPI Payment","Cash","Cash Payment","NetBanking", "NetBanking Payment", "Unknown")</f>
        <v>Card Payment</v>
      </c>
      <c r="CI137" t="str" cm="1">
        <f t="array" ref="CI137">_xlfn.IFS(Sales_Data!J137&lt;=5,"Low",Sales_Data!J137&lt;=10,"Medium",Sales_Data!J137&gt;10,"High")</f>
        <v>Medium</v>
      </c>
    </row>
    <row r="138" spans="1:87" x14ac:dyDescent="0.3">
      <c r="A138">
        <v>1138</v>
      </c>
      <c r="B138" s="1">
        <v>45756</v>
      </c>
      <c r="C138" t="s">
        <v>33</v>
      </c>
      <c r="D138" t="s">
        <v>23</v>
      </c>
      <c r="E138" t="s">
        <v>91</v>
      </c>
      <c r="F138" t="s">
        <v>25</v>
      </c>
      <c r="G138" t="s">
        <v>26</v>
      </c>
      <c r="H138">
        <v>14</v>
      </c>
      <c r="I138">
        <v>28351</v>
      </c>
      <c r="J138">
        <v>5</v>
      </c>
      <c r="K138">
        <v>377068.3</v>
      </c>
      <c r="L138">
        <v>215159.89</v>
      </c>
      <c r="M138">
        <v>161908.41</v>
      </c>
      <c r="N138" t="s">
        <v>37</v>
      </c>
      <c r="O138">
        <v>4</v>
      </c>
      <c r="P138">
        <v>2.5</v>
      </c>
      <c r="Q138">
        <f t="shared" si="29"/>
        <v>19</v>
      </c>
      <c r="R138" t="str">
        <f t="shared" si="30"/>
        <v>Keyboard</v>
      </c>
      <c r="S138" t="e">
        <f t="shared" si="31"/>
        <v>#N/A</v>
      </c>
      <c r="AK138">
        <v>1086</v>
      </c>
      <c r="AL138">
        <v>45436</v>
      </c>
      <c r="AM138" t="str">
        <v>South</v>
      </c>
      <c r="AN138" t="str">
        <v>Megha</v>
      </c>
      <c r="AO138" t="str">
        <v>Customer_49</v>
      </c>
      <c r="AP138" t="str">
        <v>Furniture</v>
      </c>
      <c r="AQ138" t="str">
        <v>Printer</v>
      </c>
      <c r="AR138">
        <v>8</v>
      </c>
      <c r="AS138">
        <v>15846</v>
      </c>
      <c r="AT138">
        <v>5</v>
      </c>
      <c r="AU138">
        <v>120429.6</v>
      </c>
      <c r="AV138">
        <v>94540</v>
      </c>
      <c r="AW138">
        <v>25889.599999999999</v>
      </c>
      <c r="AX138" t="str">
        <v>UPI</v>
      </c>
      <c r="AY138">
        <v>4</v>
      </c>
      <c r="AZ138">
        <v>2.7</v>
      </c>
      <c r="BA138">
        <v>136</v>
      </c>
      <c r="BB138" t="str">
        <v>Printer</v>
      </c>
      <c r="BC138" s="6">
        <f t="shared" si="32"/>
        <v>1</v>
      </c>
      <c r="BD138" t="str">
        <f t="shared" si="33"/>
        <v>Bonus!</v>
      </c>
      <c r="BE138" s="8">
        <f t="shared" si="34"/>
        <v>0.42938748762492102</v>
      </c>
      <c r="BF138" t="str">
        <v>Customer_41</v>
      </c>
      <c r="BG138" t="str">
        <f t="shared" si="35"/>
        <v>East-Keyboard</v>
      </c>
      <c r="BH138">
        <f t="shared" si="36"/>
        <v>2025</v>
      </c>
      <c r="BI138" t="str">
        <f t="shared" si="37"/>
        <v>April</v>
      </c>
      <c r="BJ138">
        <f t="shared" ca="1" si="28"/>
        <v>321</v>
      </c>
      <c r="BK138" s="8">
        <f t="shared" si="38"/>
        <v>0.42938748762492102</v>
      </c>
      <c r="BL138">
        <f t="shared" si="39"/>
        <v>23829</v>
      </c>
      <c r="BM138">
        <f t="shared" si="40"/>
        <v>130</v>
      </c>
      <c r="BN138">
        <v>1137</v>
      </c>
      <c r="BO138">
        <v>45634</v>
      </c>
      <c r="BP138" t="str">
        <v>West</v>
      </c>
      <c r="BQ138" t="str">
        <v>Megha</v>
      </c>
      <c r="BR138" t="str">
        <v>Customer_39</v>
      </c>
      <c r="BS138" t="str">
        <v>Electronics</v>
      </c>
      <c r="BT138" t="str">
        <v>Keyboard</v>
      </c>
      <c r="BU138">
        <v>2</v>
      </c>
      <c r="BV138">
        <v>24506</v>
      </c>
      <c r="BW138">
        <v>10</v>
      </c>
      <c r="BX138">
        <v>44110.8</v>
      </c>
      <c r="BY138">
        <v>29847.96</v>
      </c>
      <c r="BZ138">
        <v>14262.84</v>
      </c>
      <c r="CA138" t="str">
        <v>Card</v>
      </c>
      <c r="CB138">
        <v>6</v>
      </c>
      <c r="CC138">
        <v>4.2</v>
      </c>
      <c r="CD138" t="b">
        <f>COUNTIF(Sales_Data!E:E,Sales_Data!E138)&gt;1</f>
        <v>1</v>
      </c>
      <c r="CE138">
        <f>SUM(Sales_Data!$K$2:'Sales_Data'!K138)</f>
        <v>33859951.5</v>
      </c>
      <c r="CF138">
        <f t="shared" si="41"/>
        <v>433628.54499999993</v>
      </c>
      <c r="CG138" t="str">
        <f>CHOOSE(MATCH(C138,{"North","West","South","East"},0),"Zone 1","Zone 2","Zone 3","Zone 4")</f>
        <v>Zone 4</v>
      </c>
      <c r="CH138" t="str" cm="1">
        <f t="array" ref="CH138">_xlfn.SWITCH(N138,"Card","Card Payment","UPI", "UPI Payment","Cash","Cash Payment","NetBanking", "NetBanking Payment", "Unknown")</f>
        <v>Cash Payment</v>
      </c>
      <c r="CI138" t="str" cm="1">
        <f t="array" ref="CI138">_xlfn.IFS(Sales_Data!J138&lt;=5,"Low",Sales_Data!J138&lt;=10,"Medium",Sales_Data!J138&gt;10,"High")</f>
        <v>Low</v>
      </c>
    </row>
    <row r="139" spans="1:87" x14ac:dyDescent="0.3">
      <c r="A139">
        <v>1139</v>
      </c>
      <c r="B139" s="1">
        <v>45742</v>
      </c>
      <c r="C139" t="s">
        <v>50</v>
      </c>
      <c r="D139" t="s">
        <v>57</v>
      </c>
      <c r="E139" t="s">
        <v>87</v>
      </c>
      <c r="F139" t="s">
        <v>19</v>
      </c>
      <c r="G139" t="s">
        <v>41</v>
      </c>
      <c r="H139">
        <v>8</v>
      </c>
      <c r="I139">
        <v>11367</v>
      </c>
      <c r="J139">
        <v>5</v>
      </c>
      <c r="K139">
        <v>86389.2</v>
      </c>
      <c r="L139">
        <v>71270.399999999994</v>
      </c>
      <c r="M139">
        <v>15118.8</v>
      </c>
      <c r="N139" t="s">
        <v>48</v>
      </c>
      <c r="O139">
        <v>8</v>
      </c>
      <c r="P139">
        <v>2.5</v>
      </c>
      <c r="Q139">
        <f t="shared" si="29"/>
        <v>157</v>
      </c>
      <c r="R139" t="str">
        <f t="shared" si="30"/>
        <v>Chair</v>
      </c>
      <c r="S139" t="e">
        <f t="shared" si="31"/>
        <v>#N/A</v>
      </c>
      <c r="AK139">
        <v>1090</v>
      </c>
      <c r="AL139">
        <v>45365</v>
      </c>
      <c r="AM139" t="str">
        <v>West</v>
      </c>
      <c r="AN139" t="str">
        <v>Arjun</v>
      </c>
      <c r="AO139" t="str">
        <v>Customer_26</v>
      </c>
      <c r="AP139" t="str">
        <v>Electronics</v>
      </c>
      <c r="AQ139" t="str">
        <v>Mouse</v>
      </c>
      <c r="AR139">
        <v>2</v>
      </c>
      <c r="AS139">
        <v>38916</v>
      </c>
      <c r="AT139">
        <v>15</v>
      </c>
      <c r="AU139">
        <v>66157.2</v>
      </c>
      <c r="AV139">
        <v>41074.910000000003</v>
      </c>
      <c r="AW139">
        <v>25082.29</v>
      </c>
      <c r="AX139" t="str">
        <v>UPI</v>
      </c>
      <c r="AY139">
        <v>3</v>
      </c>
      <c r="AZ139">
        <v>3.1</v>
      </c>
      <c r="BA139">
        <v>137</v>
      </c>
      <c r="BB139" t="str">
        <v>Mouse</v>
      </c>
      <c r="BC139" s="6">
        <f t="shared" si="32"/>
        <v>1</v>
      </c>
      <c r="BD139" t="str">
        <f t="shared" si="33"/>
        <v/>
      </c>
      <c r="BE139" s="8">
        <f t="shared" si="34"/>
        <v>0.1750079871094998</v>
      </c>
      <c r="BF139" t="str">
        <v>Customer_41</v>
      </c>
      <c r="BG139" t="str">
        <f t="shared" si="35"/>
        <v>North-Chair</v>
      </c>
      <c r="BH139">
        <f t="shared" si="36"/>
        <v>2025</v>
      </c>
      <c r="BI139" t="str">
        <f t="shared" si="37"/>
        <v>March</v>
      </c>
      <c r="BJ139">
        <f t="shared" ca="1" si="28"/>
        <v>331</v>
      </c>
      <c r="BK139" s="8">
        <f t="shared" si="38"/>
        <v>0.1750079871094998</v>
      </c>
      <c r="BL139">
        <f t="shared" si="39"/>
        <v>4972</v>
      </c>
      <c r="BM139">
        <f t="shared" si="40"/>
        <v>102</v>
      </c>
      <c r="BN139">
        <v>1138</v>
      </c>
      <c r="BO139">
        <v>45756</v>
      </c>
      <c r="BP139" t="str">
        <v>East</v>
      </c>
      <c r="BQ139" t="str">
        <v>Karan</v>
      </c>
      <c r="BR139" t="str">
        <v>Customer_32</v>
      </c>
      <c r="BS139" t="str">
        <v>Office Supplies</v>
      </c>
      <c r="BT139" t="str">
        <v>Keyboard</v>
      </c>
      <c r="BU139">
        <v>14</v>
      </c>
      <c r="BV139">
        <v>28351</v>
      </c>
      <c r="BW139">
        <v>5</v>
      </c>
      <c r="BX139">
        <v>377068.3</v>
      </c>
      <c r="BY139">
        <v>215159.89</v>
      </c>
      <c r="BZ139">
        <v>161908.41</v>
      </c>
      <c r="CA139" t="str">
        <v>Cash</v>
      </c>
      <c r="CB139">
        <v>4</v>
      </c>
      <c r="CC139">
        <v>2.5</v>
      </c>
      <c r="CD139" t="b">
        <f>COUNTIF(Sales_Data!E:E,Sales_Data!E139)&gt;1</f>
        <v>1</v>
      </c>
      <c r="CE139">
        <f>SUM(Sales_Data!$K$2:'Sales_Data'!K139)</f>
        <v>33946340.700000003</v>
      </c>
      <c r="CF139">
        <f t="shared" si="41"/>
        <v>99347.579999999987</v>
      </c>
      <c r="CG139" t="str">
        <f>CHOOSE(MATCH(C139,{"North","West","South","East"},0),"Zone 1","Zone 2","Zone 3","Zone 4")</f>
        <v>Zone 1</v>
      </c>
      <c r="CH139" t="str" cm="1">
        <f t="array" ref="CH139">_xlfn.SWITCH(N139,"Card","Card Payment","UPI", "UPI Payment","Cash","Cash Payment","NetBanking", "NetBanking Payment", "Unknown")</f>
        <v>NetBanking Payment</v>
      </c>
      <c r="CI139" t="str" cm="1">
        <f t="array" ref="CI139">_xlfn.IFS(Sales_Data!J139&lt;=5,"Low",Sales_Data!J139&lt;=10,"Medium",Sales_Data!J139&gt;10,"High")</f>
        <v>Low</v>
      </c>
    </row>
    <row r="140" spans="1:87" x14ac:dyDescent="0.3">
      <c r="A140">
        <v>1140</v>
      </c>
      <c r="B140" s="1">
        <v>45339</v>
      </c>
      <c r="C140" t="s">
        <v>16</v>
      </c>
      <c r="D140" t="s">
        <v>42</v>
      </c>
      <c r="E140" t="s">
        <v>82</v>
      </c>
      <c r="F140" t="s">
        <v>25</v>
      </c>
      <c r="G140" t="s">
        <v>65</v>
      </c>
      <c r="H140">
        <v>6</v>
      </c>
      <c r="I140">
        <v>42004</v>
      </c>
      <c r="J140">
        <v>15</v>
      </c>
      <c r="K140">
        <v>214220.4</v>
      </c>
      <c r="L140">
        <v>165094.68</v>
      </c>
      <c r="M140">
        <v>49125.72</v>
      </c>
      <c r="N140" t="s">
        <v>21</v>
      </c>
      <c r="O140">
        <v>6</v>
      </c>
      <c r="P140">
        <v>4.5999999999999996</v>
      </c>
      <c r="Q140">
        <f t="shared" si="29"/>
        <v>110</v>
      </c>
      <c r="R140" t="str">
        <f t="shared" si="30"/>
        <v>Mouse</v>
      </c>
      <c r="S140" t="e">
        <f t="shared" si="31"/>
        <v>#N/A</v>
      </c>
      <c r="AK140">
        <v>1186</v>
      </c>
      <c r="AL140">
        <v>45419</v>
      </c>
      <c r="AM140" t="str">
        <v>North</v>
      </c>
      <c r="AN140" t="str">
        <v>Aman</v>
      </c>
      <c r="AO140" t="str">
        <v>Customer_50</v>
      </c>
      <c r="AP140" t="str">
        <v>Electronics</v>
      </c>
      <c r="AQ140" t="str">
        <v>Laptop</v>
      </c>
      <c r="AR140">
        <v>6</v>
      </c>
      <c r="AS140">
        <v>31768</v>
      </c>
      <c r="AT140">
        <v>20</v>
      </c>
      <c r="AU140">
        <v>152486.39999999999</v>
      </c>
      <c r="AV140">
        <v>127441.19</v>
      </c>
      <c r="AW140">
        <v>25045.21</v>
      </c>
      <c r="AX140" t="str">
        <v>Cash</v>
      </c>
      <c r="AY140">
        <v>8</v>
      </c>
      <c r="AZ140">
        <v>4.9000000000000004</v>
      </c>
      <c r="BA140">
        <v>138</v>
      </c>
      <c r="BB140" t="str">
        <v>Laptop</v>
      </c>
      <c r="BC140" s="6">
        <f t="shared" si="32"/>
        <v>1</v>
      </c>
      <c r="BD140" t="str">
        <f t="shared" si="33"/>
        <v/>
      </c>
      <c r="BE140" s="8">
        <f t="shared" si="34"/>
        <v>0.22932325772895579</v>
      </c>
      <c r="BF140" t="str">
        <v>Customer_41</v>
      </c>
      <c r="BG140" t="str">
        <f t="shared" si="35"/>
        <v>West-Mouse</v>
      </c>
      <c r="BH140">
        <f t="shared" si="36"/>
        <v>2024</v>
      </c>
      <c r="BI140" t="str">
        <f t="shared" si="37"/>
        <v>February</v>
      </c>
      <c r="BJ140">
        <f t="shared" ca="1" si="28"/>
        <v>618</v>
      </c>
      <c r="BK140" s="8">
        <f t="shared" si="38"/>
        <v>0.22932325772895579</v>
      </c>
      <c r="BL140">
        <f t="shared" si="39"/>
        <v>41775</v>
      </c>
      <c r="BM140">
        <f t="shared" si="40"/>
        <v>79</v>
      </c>
      <c r="BN140">
        <v>1139</v>
      </c>
      <c r="BO140">
        <v>45742</v>
      </c>
      <c r="BP140" t="str">
        <v>North</v>
      </c>
      <c r="BQ140" t="str">
        <v>Megha</v>
      </c>
      <c r="BR140" t="str">
        <v>Customer_39</v>
      </c>
      <c r="BS140" t="str">
        <v>Electronics</v>
      </c>
      <c r="BT140" t="str">
        <v>Chair</v>
      </c>
      <c r="BU140">
        <v>8</v>
      </c>
      <c r="BV140">
        <v>11367</v>
      </c>
      <c r="BW140">
        <v>5</v>
      </c>
      <c r="BX140">
        <v>86389.2</v>
      </c>
      <c r="BY140">
        <v>71270.399999999994</v>
      </c>
      <c r="BZ140">
        <v>15118.8</v>
      </c>
      <c r="CA140" t="str">
        <v>NetBanking</v>
      </c>
      <c r="CB140">
        <v>8</v>
      </c>
      <c r="CC140">
        <v>2.5</v>
      </c>
      <c r="CD140" t="b">
        <f>COUNTIF(Sales_Data!E:E,Sales_Data!E140)&gt;1</f>
        <v>1</v>
      </c>
      <c r="CE140">
        <f>SUM(Sales_Data!$K$2:'Sales_Data'!K140)</f>
        <v>34160561.100000001</v>
      </c>
      <c r="CF140">
        <f t="shared" si="41"/>
        <v>246353.45999999996</v>
      </c>
      <c r="CG140" t="str">
        <f>CHOOSE(MATCH(C140,{"North","West","South","East"},0),"Zone 1","Zone 2","Zone 3","Zone 4")</f>
        <v>Zone 2</v>
      </c>
      <c r="CH140" t="str" cm="1">
        <f t="array" ref="CH140">_xlfn.SWITCH(N140,"Card","Card Payment","UPI", "UPI Payment","Cash","Cash Payment","NetBanking", "NetBanking Payment", "Unknown")</f>
        <v>Card Payment</v>
      </c>
      <c r="CI140" t="str" cm="1">
        <f t="array" ref="CI140">_xlfn.IFS(Sales_Data!J140&lt;=5,"Low",Sales_Data!J140&lt;=10,"Medium",Sales_Data!J140&gt;10,"High")</f>
        <v>High</v>
      </c>
    </row>
    <row r="141" spans="1:87" x14ac:dyDescent="0.3">
      <c r="A141">
        <v>1141</v>
      </c>
      <c r="B141" s="1">
        <v>45379</v>
      </c>
      <c r="C141" t="s">
        <v>50</v>
      </c>
      <c r="D141" t="s">
        <v>57</v>
      </c>
      <c r="E141" t="s">
        <v>77</v>
      </c>
      <c r="F141" t="s">
        <v>19</v>
      </c>
      <c r="G141" t="s">
        <v>65</v>
      </c>
      <c r="H141">
        <v>4</v>
      </c>
      <c r="I141">
        <v>16339</v>
      </c>
      <c r="J141">
        <v>10</v>
      </c>
      <c r="K141">
        <v>58820.4</v>
      </c>
      <c r="L141">
        <v>36909.730000000003</v>
      </c>
      <c r="M141">
        <v>21910.67</v>
      </c>
      <c r="N141" t="s">
        <v>21</v>
      </c>
      <c r="O141">
        <v>7</v>
      </c>
      <c r="P141">
        <v>3</v>
      </c>
      <c r="Q141">
        <f t="shared" si="29"/>
        <v>145</v>
      </c>
      <c r="R141" t="str">
        <f t="shared" si="30"/>
        <v>Mouse</v>
      </c>
      <c r="S141" t="e">
        <f t="shared" si="31"/>
        <v>#N/A</v>
      </c>
      <c r="AK141">
        <v>1048</v>
      </c>
      <c r="AL141">
        <v>45635</v>
      </c>
      <c r="AM141" t="str">
        <v>North</v>
      </c>
      <c r="AN141" t="str">
        <v>Megha</v>
      </c>
      <c r="AO141" t="str">
        <v>Customer_36</v>
      </c>
      <c r="AP141" t="str">
        <v>Electronics</v>
      </c>
      <c r="AQ141" t="str">
        <v>Monitor</v>
      </c>
      <c r="AR141">
        <v>9</v>
      </c>
      <c r="AS141">
        <v>6519</v>
      </c>
      <c r="AT141">
        <v>5</v>
      </c>
      <c r="AU141">
        <v>55737.45</v>
      </c>
      <c r="AV141">
        <v>31830.33</v>
      </c>
      <c r="AW141">
        <v>23907.119999999999</v>
      </c>
      <c r="AX141" t="str">
        <v>Card</v>
      </c>
      <c r="AY141">
        <v>6</v>
      </c>
      <c r="AZ141">
        <v>4.2</v>
      </c>
      <c r="BA141">
        <v>139</v>
      </c>
      <c r="BB141" t="str">
        <v>Monitor</v>
      </c>
      <c r="BC141" s="6">
        <f t="shared" si="32"/>
        <v>1</v>
      </c>
      <c r="BD141" t="str">
        <f t="shared" si="33"/>
        <v/>
      </c>
      <c r="BE141" s="8">
        <f t="shared" si="34"/>
        <v>0.3725012070642158</v>
      </c>
      <c r="BF141" t="str">
        <v>Customer_41</v>
      </c>
      <c r="BG141" t="str">
        <f t="shared" si="35"/>
        <v>North-Mouse</v>
      </c>
      <c r="BH141">
        <f t="shared" si="36"/>
        <v>2024</v>
      </c>
      <c r="BI141" t="str">
        <f t="shared" si="37"/>
        <v>March</v>
      </c>
      <c r="BJ141">
        <f t="shared" ca="1" si="28"/>
        <v>590</v>
      </c>
      <c r="BK141" s="8">
        <f t="shared" si="38"/>
        <v>0.3725012070642158</v>
      </c>
      <c r="BL141">
        <f t="shared" si="39"/>
        <v>41775</v>
      </c>
      <c r="BM141">
        <f t="shared" si="40"/>
        <v>64</v>
      </c>
      <c r="BN141">
        <v>1140</v>
      </c>
      <c r="BO141">
        <v>45339</v>
      </c>
      <c r="BP141" t="str">
        <v>West</v>
      </c>
      <c r="BQ141" t="str">
        <v>Priya</v>
      </c>
      <c r="BR141" t="str">
        <v>Customer_7</v>
      </c>
      <c r="BS141" t="str">
        <v>Office Supplies</v>
      </c>
      <c r="BT141" t="str">
        <v>Mouse</v>
      </c>
      <c r="BU141">
        <v>6</v>
      </c>
      <c r="BV141">
        <v>42004</v>
      </c>
      <c r="BW141">
        <v>15</v>
      </c>
      <c r="BX141">
        <v>214220.4</v>
      </c>
      <c r="BY141">
        <v>165094.68</v>
      </c>
      <c r="BZ141">
        <v>49125.72</v>
      </c>
      <c r="CA141" t="str">
        <v>Card</v>
      </c>
      <c r="CB141">
        <v>6</v>
      </c>
      <c r="CC141">
        <v>4.5999999999999996</v>
      </c>
      <c r="CD141" t="b">
        <f>COUNTIF(Sales_Data!E:E,Sales_Data!E141)&gt;1</f>
        <v>1</v>
      </c>
      <c r="CE141">
        <f>SUM(Sales_Data!$K$2:'Sales_Data'!K141)</f>
        <v>34219381.5</v>
      </c>
      <c r="CF141">
        <f t="shared" si="41"/>
        <v>67643.459999999992</v>
      </c>
      <c r="CG141" t="str">
        <f>CHOOSE(MATCH(C141,{"North","West","South","East"},0),"Zone 1","Zone 2","Zone 3","Zone 4")</f>
        <v>Zone 1</v>
      </c>
      <c r="CH141" t="str" cm="1">
        <f t="array" ref="CH141">_xlfn.SWITCH(N141,"Card","Card Payment","UPI", "UPI Payment","Cash","Cash Payment","NetBanking", "NetBanking Payment", "Unknown")</f>
        <v>Card Payment</v>
      </c>
      <c r="CI141" t="str" cm="1">
        <f t="array" ref="CI141">_xlfn.IFS(Sales_Data!J141&lt;=5,"Low",Sales_Data!J141&lt;=10,"Medium",Sales_Data!J141&gt;10,"High")</f>
        <v>Medium</v>
      </c>
    </row>
    <row r="142" spans="1:87" x14ac:dyDescent="0.3">
      <c r="A142">
        <v>1142</v>
      </c>
      <c r="B142" s="1">
        <v>45317</v>
      </c>
      <c r="C142" t="s">
        <v>16</v>
      </c>
      <c r="D142" t="s">
        <v>17</v>
      </c>
      <c r="E142" t="s">
        <v>88</v>
      </c>
      <c r="F142" t="s">
        <v>35</v>
      </c>
      <c r="G142" t="s">
        <v>65</v>
      </c>
      <c r="H142">
        <v>13</v>
      </c>
      <c r="I142">
        <v>19117</v>
      </c>
      <c r="J142">
        <v>20</v>
      </c>
      <c r="K142">
        <v>198816.8</v>
      </c>
      <c r="L142">
        <v>154526.16</v>
      </c>
      <c r="M142">
        <v>44290.64</v>
      </c>
      <c r="N142" t="s">
        <v>27</v>
      </c>
      <c r="O142">
        <v>5</v>
      </c>
      <c r="P142">
        <v>2.5</v>
      </c>
      <c r="Q142">
        <f t="shared" si="29"/>
        <v>115</v>
      </c>
      <c r="R142" t="str">
        <f t="shared" si="30"/>
        <v>Mouse</v>
      </c>
      <c r="S142" t="e">
        <f t="shared" si="31"/>
        <v>#N/A</v>
      </c>
      <c r="AK142">
        <v>1113</v>
      </c>
      <c r="AL142">
        <v>45545</v>
      </c>
      <c r="AM142" t="str">
        <v>West</v>
      </c>
      <c r="AN142" t="str">
        <v>Rohan</v>
      </c>
      <c r="AO142" t="str">
        <v>Customer_27</v>
      </c>
      <c r="AP142" t="str">
        <v>Furniture</v>
      </c>
      <c r="AQ142" t="str">
        <v>Mouse</v>
      </c>
      <c r="AR142">
        <v>3</v>
      </c>
      <c r="AS142">
        <v>31317</v>
      </c>
      <c r="AT142">
        <v>15</v>
      </c>
      <c r="AU142">
        <v>79858.350000000006</v>
      </c>
      <c r="AV142">
        <v>56104.21</v>
      </c>
      <c r="AW142">
        <v>23754.14</v>
      </c>
      <c r="AX142" t="str">
        <v>Card</v>
      </c>
      <c r="AY142">
        <v>9</v>
      </c>
      <c r="AZ142">
        <v>3.6</v>
      </c>
      <c r="BA142">
        <v>140</v>
      </c>
      <c r="BB142" t="str">
        <v>Mouse</v>
      </c>
      <c r="BC142" s="6">
        <f t="shared" si="32"/>
        <v>0</v>
      </c>
      <c r="BD142" t="str">
        <f t="shared" si="33"/>
        <v/>
      </c>
      <c r="BE142" s="8">
        <f t="shared" si="34"/>
        <v>0.22277111390989093</v>
      </c>
      <c r="BF142" t="str">
        <v>Customer_42</v>
      </c>
      <c r="BG142" t="str">
        <f t="shared" si="35"/>
        <v>West-Mouse</v>
      </c>
      <c r="BH142">
        <f t="shared" si="36"/>
        <v>2024</v>
      </c>
      <c r="BI142" t="str">
        <f t="shared" si="37"/>
        <v>January</v>
      </c>
      <c r="BJ142">
        <f t="shared" ca="1" si="28"/>
        <v>634</v>
      </c>
      <c r="BK142" s="8">
        <f t="shared" si="38"/>
        <v>0.22277111390989093</v>
      </c>
      <c r="BL142">
        <f t="shared" si="39"/>
        <v>41775</v>
      </c>
      <c r="BM142">
        <f t="shared" si="40"/>
        <v>107</v>
      </c>
      <c r="BN142">
        <v>1141</v>
      </c>
      <c r="BO142">
        <v>45379</v>
      </c>
      <c r="BP142" t="str">
        <v>North</v>
      </c>
      <c r="BQ142" t="str">
        <v>Megha</v>
      </c>
      <c r="BR142" t="str">
        <v>Customer_19</v>
      </c>
      <c r="BS142" t="str">
        <v>Electronics</v>
      </c>
      <c r="BT142" t="str">
        <v>Mouse</v>
      </c>
      <c r="BU142">
        <v>4</v>
      </c>
      <c r="BV142">
        <v>16339</v>
      </c>
      <c r="BW142">
        <v>10</v>
      </c>
      <c r="BX142">
        <v>58820.4</v>
      </c>
      <c r="BY142">
        <v>36909.730000000003</v>
      </c>
      <c r="BZ142">
        <v>21910.67</v>
      </c>
      <c r="CA142" t="str">
        <v>Card</v>
      </c>
      <c r="CB142">
        <v>7</v>
      </c>
      <c r="CC142">
        <v>3</v>
      </c>
      <c r="CD142" t="b">
        <f>COUNTIF(Sales_Data!E:E,Sales_Data!E142)&gt;1</f>
        <v>1</v>
      </c>
      <c r="CE142">
        <f>SUM(Sales_Data!$K$2:'Sales_Data'!K142)</f>
        <v>34418198.299999997</v>
      </c>
      <c r="CF142">
        <f t="shared" si="41"/>
        <v>228639.31999999998</v>
      </c>
      <c r="CG142" t="str">
        <f>CHOOSE(MATCH(C142,{"North","West","South","East"},0),"Zone 1","Zone 2","Zone 3","Zone 4")</f>
        <v>Zone 2</v>
      </c>
      <c r="CH142" t="str" cm="1">
        <f t="array" ref="CH142">_xlfn.SWITCH(N142,"Card","Card Payment","UPI", "UPI Payment","Cash","Cash Payment","NetBanking", "NetBanking Payment", "Unknown")</f>
        <v>UPI Payment</v>
      </c>
      <c r="CI142" t="str" cm="1">
        <f t="array" ref="CI142">_xlfn.IFS(Sales_Data!J142&lt;=5,"Low",Sales_Data!J142&lt;=10,"Medium",Sales_Data!J142&gt;10,"High")</f>
        <v>High</v>
      </c>
    </row>
    <row r="143" spans="1:87" x14ac:dyDescent="0.3">
      <c r="A143">
        <v>1143</v>
      </c>
      <c r="B143" s="1">
        <v>45790</v>
      </c>
      <c r="C143" t="s">
        <v>50</v>
      </c>
      <c r="D143" t="s">
        <v>17</v>
      </c>
      <c r="E143" t="s">
        <v>55</v>
      </c>
      <c r="F143" t="s">
        <v>35</v>
      </c>
      <c r="G143" t="s">
        <v>44</v>
      </c>
      <c r="H143">
        <v>4</v>
      </c>
      <c r="I143">
        <v>32136</v>
      </c>
      <c r="J143">
        <v>5</v>
      </c>
      <c r="K143">
        <v>122116.8</v>
      </c>
      <c r="L143">
        <v>67817.06</v>
      </c>
      <c r="M143">
        <v>54299.74</v>
      </c>
      <c r="N143" t="s">
        <v>21</v>
      </c>
      <c r="O143">
        <v>4</v>
      </c>
      <c r="P143">
        <v>3.8</v>
      </c>
      <c r="Q143">
        <f t="shared" si="29"/>
        <v>102</v>
      </c>
      <c r="R143" t="str">
        <f t="shared" si="30"/>
        <v>Printer</v>
      </c>
      <c r="S143" t="e">
        <f t="shared" si="31"/>
        <v>#N/A</v>
      </c>
      <c r="AK143">
        <v>1027</v>
      </c>
      <c r="AL143">
        <v>45669</v>
      </c>
      <c r="AM143" t="str">
        <v>West</v>
      </c>
      <c r="AN143" t="str">
        <v>Priya</v>
      </c>
      <c r="AO143" t="str">
        <v>Customer_13</v>
      </c>
      <c r="AP143" t="str">
        <v>Furniture</v>
      </c>
      <c r="AQ143" t="str">
        <v>Monitor</v>
      </c>
      <c r="AR143">
        <v>7</v>
      </c>
      <c r="AS143">
        <v>8249</v>
      </c>
      <c r="AT143">
        <v>5</v>
      </c>
      <c r="AU143">
        <v>54855.85</v>
      </c>
      <c r="AV143">
        <v>31589.759999999998</v>
      </c>
      <c r="AW143">
        <v>23266.09</v>
      </c>
      <c r="AX143" t="str">
        <v>NetBanking</v>
      </c>
      <c r="AY143">
        <v>3</v>
      </c>
      <c r="AZ143">
        <v>3</v>
      </c>
      <c r="BA143">
        <v>141</v>
      </c>
      <c r="BB143" t="str">
        <v>Monitor</v>
      </c>
      <c r="BC143" s="6">
        <f t="shared" si="32"/>
        <v>2</v>
      </c>
      <c r="BD143" t="str">
        <f t="shared" si="33"/>
        <v/>
      </c>
      <c r="BE143" s="8">
        <f t="shared" si="34"/>
        <v>0.44465413440247364</v>
      </c>
      <c r="BF143" t="str">
        <v>Customer_42</v>
      </c>
      <c r="BG143" t="str">
        <f t="shared" si="35"/>
        <v>North-Printer</v>
      </c>
      <c r="BH143">
        <f t="shared" si="36"/>
        <v>2025</v>
      </c>
      <c r="BI143" t="str">
        <f t="shared" si="37"/>
        <v>May</v>
      </c>
      <c r="BJ143">
        <f t="shared" ca="1" si="28"/>
        <v>297</v>
      </c>
      <c r="BK143" s="8">
        <f t="shared" si="38"/>
        <v>0.44465413440247364</v>
      </c>
      <c r="BL143">
        <f t="shared" si="39"/>
        <v>1561</v>
      </c>
      <c r="BM143">
        <f t="shared" si="40"/>
        <v>17</v>
      </c>
      <c r="BN143">
        <v>1142</v>
      </c>
      <c r="BO143">
        <v>45317</v>
      </c>
      <c r="BP143" t="str">
        <v>West</v>
      </c>
      <c r="BQ143" t="str">
        <v>Rohan</v>
      </c>
      <c r="BR143" t="str">
        <v>Customer_50</v>
      </c>
      <c r="BS143" t="str">
        <v>Furniture</v>
      </c>
      <c r="BT143" t="str">
        <v>Mouse</v>
      </c>
      <c r="BU143">
        <v>13</v>
      </c>
      <c r="BV143">
        <v>19117</v>
      </c>
      <c r="BW143">
        <v>20</v>
      </c>
      <c r="BX143">
        <v>198816.8</v>
      </c>
      <c r="BY143">
        <v>154526.16</v>
      </c>
      <c r="BZ143">
        <v>44290.64</v>
      </c>
      <c r="CA143" t="str">
        <v>UPI</v>
      </c>
      <c r="CB143">
        <v>5</v>
      </c>
      <c r="CC143">
        <v>2.5</v>
      </c>
      <c r="CD143" t="b">
        <f>COUNTIF(Sales_Data!E:E,Sales_Data!E143)&gt;1</f>
        <v>1</v>
      </c>
      <c r="CE143">
        <f>SUM(Sales_Data!$K$2:'Sales_Data'!K143)</f>
        <v>34540315.099999994</v>
      </c>
      <c r="CF143">
        <f t="shared" si="41"/>
        <v>140434.32</v>
      </c>
      <c r="CG143" t="str">
        <f>CHOOSE(MATCH(C143,{"North","West","South","East"},0),"Zone 1","Zone 2","Zone 3","Zone 4")</f>
        <v>Zone 1</v>
      </c>
      <c r="CH143" t="str" cm="1">
        <f t="array" ref="CH143">_xlfn.SWITCH(N143,"Card","Card Payment","UPI", "UPI Payment","Cash","Cash Payment","NetBanking", "NetBanking Payment", "Unknown")</f>
        <v>Card Payment</v>
      </c>
      <c r="CI143" t="str" cm="1">
        <f t="array" ref="CI143">_xlfn.IFS(Sales_Data!J143&lt;=5,"Low",Sales_Data!J143&lt;=10,"Medium",Sales_Data!J143&gt;10,"High")</f>
        <v>Low</v>
      </c>
    </row>
    <row r="144" spans="1:87" x14ac:dyDescent="0.3">
      <c r="A144">
        <v>1144</v>
      </c>
      <c r="B144" s="1">
        <v>45674</v>
      </c>
      <c r="C144" t="s">
        <v>16</v>
      </c>
      <c r="D144" t="s">
        <v>57</v>
      </c>
      <c r="E144" t="s">
        <v>63</v>
      </c>
      <c r="F144" t="s">
        <v>25</v>
      </c>
      <c r="G144" t="s">
        <v>65</v>
      </c>
      <c r="H144">
        <v>16</v>
      </c>
      <c r="I144">
        <v>551</v>
      </c>
      <c r="J144">
        <v>5</v>
      </c>
      <c r="K144">
        <v>8375.2000000000007</v>
      </c>
      <c r="L144">
        <v>5001.6400000000003</v>
      </c>
      <c r="M144">
        <v>3373.56</v>
      </c>
      <c r="N144" t="s">
        <v>21</v>
      </c>
      <c r="O144">
        <v>10</v>
      </c>
      <c r="P144">
        <v>2.5</v>
      </c>
      <c r="Q144">
        <f t="shared" si="29"/>
        <v>193</v>
      </c>
      <c r="R144" t="str">
        <f t="shared" si="30"/>
        <v>Mouse</v>
      </c>
      <c r="S144" t="e">
        <f t="shared" si="31"/>
        <v>#N/A</v>
      </c>
      <c r="AK144">
        <v>1074</v>
      </c>
      <c r="AL144">
        <v>45292</v>
      </c>
      <c r="AM144" t="str">
        <v>South</v>
      </c>
      <c r="AN144" t="str">
        <v>Megha</v>
      </c>
      <c r="AO144" t="str">
        <v>Customer_41</v>
      </c>
      <c r="AP144" t="str">
        <v>Furniture</v>
      </c>
      <c r="AQ144" t="str">
        <v>Monitor</v>
      </c>
      <c r="AR144">
        <v>14</v>
      </c>
      <c r="AS144">
        <v>6822</v>
      </c>
      <c r="AT144">
        <v>15</v>
      </c>
      <c r="AU144">
        <v>81181.8</v>
      </c>
      <c r="AV144">
        <v>58686.29</v>
      </c>
      <c r="AW144">
        <v>22495.51</v>
      </c>
      <c r="AX144" t="str">
        <v>Card</v>
      </c>
      <c r="AY144">
        <v>6</v>
      </c>
      <c r="AZ144">
        <v>4.3</v>
      </c>
      <c r="BA144">
        <v>142</v>
      </c>
      <c r="BB144" t="str">
        <v>Monitor</v>
      </c>
      <c r="BC144" s="6">
        <f t="shared" si="32"/>
        <v>0</v>
      </c>
      <c r="BD144" t="str">
        <f t="shared" si="33"/>
        <v/>
      </c>
      <c r="BE144" s="8">
        <f t="shared" si="34"/>
        <v>0.4028035151399369</v>
      </c>
      <c r="BF144" t="str">
        <v>Customer_42</v>
      </c>
      <c r="BG144" t="str">
        <f t="shared" si="35"/>
        <v>West-Mouse</v>
      </c>
      <c r="BH144">
        <f t="shared" si="36"/>
        <v>2025</v>
      </c>
      <c r="BI144" t="str">
        <f t="shared" si="37"/>
        <v>January</v>
      </c>
      <c r="BJ144">
        <f t="shared" ca="1" si="28"/>
        <v>379</v>
      </c>
      <c r="BK144" s="8">
        <f t="shared" si="38"/>
        <v>0.4028035151399369</v>
      </c>
      <c r="BL144">
        <f t="shared" si="39"/>
        <v>41775</v>
      </c>
      <c r="BM144">
        <f t="shared" si="40"/>
        <v>27</v>
      </c>
      <c r="BN144">
        <v>1143</v>
      </c>
      <c r="BO144">
        <v>45790</v>
      </c>
      <c r="BP144" t="str">
        <v>North</v>
      </c>
      <c r="BQ144" t="str">
        <v>Rohan</v>
      </c>
      <c r="BR144" t="str">
        <v>Customer_40</v>
      </c>
      <c r="BS144" t="str">
        <v>Furniture</v>
      </c>
      <c r="BT144" t="str">
        <v>Printer</v>
      </c>
      <c r="BU144">
        <v>4</v>
      </c>
      <c r="BV144">
        <v>32136</v>
      </c>
      <c r="BW144">
        <v>5</v>
      </c>
      <c r="BX144">
        <v>122116.8</v>
      </c>
      <c r="BY144">
        <v>67817.06</v>
      </c>
      <c r="BZ144">
        <v>54299.74</v>
      </c>
      <c r="CA144" t="str">
        <v>Card</v>
      </c>
      <c r="CB144">
        <v>4</v>
      </c>
      <c r="CC144">
        <v>3.8</v>
      </c>
      <c r="CD144" t="b">
        <f>COUNTIF(Sales_Data!E:E,Sales_Data!E144)&gt;1</f>
        <v>1</v>
      </c>
      <c r="CE144">
        <f>SUM(Sales_Data!$K$2:'Sales_Data'!K144)</f>
        <v>34548690.299999997</v>
      </c>
      <c r="CF144">
        <f t="shared" si="41"/>
        <v>9631.48</v>
      </c>
      <c r="CG144" t="str">
        <f>CHOOSE(MATCH(C144,{"North","West","South","East"},0),"Zone 1","Zone 2","Zone 3","Zone 4")</f>
        <v>Zone 2</v>
      </c>
      <c r="CH144" t="str" cm="1">
        <f t="array" ref="CH144">_xlfn.SWITCH(N144,"Card","Card Payment","UPI", "UPI Payment","Cash","Cash Payment","NetBanking", "NetBanking Payment", "Unknown")</f>
        <v>Card Payment</v>
      </c>
      <c r="CI144" t="str" cm="1">
        <f t="array" ref="CI144">_xlfn.IFS(Sales_Data!J144&lt;=5,"Low",Sales_Data!J144&lt;=10,"Medium",Sales_Data!J144&gt;10,"High")</f>
        <v>Low</v>
      </c>
    </row>
    <row r="145" spans="1:87" x14ac:dyDescent="0.3">
      <c r="A145">
        <v>1145</v>
      </c>
      <c r="B145" s="1">
        <v>45786</v>
      </c>
      <c r="C145" t="s">
        <v>50</v>
      </c>
      <c r="D145" t="s">
        <v>51</v>
      </c>
      <c r="E145" t="s">
        <v>46</v>
      </c>
      <c r="F145" t="s">
        <v>19</v>
      </c>
      <c r="G145" t="s">
        <v>41</v>
      </c>
      <c r="H145">
        <v>5</v>
      </c>
      <c r="I145">
        <v>24228</v>
      </c>
      <c r="J145">
        <v>15</v>
      </c>
      <c r="K145">
        <v>102969</v>
      </c>
      <c r="L145">
        <v>62507.54</v>
      </c>
      <c r="M145">
        <v>40461.46</v>
      </c>
      <c r="N145" t="s">
        <v>48</v>
      </c>
      <c r="O145">
        <v>10</v>
      </c>
      <c r="P145">
        <v>3.8</v>
      </c>
      <c r="Q145">
        <f t="shared" si="29"/>
        <v>121</v>
      </c>
      <c r="R145" t="str">
        <f t="shared" si="30"/>
        <v>Chair</v>
      </c>
      <c r="S145" t="e">
        <f t="shared" si="31"/>
        <v>#N/A</v>
      </c>
      <c r="AK145">
        <v>1010</v>
      </c>
      <c r="AL145">
        <v>45678</v>
      </c>
      <c r="AM145" t="str">
        <v>West</v>
      </c>
      <c r="AN145" t="str">
        <v>Sneha</v>
      </c>
      <c r="AO145" t="str">
        <v>Customer_47</v>
      </c>
      <c r="AP145" t="str">
        <v>Electronics</v>
      </c>
      <c r="AQ145" t="str">
        <v>Keyboard</v>
      </c>
      <c r="AR145">
        <v>3</v>
      </c>
      <c r="AS145">
        <v>41396</v>
      </c>
      <c r="AT145">
        <v>0</v>
      </c>
      <c r="AU145">
        <v>124188</v>
      </c>
      <c r="AV145">
        <v>101799.16</v>
      </c>
      <c r="AW145">
        <v>22388.84</v>
      </c>
      <c r="AX145" t="str">
        <v>UPI</v>
      </c>
      <c r="AY145">
        <v>10</v>
      </c>
      <c r="AZ145">
        <v>3.2</v>
      </c>
      <c r="BA145">
        <v>143</v>
      </c>
      <c r="BB145" t="str">
        <v>Keyboard</v>
      </c>
      <c r="BC145" s="6">
        <f t="shared" si="32"/>
        <v>2</v>
      </c>
      <c r="BD145" t="str">
        <f t="shared" si="33"/>
        <v/>
      </c>
      <c r="BE145" s="8">
        <f t="shared" si="34"/>
        <v>0.39294797463314202</v>
      </c>
      <c r="BF145" t="str">
        <v>Customer_42</v>
      </c>
      <c r="BG145" t="str">
        <f t="shared" si="35"/>
        <v>North-Chair</v>
      </c>
      <c r="BH145">
        <f t="shared" si="36"/>
        <v>2025</v>
      </c>
      <c r="BI145" t="str">
        <f t="shared" si="37"/>
        <v>May</v>
      </c>
      <c r="BJ145">
        <f t="shared" ca="1" si="28"/>
        <v>299</v>
      </c>
      <c r="BK145" s="8">
        <f t="shared" si="38"/>
        <v>0.39294797463314202</v>
      </c>
      <c r="BL145">
        <f t="shared" si="39"/>
        <v>4972</v>
      </c>
      <c r="BM145">
        <f t="shared" si="40"/>
        <v>12</v>
      </c>
      <c r="BN145">
        <v>1144</v>
      </c>
      <c r="BO145">
        <v>45674</v>
      </c>
      <c r="BP145" t="str">
        <v>West</v>
      </c>
      <c r="BQ145" t="str">
        <v>Megha</v>
      </c>
      <c r="BR145" t="str">
        <v>Customer_13</v>
      </c>
      <c r="BS145" t="str">
        <v>Office Supplies</v>
      </c>
      <c r="BT145" t="str">
        <v>Mouse</v>
      </c>
      <c r="BU145">
        <v>16</v>
      </c>
      <c r="BV145">
        <v>551</v>
      </c>
      <c r="BW145">
        <v>5</v>
      </c>
      <c r="BX145">
        <v>8375.2000000000007</v>
      </c>
      <c r="BY145">
        <v>5001.6400000000003</v>
      </c>
      <c r="BZ145">
        <v>3373.56</v>
      </c>
      <c r="CA145" t="str">
        <v>Card</v>
      </c>
      <c r="CB145">
        <v>10</v>
      </c>
      <c r="CC145">
        <v>2.5</v>
      </c>
      <c r="CD145" t="b">
        <f>COUNTIF(Sales_Data!E:E,Sales_Data!E145)&gt;1</f>
        <v>1</v>
      </c>
      <c r="CE145">
        <f>SUM(Sales_Data!$K$2:'Sales_Data'!K145)</f>
        <v>34651659.299999997</v>
      </c>
      <c r="CF145">
        <f t="shared" si="41"/>
        <v>118414.34999999999</v>
      </c>
      <c r="CG145" t="str">
        <f>CHOOSE(MATCH(C145,{"North","West","South","East"},0),"Zone 1","Zone 2","Zone 3","Zone 4")</f>
        <v>Zone 1</v>
      </c>
      <c r="CH145" t="str" cm="1">
        <f t="array" ref="CH145">_xlfn.SWITCH(N145,"Card","Card Payment","UPI", "UPI Payment","Cash","Cash Payment","NetBanking", "NetBanking Payment", "Unknown")</f>
        <v>NetBanking Payment</v>
      </c>
      <c r="CI145" t="str" cm="1">
        <f t="array" ref="CI145">_xlfn.IFS(Sales_Data!J145&lt;=5,"Low",Sales_Data!J145&lt;=10,"Medium",Sales_Data!J145&gt;10,"High")</f>
        <v>High</v>
      </c>
    </row>
    <row r="146" spans="1:87" x14ac:dyDescent="0.3">
      <c r="A146">
        <v>1146</v>
      </c>
      <c r="B146" s="1">
        <v>45751</v>
      </c>
      <c r="C146" t="s">
        <v>50</v>
      </c>
      <c r="D146" t="s">
        <v>42</v>
      </c>
      <c r="E146" t="s">
        <v>59</v>
      </c>
      <c r="F146" t="s">
        <v>19</v>
      </c>
      <c r="G146" t="s">
        <v>30</v>
      </c>
      <c r="H146">
        <v>20</v>
      </c>
      <c r="I146">
        <v>12715</v>
      </c>
      <c r="J146">
        <v>15</v>
      </c>
      <c r="K146">
        <v>216155</v>
      </c>
      <c r="L146">
        <v>143014.12</v>
      </c>
      <c r="M146">
        <v>73140.88</v>
      </c>
      <c r="N146" t="s">
        <v>21</v>
      </c>
      <c r="O146">
        <v>5</v>
      </c>
      <c r="P146">
        <v>3.3</v>
      </c>
      <c r="Q146">
        <f t="shared" si="29"/>
        <v>79</v>
      </c>
      <c r="R146" t="str">
        <f t="shared" si="30"/>
        <v>Desk</v>
      </c>
      <c r="S146" t="e">
        <f t="shared" si="31"/>
        <v>#N/A</v>
      </c>
      <c r="AK146">
        <v>1092</v>
      </c>
      <c r="AL146">
        <v>45593</v>
      </c>
      <c r="AM146" t="str">
        <v>North</v>
      </c>
      <c r="AN146" t="str">
        <v>Neha</v>
      </c>
      <c r="AO146" t="str">
        <v>Customer_16</v>
      </c>
      <c r="AP146" t="str">
        <v>Furniture</v>
      </c>
      <c r="AQ146" t="str">
        <v>Desk</v>
      </c>
      <c r="AR146">
        <v>3</v>
      </c>
      <c r="AS146">
        <v>19438</v>
      </c>
      <c r="AT146">
        <v>0</v>
      </c>
      <c r="AU146">
        <v>58314</v>
      </c>
      <c r="AV146">
        <v>35974.639999999999</v>
      </c>
      <c r="AW146">
        <v>22339.360000000001</v>
      </c>
      <c r="AX146" t="str">
        <v>Card</v>
      </c>
      <c r="AY146">
        <v>3</v>
      </c>
      <c r="AZ146">
        <v>4.5999999999999996</v>
      </c>
      <c r="BA146">
        <v>144</v>
      </c>
      <c r="BB146" t="str">
        <v>Desk</v>
      </c>
      <c r="BC146" s="6">
        <f t="shared" si="32"/>
        <v>1</v>
      </c>
      <c r="BD146" t="str">
        <f t="shared" si="33"/>
        <v/>
      </c>
      <c r="BE146" s="8">
        <f t="shared" si="34"/>
        <v>0.33837237167773127</v>
      </c>
      <c r="BF146" t="str">
        <v>Customer_43</v>
      </c>
      <c r="BG146" t="str">
        <f t="shared" si="35"/>
        <v>North-Desk</v>
      </c>
      <c r="BH146">
        <f t="shared" si="36"/>
        <v>2025</v>
      </c>
      <c r="BI146" t="str">
        <f t="shared" si="37"/>
        <v>April</v>
      </c>
      <c r="BJ146">
        <f t="shared" ca="1" si="28"/>
        <v>324</v>
      </c>
      <c r="BK146" s="8">
        <f t="shared" si="38"/>
        <v>0.33837237167773127</v>
      </c>
      <c r="BL146">
        <f t="shared" si="39"/>
        <v>13233</v>
      </c>
      <c r="BM146">
        <f t="shared" si="40"/>
        <v>20</v>
      </c>
      <c r="BN146">
        <v>1145</v>
      </c>
      <c r="BO146">
        <v>45786</v>
      </c>
      <c r="BP146" t="str">
        <v>North</v>
      </c>
      <c r="BQ146" t="str">
        <v>Aman</v>
      </c>
      <c r="BR146" t="str">
        <v>Customer_20</v>
      </c>
      <c r="BS146" t="str">
        <v>Electronics</v>
      </c>
      <c r="BT146" t="str">
        <v>Chair</v>
      </c>
      <c r="BU146">
        <v>5</v>
      </c>
      <c r="BV146">
        <v>24228</v>
      </c>
      <c r="BW146">
        <v>15</v>
      </c>
      <c r="BX146">
        <v>102969</v>
      </c>
      <c r="BY146">
        <v>62507.54</v>
      </c>
      <c r="BZ146">
        <v>40461.46</v>
      </c>
      <c r="CA146" t="str">
        <v>NetBanking</v>
      </c>
      <c r="CB146">
        <v>10</v>
      </c>
      <c r="CC146">
        <v>3.8</v>
      </c>
      <c r="CD146" t="b">
        <f>COUNTIF(Sales_Data!E:E,Sales_Data!E146)&gt;1</f>
        <v>1</v>
      </c>
      <c r="CE146">
        <f>SUM(Sales_Data!$K$2:'Sales_Data'!K146)</f>
        <v>34867814.299999997</v>
      </c>
      <c r="CF146">
        <f t="shared" si="41"/>
        <v>248578.24999999997</v>
      </c>
      <c r="CG146" t="str">
        <f>CHOOSE(MATCH(C146,{"North","West","South","East"},0),"Zone 1","Zone 2","Zone 3","Zone 4")</f>
        <v>Zone 1</v>
      </c>
      <c r="CH146" t="str" cm="1">
        <f t="array" ref="CH146">_xlfn.SWITCH(N146,"Card","Card Payment","UPI", "UPI Payment","Cash","Cash Payment","NetBanking", "NetBanking Payment", "Unknown")</f>
        <v>Card Payment</v>
      </c>
      <c r="CI146" t="str" cm="1">
        <f t="array" ref="CI146">_xlfn.IFS(Sales_Data!J146&lt;=5,"Low",Sales_Data!J146&lt;=10,"Medium",Sales_Data!J146&gt;10,"High")</f>
        <v>High</v>
      </c>
    </row>
    <row r="147" spans="1:87" x14ac:dyDescent="0.3">
      <c r="A147">
        <v>1147</v>
      </c>
      <c r="B147" s="1">
        <v>45561</v>
      </c>
      <c r="C147" t="s">
        <v>50</v>
      </c>
      <c r="D147" t="s">
        <v>28</v>
      </c>
      <c r="E147" t="s">
        <v>56</v>
      </c>
      <c r="F147" t="s">
        <v>25</v>
      </c>
      <c r="G147" t="s">
        <v>30</v>
      </c>
      <c r="H147">
        <v>8</v>
      </c>
      <c r="I147">
        <v>43297</v>
      </c>
      <c r="J147">
        <v>0</v>
      </c>
      <c r="K147">
        <v>346376</v>
      </c>
      <c r="L147">
        <v>246056.51</v>
      </c>
      <c r="M147">
        <v>100319.49</v>
      </c>
      <c r="N147" t="s">
        <v>37</v>
      </c>
      <c r="O147">
        <v>6</v>
      </c>
      <c r="P147">
        <v>4.5</v>
      </c>
      <c r="Q147">
        <f t="shared" si="29"/>
        <v>57</v>
      </c>
      <c r="R147" t="str">
        <f t="shared" si="30"/>
        <v>Desk</v>
      </c>
      <c r="S147" t="e">
        <f t="shared" si="31"/>
        <v>#N/A</v>
      </c>
      <c r="AK147">
        <v>1141</v>
      </c>
      <c r="AL147">
        <v>45379</v>
      </c>
      <c r="AM147" t="str">
        <v>North</v>
      </c>
      <c r="AN147" t="str">
        <v>Megha</v>
      </c>
      <c r="AO147" t="str">
        <v>Customer_19</v>
      </c>
      <c r="AP147" t="str">
        <v>Electronics</v>
      </c>
      <c r="AQ147" t="str">
        <v>Mouse</v>
      </c>
      <c r="AR147">
        <v>4</v>
      </c>
      <c r="AS147">
        <v>16339</v>
      </c>
      <c r="AT147">
        <v>10</v>
      </c>
      <c r="AU147">
        <v>58820.4</v>
      </c>
      <c r="AV147">
        <v>36909.730000000003</v>
      </c>
      <c r="AW147">
        <v>21910.67</v>
      </c>
      <c r="AX147" t="str">
        <v>Card</v>
      </c>
      <c r="AY147">
        <v>7</v>
      </c>
      <c r="AZ147">
        <v>3</v>
      </c>
      <c r="BA147">
        <v>145</v>
      </c>
      <c r="BB147" t="str">
        <v>Mouse</v>
      </c>
      <c r="BC147" s="6">
        <f t="shared" si="32"/>
        <v>3</v>
      </c>
      <c r="BD147" t="str">
        <f t="shared" si="33"/>
        <v>Bonus!</v>
      </c>
      <c r="BE147" s="8">
        <f t="shared" si="34"/>
        <v>0.28962598447929422</v>
      </c>
      <c r="BF147" t="str">
        <v>Customer_43</v>
      </c>
      <c r="BG147" t="str">
        <f t="shared" si="35"/>
        <v>North-Desk</v>
      </c>
      <c r="BH147">
        <f t="shared" si="36"/>
        <v>2024</v>
      </c>
      <c r="BI147" t="str">
        <f t="shared" si="37"/>
        <v>September</v>
      </c>
      <c r="BJ147">
        <f t="shared" ca="1" si="28"/>
        <v>460</v>
      </c>
      <c r="BK147" s="8">
        <f t="shared" si="38"/>
        <v>0.28962598447929422</v>
      </c>
      <c r="BL147">
        <f t="shared" si="39"/>
        <v>13233</v>
      </c>
      <c r="BM147">
        <f t="shared" si="40"/>
        <v>18</v>
      </c>
      <c r="BN147">
        <v>1146</v>
      </c>
      <c r="BO147">
        <v>45751</v>
      </c>
      <c r="BP147" t="str">
        <v>North</v>
      </c>
      <c r="BQ147" t="str">
        <v>Priya</v>
      </c>
      <c r="BR147" t="str">
        <v>Customer_18</v>
      </c>
      <c r="BS147" t="str">
        <v>Electronics</v>
      </c>
      <c r="BT147" t="str">
        <v>Desk</v>
      </c>
      <c r="BU147">
        <v>20</v>
      </c>
      <c r="BV147">
        <v>12715</v>
      </c>
      <c r="BW147">
        <v>15</v>
      </c>
      <c r="BX147">
        <v>216155</v>
      </c>
      <c r="BY147">
        <v>143014.12</v>
      </c>
      <c r="BZ147">
        <v>73140.88</v>
      </c>
      <c r="CA147" t="str">
        <v>Card</v>
      </c>
      <c r="CB147">
        <v>5</v>
      </c>
      <c r="CC147">
        <v>3.3</v>
      </c>
      <c r="CD147" t="b">
        <f>COUNTIF(Sales_Data!E:E,Sales_Data!E147)&gt;1</f>
        <v>1</v>
      </c>
      <c r="CE147">
        <f>SUM(Sales_Data!$K$2:'Sales_Data'!K147)</f>
        <v>35214190.299999997</v>
      </c>
      <c r="CF147">
        <f t="shared" si="41"/>
        <v>398332.39999999997</v>
      </c>
      <c r="CG147" t="str">
        <f>CHOOSE(MATCH(C147,{"North","West","South","East"},0),"Zone 1","Zone 2","Zone 3","Zone 4")</f>
        <v>Zone 1</v>
      </c>
      <c r="CH147" t="str" cm="1">
        <f t="array" ref="CH147">_xlfn.SWITCH(N147,"Card","Card Payment","UPI", "UPI Payment","Cash","Cash Payment","NetBanking", "NetBanking Payment", "Unknown")</f>
        <v>Cash Payment</v>
      </c>
      <c r="CI147" t="str" cm="1">
        <f t="array" ref="CI147">_xlfn.IFS(Sales_Data!J147&lt;=5,"Low",Sales_Data!J147&lt;=10,"Medium",Sales_Data!J147&gt;10,"High")</f>
        <v>Low</v>
      </c>
    </row>
    <row r="148" spans="1:87" x14ac:dyDescent="0.3">
      <c r="A148">
        <v>1148</v>
      </c>
      <c r="B148" s="1">
        <v>45569</v>
      </c>
      <c r="C148" t="s">
        <v>16</v>
      </c>
      <c r="D148" t="s">
        <v>28</v>
      </c>
      <c r="E148" t="s">
        <v>83</v>
      </c>
      <c r="F148" t="s">
        <v>19</v>
      </c>
      <c r="G148" t="s">
        <v>41</v>
      </c>
      <c r="H148">
        <v>19</v>
      </c>
      <c r="I148">
        <v>37146</v>
      </c>
      <c r="J148">
        <v>10</v>
      </c>
      <c r="K148">
        <v>635196.6</v>
      </c>
      <c r="L148">
        <v>393954.8</v>
      </c>
      <c r="M148">
        <v>241241.8</v>
      </c>
      <c r="N148" t="s">
        <v>48</v>
      </c>
      <c r="O148">
        <v>10</v>
      </c>
      <c r="P148">
        <v>3.5</v>
      </c>
      <c r="Q148">
        <f t="shared" si="29"/>
        <v>6</v>
      </c>
      <c r="R148" t="str">
        <f t="shared" si="30"/>
        <v>Chair</v>
      </c>
      <c r="S148" t="e">
        <f t="shared" si="31"/>
        <v>#N/A</v>
      </c>
      <c r="AK148">
        <v>1081</v>
      </c>
      <c r="AL148">
        <v>45499</v>
      </c>
      <c r="AM148" t="str">
        <v>East</v>
      </c>
      <c r="AN148" t="str">
        <v>Megha</v>
      </c>
      <c r="AO148" t="str">
        <v>Customer_35</v>
      </c>
      <c r="AP148" t="str">
        <v>Office Supplies</v>
      </c>
      <c r="AQ148" t="str">
        <v>Desk</v>
      </c>
      <c r="AR148">
        <v>9</v>
      </c>
      <c r="AS148">
        <v>16742</v>
      </c>
      <c r="AT148">
        <v>20</v>
      </c>
      <c r="AU148">
        <v>120542.39999999999</v>
      </c>
      <c r="AV148">
        <v>98806</v>
      </c>
      <c r="AW148">
        <v>21736.400000000001</v>
      </c>
      <c r="AX148" t="str">
        <v>Card</v>
      </c>
      <c r="AY148">
        <v>2</v>
      </c>
      <c r="AZ148">
        <v>3.3</v>
      </c>
      <c r="BA148">
        <v>146</v>
      </c>
      <c r="BB148" t="str">
        <v>Desk</v>
      </c>
      <c r="BC148" s="6">
        <f t="shared" si="32"/>
        <v>3</v>
      </c>
      <c r="BD148" t="str">
        <f t="shared" si="33"/>
        <v>Bonus!</v>
      </c>
      <c r="BE148" s="8">
        <f t="shared" si="34"/>
        <v>0.37979076084475261</v>
      </c>
      <c r="BF148" t="str">
        <v>Customer_43</v>
      </c>
      <c r="BG148" t="str">
        <f t="shared" si="35"/>
        <v>West-Chair</v>
      </c>
      <c r="BH148">
        <f t="shared" si="36"/>
        <v>2024</v>
      </c>
      <c r="BI148" t="str">
        <f t="shared" si="37"/>
        <v>October</v>
      </c>
      <c r="BJ148">
        <f t="shared" ca="1" si="28"/>
        <v>454</v>
      </c>
      <c r="BK148" s="8">
        <f t="shared" si="38"/>
        <v>0.37979076084475261</v>
      </c>
      <c r="BL148">
        <f t="shared" si="39"/>
        <v>4972</v>
      </c>
      <c r="BM148">
        <f t="shared" si="40"/>
        <v>85</v>
      </c>
      <c r="BN148">
        <v>1147</v>
      </c>
      <c r="BO148">
        <v>45561</v>
      </c>
      <c r="BP148" t="str">
        <v>North</v>
      </c>
      <c r="BQ148" t="str">
        <v>Arjun</v>
      </c>
      <c r="BR148" t="str">
        <v>Customer_29</v>
      </c>
      <c r="BS148" t="str">
        <v>Office Supplies</v>
      </c>
      <c r="BT148" t="str">
        <v>Desk</v>
      </c>
      <c r="BU148">
        <v>8</v>
      </c>
      <c r="BV148">
        <v>43297</v>
      </c>
      <c r="BW148">
        <v>0</v>
      </c>
      <c r="BX148">
        <v>346376</v>
      </c>
      <c r="BY148">
        <v>246056.51</v>
      </c>
      <c r="BZ148">
        <v>100319.49</v>
      </c>
      <c r="CA148" t="str">
        <v>Cash</v>
      </c>
      <c r="CB148">
        <v>6</v>
      </c>
      <c r="CC148">
        <v>4.5</v>
      </c>
      <c r="CD148" t="b">
        <f>COUNTIF(Sales_Data!E:E,Sales_Data!E148)&gt;1</f>
        <v>1</v>
      </c>
      <c r="CE148">
        <f>SUM(Sales_Data!$K$2:'Sales_Data'!K148)</f>
        <v>35849386.899999999</v>
      </c>
      <c r="CF148">
        <f t="shared" si="41"/>
        <v>730476.09</v>
      </c>
      <c r="CG148" t="str">
        <f>CHOOSE(MATCH(C148,{"North","West","South","East"},0),"Zone 1","Zone 2","Zone 3","Zone 4")</f>
        <v>Zone 2</v>
      </c>
      <c r="CH148" t="str" cm="1">
        <f t="array" ref="CH148">_xlfn.SWITCH(N148,"Card","Card Payment","UPI", "UPI Payment","Cash","Cash Payment","NetBanking", "NetBanking Payment", "Unknown")</f>
        <v>NetBanking Payment</v>
      </c>
      <c r="CI148" t="str" cm="1">
        <f t="array" ref="CI148">_xlfn.IFS(Sales_Data!J148&lt;=5,"Low",Sales_Data!J148&lt;=10,"Medium",Sales_Data!J148&gt;10,"High")</f>
        <v>Medium</v>
      </c>
    </row>
    <row r="149" spans="1:87" x14ac:dyDescent="0.3">
      <c r="A149">
        <v>1149</v>
      </c>
      <c r="B149" s="1">
        <v>45328</v>
      </c>
      <c r="C149" t="s">
        <v>33</v>
      </c>
      <c r="D149" t="s">
        <v>57</v>
      </c>
      <c r="E149" t="s">
        <v>80</v>
      </c>
      <c r="F149" t="s">
        <v>19</v>
      </c>
      <c r="G149" t="s">
        <v>44</v>
      </c>
      <c r="H149">
        <v>4</v>
      </c>
      <c r="I149">
        <v>15637</v>
      </c>
      <c r="J149">
        <v>5</v>
      </c>
      <c r="K149">
        <v>59420.6</v>
      </c>
      <c r="L149">
        <v>44812.76</v>
      </c>
      <c r="M149">
        <v>14607.84</v>
      </c>
      <c r="N149" t="s">
        <v>21</v>
      </c>
      <c r="O149">
        <v>9</v>
      </c>
      <c r="P149">
        <v>4.7</v>
      </c>
      <c r="Q149">
        <f t="shared" si="29"/>
        <v>158</v>
      </c>
      <c r="R149" t="str">
        <f t="shared" si="30"/>
        <v>Printer</v>
      </c>
      <c r="S149" t="e">
        <f t="shared" si="31"/>
        <v>#N/A</v>
      </c>
      <c r="AK149">
        <v>1111</v>
      </c>
      <c r="AL149">
        <v>45456</v>
      </c>
      <c r="AM149" t="str">
        <v>East</v>
      </c>
      <c r="AN149" t="str">
        <v>Neha</v>
      </c>
      <c r="AO149" t="str">
        <v>Customer_23</v>
      </c>
      <c r="AP149" t="str">
        <v>Office Supplies</v>
      </c>
      <c r="AQ149" t="str">
        <v>Mouse</v>
      </c>
      <c r="AR149">
        <v>6</v>
      </c>
      <c r="AS149">
        <v>11520</v>
      </c>
      <c r="AT149">
        <v>20</v>
      </c>
      <c r="AU149">
        <v>55296</v>
      </c>
      <c r="AV149">
        <v>34058.68</v>
      </c>
      <c r="AW149">
        <v>21237.32</v>
      </c>
      <c r="AX149" t="str">
        <v>NetBanking</v>
      </c>
      <c r="AY149">
        <v>9</v>
      </c>
      <c r="AZ149">
        <v>2.5</v>
      </c>
      <c r="BA149">
        <v>147</v>
      </c>
      <c r="BB149" t="str">
        <v>Mouse</v>
      </c>
      <c r="BC149" s="6">
        <f t="shared" si="32"/>
        <v>1</v>
      </c>
      <c r="BD149" t="str">
        <f t="shared" si="33"/>
        <v/>
      </c>
      <c r="BE149" s="8">
        <f t="shared" si="34"/>
        <v>0.24583797538227484</v>
      </c>
      <c r="BF149" t="str">
        <v>Customer_43</v>
      </c>
      <c r="BG149" t="str">
        <f t="shared" si="35"/>
        <v>East-Printer</v>
      </c>
      <c r="BH149">
        <f t="shared" si="36"/>
        <v>2024</v>
      </c>
      <c r="BI149" t="str">
        <f t="shared" si="37"/>
        <v>February</v>
      </c>
      <c r="BJ149">
        <f t="shared" ca="1" si="28"/>
        <v>627</v>
      </c>
      <c r="BK149" s="8">
        <f t="shared" si="38"/>
        <v>0.24583797538227484</v>
      </c>
      <c r="BL149">
        <f t="shared" si="39"/>
        <v>1561</v>
      </c>
      <c r="BM149">
        <f t="shared" si="40"/>
        <v>74</v>
      </c>
      <c r="BN149">
        <v>1148</v>
      </c>
      <c r="BO149">
        <v>45569</v>
      </c>
      <c r="BP149" t="str">
        <v>West</v>
      </c>
      <c r="BQ149" t="str">
        <v>Arjun</v>
      </c>
      <c r="BR149" t="str">
        <v>Customer_3</v>
      </c>
      <c r="BS149" t="str">
        <v>Electronics</v>
      </c>
      <c r="BT149" t="str">
        <v>Chair</v>
      </c>
      <c r="BU149">
        <v>19</v>
      </c>
      <c r="BV149">
        <v>37146</v>
      </c>
      <c r="BW149">
        <v>10</v>
      </c>
      <c r="BX149">
        <v>635196.6</v>
      </c>
      <c r="BY149">
        <v>393954.8</v>
      </c>
      <c r="BZ149">
        <v>241241.8</v>
      </c>
      <c r="CA149" t="str">
        <v>NetBanking</v>
      </c>
      <c r="CB149">
        <v>10</v>
      </c>
      <c r="CC149">
        <v>3.5</v>
      </c>
      <c r="CD149" t="b">
        <f>COUNTIF(Sales_Data!E:E,Sales_Data!E149)&gt;1</f>
        <v>1</v>
      </c>
      <c r="CE149">
        <f>SUM(Sales_Data!$K$2:'Sales_Data'!K149)</f>
        <v>35908807.5</v>
      </c>
      <c r="CF149">
        <f t="shared" si="41"/>
        <v>68333.689999999988</v>
      </c>
      <c r="CG149" t="str">
        <f>CHOOSE(MATCH(C149,{"North","West","South","East"},0),"Zone 1","Zone 2","Zone 3","Zone 4")</f>
        <v>Zone 4</v>
      </c>
      <c r="CH149" t="str" cm="1">
        <f t="array" ref="CH149">_xlfn.SWITCH(N149,"Card","Card Payment","UPI", "UPI Payment","Cash","Cash Payment","NetBanking", "NetBanking Payment", "Unknown")</f>
        <v>Card Payment</v>
      </c>
      <c r="CI149" t="str" cm="1">
        <f t="array" ref="CI149">_xlfn.IFS(Sales_Data!J149&lt;=5,"Low",Sales_Data!J149&lt;=10,"Medium",Sales_Data!J149&gt;10,"High")</f>
        <v>Low</v>
      </c>
    </row>
    <row r="150" spans="1:87" x14ac:dyDescent="0.3">
      <c r="A150">
        <v>1150</v>
      </c>
      <c r="B150" s="1">
        <v>45561</v>
      </c>
      <c r="C150" t="s">
        <v>33</v>
      </c>
      <c r="D150" t="s">
        <v>51</v>
      </c>
      <c r="E150" t="s">
        <v>91</v>
      </c>
      <c r="F150" t="s">
        <v>19</v>
      </c>
      <c r="G150" t="s">
        <v>47</v>
      </c>
      <c r="H150">
        <v>13</v>
      </c>
      <c r="I150">
        <v>19808</v>
      </c>
      <c r="J150">
        <v>20</v>
      </c>
      <c r="K150">
        <v>206003.20000000001</v>
      </c>
      <c r="L150">
        <v>133205.17000000001</v>
      </c>
      <c r="M150">
        <v>72798.03</v>
      </c>
      <c r="N150" t="s">
        <v>21</v>
      </c>
      <c r="O150">
        <v>7</v>
      </c>
      <c r="P150">
        <v>4.3</v>
      </c>
      <c r="Q150">
        <f t="shared" si="29"/>
        <v>80</v>
      </c>
      <c r="R150" t="str">
        <f t="shared" si="30"/>
        <v>Monitor</v>
      </c>
      <c r="S150" t="e">
        <f t="shared" si="31"/>
        <v>#N/A</v>
      </c>
      <c r="AK150">
        <v>1031</v>
      </c>
      <c r="AL150">
        <v>45409</v>
      </c>
      <c r="AM150" t="str">
        <v>East</v>
      </c>
      <c r="AN150" t="str">
        <v>Aman</v>
      </c>
      <c r="AO150" t="str">
        <v>Customer_10</v>
      </c>
      <c r="AP150" t="str">
        <v>Electronics</v>
      </c>
      <c r="AQ150" t="str">
        <v>Keyboard</v>
      </c>
      <c r="AR150">
        <v>20</v>
      </c>
      <c r="AS150">
        <v>3378</v>
      </c>
      <c r="AT150">
        <v>15</v>
      </c>
      <c r="AU150">
        <v>57426</v>
      </c>
      <c r="AV150">
        <v>36236.410000000003</v>
      </c>
      <c r="AW150">
        <v>21189.59</v>
      </c>
      <c r="AX150" t="str">
        <v>Cash</v>
      </c>
      <c r="AY150">
        <v>6</v>
      </c>
      <c r="AZ150">
        <v>4.8</v>
      </c>
      <c r="BA150">
        <v>148</v>
      </c>
      <c r="BB150" t="str">
        <v>Keyboard</v>
      </c>
      <c r="BC150" s="6">
        <f t="shared" si="32"/>
        <v>3</v>
      </c>
      <c r="BD150" t="str">
        <f t="shared" si="33"/>
        <v/>
      </c>
      <c r="BE150" s="8">
        <f t="shared" si="34"/>
        <v>0.35338300570088227</v>
      </c>
      <c r="BF150" t="str">
        <v>Customer_43</v>
      </c>
      <c r="BG150" t="str">
        <f t="shared" si="35"/>
        <v>East-Monitor</v>
      </c>
      <c r="BH150">
        <f t="shared" si="36"/>
        <v>2024</v>
      </c>
      <c r="BI150" t="str">
        <f t="shared" si="37"/>
        <v>September</v>
      </c>
      <c r="BJ150">
        <f t="shared" ca="1" si="28"/>
        <v>460</v>
      </c>
      <c r="BK150" s="8">
        <f t="shared" si="38"/>
        <v>0.35338300570088227</v>
      </c>
      <c r="BL150">
        <f t="shared" si="39"/>
        <v>26687</v>
      </c>
      <c r="BM150">
        <f t="shared" si="40"/>
        <v>130</v>
      </c>
      <c r="BN150">
        <v>1149</v>
      </c>
      <c r="BO150">
        <v>45328</v>
      </c>
      <c r="BP150" t="str">
        <v>East</v>
      </c>
      <c r="BQ150" t="str">
        <v>Megha</v>
      </c>
      <c r="BR150" t="str">
        <v>Customer_41</v>
      </c>
      <c r="BS150" t="str">
        <v>Electronics</v>
      </c>
      <c r="BT150" t="str">
        <v>Printer</v>
      </c>
      <c r="BU150">
        <v>4</v>
      </c>
      <c r="BV150">
        <v>15637</v>
      </c>
      <c r="BW150">
        <v>5</v>
      </c>
      <c r="BX150">
        <v>59420.6</v>
      </c>
      <c r="BY150">
        <v>44812.76</v>
      </c>
      <c r="BZ150">
        <v>14607.84</v>
      </c>
      <c r="CA150" t="str">
        <v>Card</v>
      </c>
      <c r="CB150">
        <v>9</v>
      </c>
      <c r="CC150">
        <v>4.7</v>
      </c>
      <c r="CD150" t="b">
        <f>COUNTIF(Sales_Data!E:E,Sales_Data!E150)&gt;1</f>
        <v>1</v>
      </c>
      <c r="CE150">
        <f>SUM(Sales_Data!$K$2:'Sales_Data'!K150)</f>
        <v>36114810.700000003</v>
      </c>
      <c r="CF150">
        <f t="shared" si="41"/>
        <v>236903.67999999999</v>
      </c>
      <c r="CG150" t="str">
        <f>CHOOSE(MATCH(C150,{"North","West","South","East"},0),"Zone 1","Zone 2","Zone 3","Zone 4")</f>
        <v>Zone 4</v>
      </c>
      <c r="CH150" t="str" cm="1">
        <f t="array" ref="CH150">_xlfn.SWITCH(N150,"Card","Card Payment","UPI", "UPI Payment","Cash","Cash Payment","NetBanking", "NetBanking Payment", "Unknown")</f>
        <v>Card Payment</v>
      </c>
      <c r="CI150" t="str" cm="1">
        <f t="array" ref="CI150">_xlfn.IFS(Sales_Data!J150&lt;=5,"Low",Sales_Data!J150&lt;=10,"Medium",Sales_Data!J150&gt;10,"High")</f>
        <v>High</v>
      </c>
    </row>
    <row r="151" spans="1:87" x14ac:dyDescent="0.3">
      <c r="A151">
        <v>1151</v>
      </c>
      <c r="B151" s="1">
        <v>45373</v>
      </c>
      <c r="C151" t="s">
        <v>33</v>
      </c>
      <c r="D151" t="s">
        <v>23</v>
      </c>
      <c r="E151" t="s">
        <v>80</v>
      </c>
      <c r="F151" t="s">
        <v>19</v>
      </c>
      <c r="G151" t="s">
        <v>36</v>
      </c>
      <c r="H151">
        <v>15</v>
      </c>
      <c r="I151">
        <v>34259</v>
      </c>
      <c r="J151">
        <v>10</v>
      </c>
      <c r="K151">
        <v>462496.5</v>
      </c>
      <c r="L151">
        <v>287530.43</v>
      </c>
      <c r="M151">
        <v>174966.07</v>
      </c>
      <c r="N151" t="s">
        <v>48</v>
      </c>
      <c r="O151">
        <v>4</v>
      </c>
      <c r="P151">
        <v>2.8</v>
      </c>
      <c r="Q151">
        <f t="shared" si="29"/>
        <v>16</v>
      </c>
      <c r="R151" t="str">
        <f t="shared" si="30"/>
        <v>Laptop</v>
      </c>
      <c r="S151" t="e">
        <f t="shared" si="31"/>
        <v>#N/A</v>
      </c>
      <c r="AK151">
        <v>1197</v>
      </c>
      <c r="AL151">
        <v>45313</v>
      </c>
      <c r="AM151" t="str">
        <v>North</v>
      </c>
      <c r="AN151" t="str">
        <v>Priya</v>
      </c>
      <c r="AO151" t="str">
        <v>Customer_13</v>
      </c>
      <c r="AP151" t="str">
        <v>Furniture</v>
      </c>
      <c r="AQ151" t="str">
        <v>Phone</v>
      </c>
      <c r="AR151">
        <v>2</v>
      </c>
      <c r="AS151">
        <v>46992</v>
      </c>
      <c r="AT151">
        <v>5</v>
      </c>
      <c r="AU151">
        <v>89284.800000000003</v>
      </c>
      <c r="AV151">
        <v>70670.600000000006</v>
      </c>
      <c r="AW151">
        <v>18614.2</v>
      </c>
      <c r="AX151" t="str">
        <v>UPI</v>
      </c>
      <c r="AY151">
        <v>8</v>
      </c>
      <c r="AZ151">
        <v>4.5999999999999996</v>
      </c>
      <c r="BA151">
        <v>149</v>
      </c>
      <c r="BB151" t="str">
        <v>Phone</v>
      </c>
      <c r="BC151" s="6">
        <f t="shared" si="32"/>
        <v>1</v>
      </c>
      <c r="BD151" t="str">
        <f t="shared" si="33"/>
        <v>Bonus!</v>
      </c>
      <c r="BE151" s="8">
        <f t="shared" si="34"/>
        <v>0.37830787908665259</v>
      </c>
      <c r="BF151" t="str">
        <v>Customer_43</v>
      </c>
      <c r="BG151" t="str">
        <f t="shared" si="35"/>
        <v>East-Laptop</v>
      </c>
      <c r="BH151">
        <f t="shared" si="36"/>
        <v>2024</v>
      </c>
      <c r="BI151" t="str">
        <f t="shared" si="37"/>
        <v>March</v>
      </c>
      <c r="BJ151">
        <f t="shared" ca="1" si="28"/>
        <v>594</v>
      </c>
      <c r="BK151" s="8">
        <f t="shared" si="38"/>
        <v>0.37830787908665259</v>
      </c>
      <c r="BL151">
        <f t="shared" si="39"/>
        <v>30283</v>
      </c>
      <c r="BM151">
        <f t="shared" si="40"/>
        <v>74</v>
      </c>
      <c r="BN151">
        <v>1150</v>
      </c>
      <c r="BO151">
        <v>45561</v>
      </c>
      <c r="BP151" t="str">
        <v>East</v>
      </c>
      <c r="BQ151" t="str">
        <v>Aman</v>
      </c>
      <c r="BR151" t="str">
        <v>Customer_32</v>
      </c>
      <c r="BS151" t="str">
        <v>Electronics</v>
      </c>
      <c r="BT151" t="str">
        <v>Monitor</v>
      </c>
      <c r="BU151">
        <v>13</v>
      </c>
      <c r="BV151">
        <v>19808</v>
      </c>
      <c r="BW151">
        <v>20</v>
      </c>
      <c r="BX151">
        <v>206003.20000000001</v>
      </c>
      <c r="BY151">
        <v>133205.17000000001</v>
      </c>
      <c r="BZ151">
        <v>72798.03</v>
      </c>
      <c r="CA151" t="str">
        <v>Card</v>
      </c>
      <c r="CB151">
        <v>7</v>
      </c>
      <c r="CC151">
        <v>4.3</v>
      </c>
      <c r="CD151" t="b">
        <f>COUNTIF(Sales_Data!E:E,Sales_Data!E151)&gt;1</f>
        <v>1</v>
      </c>
      <c r="CE151">
        <f>SUM(Sales_Data!$K$2:'Sales_Data'!K151)</f>
        <v>36577307.200000003</v>
      </c>
      <c r="CF151">
        <f t="shared" si="41"/>
        <v>531870.97499999998</v>
      </c>
      <c r="CG151" t="str">
        <f>CHOOSE(MATCH(C151,{"North","West","South","East"},0),"Zone 1","Zone 2","Zone 3","Zone 4")</f>
        <v>Zone 4</v>
      </c>
      <c r="CH151" t="str" cm="1">
        <f t="array" ref="CH151">_xlfn.SWITCH(N151,"Card","Card Payment","UPI", "UPI Payment","Cash","Cash Payment","NetBanking", "NetBanking Payment", "Unknown")</f>
        <v>NetBanking Payment</v>
      </c>
      <c r="CI151" t="str" cm="1">
        <f t="array" ref="CI151">_xlfn.IFS(Sales_Data!J151&lt;=5,"Low",Sales_Data!J151&lt;=10,"Medium",Sales_Data!J151&gt;10,"High")</f>
        <v>Medium</v>
      </c>
    </row>
    <row r="152" spans="1:87" x14ac:dyDescent="0.3">
      <c r="A152">
        <v>1152</v>
      </c>
      <c r="B152" s="1">
        <v>45418</v>
      </c>
      <c r="C152" t="s">
        <v>22</v>
      </c>
      <c r="D152" t="s">
        <v>31</v>
      </c>
      <c r="E152" t="s">
        <v>82</v>
      </c>
      <c r="F152" t="s">
        <v>25</v>
      </c>
      <c r="G152" t="s">
        <v>30</v>
      </c>
      <c r="H152">
        <v>8</v>
      </c>
      <c r="I152">
        <v>25378</v>
      </c>
      <c r="J152">
        <v>15</v>
      </c>
      <c r="K152">
        <v>172570.4</v>
      </c>
      <c r="L152">
        <v>126705.4</v>
      </c>
      <c r="M152">
        <v>45865</v>
      </c>
      <c r="N152" t="s">
        <v>27</v>
      </c>
      <c r="O152">
        <v>6</v>
      </c>
      <c r="P152">
        <v>4.5999999999999996</v>
      </c>
      <c r="Q152">
        <f t="shared" si="29"/>
        <v>113</v>
      </c>
      <c r="R152" t="str">
        <f t="shared" si="30"/>
        <v>Desk</v>
      </c>
      <c r="S152" t="e">
        <f t="shared" si="31"/>
        <v>#N/A</v>
      </c>
      <c r="AK152">
        <v>1132</v>
      </c>
      <c r="AL152">
        <v>45504</v>
      </c>
      <c r="AM152" t="str">
        <v>South</v>
      </c>
      <c r="AN152" t="str">
        <v>Neha</v>
      </c>
      <c r="AO152" t="str">
        <v>Customer_46</v>
      </c>
      <c r="AP152" t="str">
        <v>Electronics</v>
      </c>
      <c r="AQ152" t="str">
        <v>Desk</v>
      </c>
      <c r="AR152">
        <v>9</v>
      </c>
      <c r="AS152">
        <v>6477</v>
      </c>
      <c r="AT152">
        <v>0</v>
      </c>
      <c r="AU152">
        <v>58293</v>
      </c>
      <c r="AV152">
        <v>39748.080000000002</v>
      </c>
      <c r="AW152">
        <v>18544.919999999998</v>
      </c>
      <c r="AX152" t="str">
        <v>Cash</v>
      </c>
      <c r="AY152">
        <v>10</v>
      </c>
      <c r="AZ152">
        <v>3.2</v>
      </c>
      <c r="BA152">
        <v>150</v>
      </c>
      <c r="BB152" t="str">
        <v>Desk</v>
      </c>
      <c r="BC152" s="6">
        <f t="shared" si="32"/>
        <v>2</v>
      </c>
      <c r="BD152" t="str">
        <f t="shared" si="33"/>
        <v/>
      </c>
      <c r="BE152" s="8">
        <f t="shared" si="34"/>
        <v>0.26577559071544138</v>
      </c>
      <c r="BF152" t="str">
        <v>Customer_43</v>
      </c>
      <c r="BG152" t="str">
        <f t="shared" si="35"/>
        <v>South-Desk</v>
      </c>
      <c r="BH152">
        <f t="shared" si="36"/>
        <v>2024</v>
      </c>
      <c r="BI152" t="str">
        <f t="shared" si="37"/>
        <v>May</v>
      </c>
      <c r="BJ152">
        <f t="shared" ca="1" si="28"/>
        <v>563</v>
      </c>
      <c r="BK152" s="8">
        <f t="shared" si="38"/>
        <v>0.26577559071544138</v>
      </c>
      <c r="BL152">
        <f t="shared" si="39"/>
        <v>13233</v>
      </c>
      <c r="BM152">
        <f t="shared" si="40"/>
        <v>79</v>
      </c>
      <c r="BN152">
        <v>1151</v>
      </c>
      <c r="BO152">
        <v>45373</v>
      </c>
      <c r="BP152" t="str">
        <v>East</v>
      </c>
      <c r="BQ152" t="str">
        <v>Karan</v>
      </c>
      <c r="BR152" t="str">
        <v>Customer_41</v>
      </c>
      <c r="BS152" t="str">
        <v>Electronics</v>
      </c>
      <c r="BT152" t="str">
        <v>Laptop</v>
      </c>
      <c r="BU152">
        <v>15</v>
      </c>
      <c r="BV152">
        <v>34259</v>
      </c>
      <c r="BW152">
        <v>10</v>
      </c>
      <c r="BX152">
        <v>462496.5</v>
      </c>
      <c r="BY152">
        <v>287530.43</v>
      </c>
      <c r="BZ152">
        <v>174966.07</v>
      </c>
      <c r="CA152" t="str">
        <v>NetBanking</v>
      </c>
      <c r="CB152">
        <v>4</v>
      </c>
      <c r="CC152">
        <v>2.8</v>
      </c>
      <c r="CD152" t="b">
        <f>COUNTIF(Sales_Data!E:E,Sales_Data!E152)&gt;1</f>
        <v>1</v>
      </c>
      <c r="CE152">
        <f>SUM(Sales_Data!$K$2:'Sales_Data'!K152)</f>
        <v>36749877.600000001</v>
      </c>
      <c r="CF152">
        <f t="shared" si="41"/>
        <v>198455.96</v>
      </c>
      <c r="CG152" t="str">
        <f>CHOOSE(MATCH(C152,{"North","West","South","East"},0),"Zone 1","Zone 2","Zone 3","Zone 4")</f>
        <v>Zone 3</v>
      </c>
      <c r="CH152" t="str" cm="1">
        <f t="array" ref="CH152">_xlfn.SWITCH(N152,"Card","Card Payment","UPI", "UPI Payment","Cash","Cash Payment","NetBanking", "NetBanking Payment", "Unknown")</f>
        <v>UPI Payment</v>
      </c>
      <c r="CI152" t="str" cm="1">
        <f t="array" ref="CI152">_xlfn.IFS(Sales_Data!J152&lt;=5,"Low",Sales_Data!J152&lt;=10,"Medium",Sales_Data!J152&gt;10,"High")</f>
        <v>High</v>
      </c>
    </row>
    <row r="153" spans="1:87" x14ac:dyDescent="0.3">
      <c r="A153">
        <v>1153</v>
      </c>
      <c r="B153" s="1">
        <v>45747</v>
      </c>
      <c r="C153" t="s">
        <v>33</v>
      </c>
      <c r="D153" t="s">
        <v>42</v>
      </c>
      <c r="E153" t="s">
        <v>87</v>
      </c>
      <c r="F153" t="s">
        <v>25</v>
      </c>
      <c r="G153" t="s">
        <v>47</v>
      </c>
      <c r="H153">
        <v>19</v>
      </c>
      <c r="I153">
        <v>15439</v>
      </c>
      <c r="J153">
        <v>15</v>
      </c>
      <c r="K153">
        <v>249339.85</v>
      </c>
      <c r="L153">
        <v>178284.92</v>
      </c>
      <c r="M153">
        <v>71054.929999999993</v>
      </c>
      <c r="N153" t="s">
        <v>37</v>
      </c>
      <c r="O153">
        <v>6</v>
      </c>
      <c r="P153">
        <v>4.9000000000000004</v>
      </c>
      <c r="Q153">
        <f t="shared" si="29"/>
        <v>82</v>
      </c>
      <c r="R153" t="str">
        <f t="shared" si="30"/>
        <v>Monitor</v>
      </c>
      <c r="S153" t="e">
        <f t="shared" si="31"/>
        <v>#N/A</v>
      </c>
      <c r="AK153">
        <v>1028</v>
      </c>
      <c r="AL153">
        <v>45534</v>
      </c>
      <c r="AM153" t="str">
        <v>West</v>
      </c>
      <c r="AN153" t="str">
        <v>Rohan</v>
      </c>
      <c r="AO153" t="str">
        <v>Customer_26</v>
      </c>
      <c r="AP153" t="str">
        <v>Electronics</v>
      </c>
      <c r="AQ153" t="str">
        <v>Laptop</v>
      </c>
      <c r="AR153">
        <v>4</v>
      </c>
      <c r="AS153">
        <v>19338</v>
      </c>
      <c r="AT153">
        <v>0</v>
      </c>
      <c r="AU153">
        <v>77352</v>
      </c>
      <c r="AV153">
        <v>58993.68</v>
      </c>
      <c r="AW153">
        <v>18358.32</v>
      </c>
      <c r="AX153" t="str">
        <v>NetBanking</v>
      </c>
      <c r="AY153">
        <v>9</v>
      </c>
      <c r="AZ153">
        <v>4.9000000000000004</v>
      </c>
      <c r="BA153">
        <v>151</v>
      </c>
      <c r="BB153" t="str">
        <v>Laptop</v>
      </c>
      <c r="BC153" s="6">
        <f t="shared" si="32"/>
        <v>1</v>
      </c>
      <c r="BD153" t="str">
        <f t="shared" si="33"/>
        <v/>
      </c>
      <c r="BE153" s="8">
        <f t="shared" si="34"/>
        <v>0.2849722176378946</v>
      </c>
      <c r="BF153" t="str">
        <v>Customer_43</v>
      </c>
      <c r="BG153" t="str">
        <f t="shared" si="35"/>
        <v>East-Monitor</v>
      </c>
      <c r="BH153">
        <f t="shared" si="36"/>
        <v>2025</v>
      </c>
      <c r="BI153" t="str">
        <f t="shared" si="37"/>
        <v>March</v>
      </c>
      <c r="BJ153">
        <f t="shared" ca="1" si="28"/>
        <v>328</v>
      </c>
      <c r="BK153" s="8">
        <f t="shared" si="38"/>
        <v>0.2849722176378946</v>
      </c>
      <c r="BL153">
        <f t="shared" si="39"/>
        <v>26687</v>
      </c>
      <c r="BM153">
        <f t="shared" si="40"/>
        <v>102</v>
      </c>
      <c r="BN153">
        <v>1152</v>
      </c>
      <c r="BO153">
        <v>45418</v>
      </c>
      <c r="BP153" t="str">
        <v>South</v>
      </c>
      <c r="BQ153" t="str">
        <v>Neha</v>
      </c>
      <c r="BR153" t="str">
        <v>Customer_7</v>
      </c>
      <c r="BS153" t="str">
        <v>Office Supplies</v>
      </c>
      <c r="BT153" t="str">
        <v>Desk</v>
      </c>
      <c r="BU153">
        <v>8</v>
      </c>
      <c r="BV153">
        <v>25378</v>
      </c>
      <c r="BW153">
        <v>15</v>
      </c>
      <c r="BX153">
        <v>172570.4</v>
      </c>
      <c r="BY153">
        <v>126705.4</v>
      </c>
      <c r="BZ153">
        <v>45865</v>
      </c>
      <c r="CA153" t="str">
        <v>UPI</v>
      </c>
      <c r="CB153">
        <v>6</v>
      </c>
      <c r="CC153">
        <v>4.5999999999999996</v>
      </c>
      <c r="CD153" t="b">
        <f>COUNTIF(Sales_Data!E:E,Sales_Data!E153)&gt;1</f>
        <v>1</v>
      </c>
      <c r="CE153">
        <f>SUM(Sales_Data!$K$2:'Sales_Data'!K153)</f>
        <v>36999217.450000003</v>
      </c>
      <c r="CF153">
        <f t="shared" si="41"/>
        <v>286740.82749999996</v>
      </c>
      <c r="CG153" t="str">
        <f>CHOOSE(MATCH(C153,{"North","West","South","East"},0),"Zone 1","Zone 2","Zone 3","Zone 4")</f>
        <v>Zone 4</v>
      </c>
      <c r="CH153" t="str" cm="1">
        <f t="array" ref="CH153">_xlfn.SWITCH(N153,"Card","Card Payment","UPI", "UPI Payment","Cash","Cash Payment","NetBanking", "NetBanking Payment", "Unknown")</f>
        <v>Cash Payment</v>
      </c>
      <c r="CI153" t="str" cm="1">
        <f t="array" ref="CI153">_xlfn.IFS(Sales_Data!J153&lt;=5,"Low",Sales_Data!J153&lt;=10,"Medium",Sales_Data!J153&gt;10,"High")</f>
        <v>High</v>
      </c>
    </row>
    <row r="154" spans="1:87" x14ac:dyDescent="0.3">
      <c r="A154">
        <v>1154</v>
      </c>
      <c r="B154" s="1">
        <v>45497</v>
      </c>
      <c r="C154" t="s">
        <v>16</v>
      </c>
      <c r="D154" t="s">
        <v>51</v>
      </c>
      <c r="E154" t="s">
        <v>75</v>
      </c>
      <c r="F154" t="s">
        <v>25</v>
      </c>
      <c r="G154" t="s">
        <v>44</v>
      </c>
      <c r="H154">
        <v>6</v>
      </c>
      <c r="I154">
        <v>29536</v>
      </c>
      <c r="J154">
        <v>20</v>
      </c>
      <c r="K154">
        <v>141772.79999999999</v>
      </c>
      <c r="L154">
        <v>100220.92</v>
      </c>
      <c r="M154">
        <v>41551.879999999997</v>
      </c>
      <c r="N154" t="s">
        <v>27</v>
      </c>
      <c r="O154">
        <v>10</v>
      </c>
      <c r="P154">
        <v>3</v>
      </c>
      <c r="Q154">
        <f t="shared" si="29"/>
        <v>118</v>
      </c>
      <c r="R154" t="str">
        <f t="shared" si="30"/>
        <v>Printer</v>
      </c>
      <c r="S154" t="e">
        <f t="shared" si="31"/>
        <v>#N/A</v>
      </c>
      <c r="AK154">
        <v>1014</v>
      </c>
      <c r="AL154">
        <v>45596</v>
      </c>
      <c r="AM154" t="str">
        <v>North</v>
      </c>
      <c r="AN154" t="str">
        <v>Aman</v>
      </c>
      <c r="AO154" t="str">
        <v>Customer_28</v>
      </c>
      <c r="AP154" t="str">
        <v>Electronics</v>
      </c>
      <c r="AQ154" t="str">
        <v>Chair</v>
      </c>
      <c r="AR154">
        <v>14</v>
      </c>
      <c r="AS154">
        <v>4749</v>
      </c>
      <c r="AT154">
        <v>0</v>
      </c>
      <c r="AU154">
        <v>66486</v>
      </c>
      <c r="AV154">
        <v>48246.49</v>
      </c>
      <c r="AW154">
        <v>18239.509999999998</v>
      </c>
      <c r="AX154" t="str">
        <v>NetBanking</v>
      </c>
      <c r="AY154">
        <v>9</v>
      </c>
      <c r="AZ154">
        <v>3.9</v>
      </c>
      <c r="BA154">
        <v>152</v>
      </c>
      <c r="BB154" t="str">
        <v>Chair</v>
      </c>
      <c r="BC154" s="6">
        <f t="shared" si="32"/>
        <v>2</v>
      </c>
      <c r="BD154" t="str">
        <f t="shared" si="33"/>
        <v/>
      </c>
      <c r="BE154" s="8">
        <f t="shared" si="34"/>
        <v>0.2930878137414229</v>
      </c>
      <c r="BF154" t="str">
        <v>Customer_43</v>
      </c>
      <c r="BG154" t="str">
        <f t="shared" si="35"/>
        <v>West-Printer</v>
      </c>
      <c r="BH154">
        <f t="shared" si="36"/>
        <v>2024</v>
      </c>
      <c r="BI154" t="str">
        <f t="shared" si="37"/>
        <v>July</v>
      </c>
      <c r="BJ154">
        <f t="shared" ca="1" si="28"/>
        <v>506</v>
      </c>
      <c r="BK154" s="8">
        <f t="shared" si="38"/>
        <v>0.2930878137414229</v>
      </c>
      <c r="BL154">
        <f t="shared" si="39"/>
        <v>1561</v>
      </c>
      <c r="BM154">
        <f t="shared" si="40"/>
        <v>52</v>
      </c>
      <c r="BN154">
        <v>1153</v>
      </c>
      <c r="BO154">
        <v>45747</v>
      </c>
      <c r="BP154" t="str">
        <v>East</v>
      </c>
      <c r="BQ154" t="str">
        <v>Priya</v>
      </c>
      <c r="BR154" t="str">
        <v>Customer_39</v>
      </c>
      <c r="BS154" t="str">
        <v>Office Supplies</v>
      </c>
      <c r="BT154" t="str">
        <v>Monitor</v>
      </c>
      <c r="BU154">
        <v>19</v>
      </c>
      <c r="BV154">
        <v>15439</v>
      </c>
      <c r="BW154">
        <v>15</v>
      </c>
      <c r="BX154">
        <v>249339.85</v>
      </c>
      <c r="BY154">
        <v>178284.92</v>
      </c>
      <c r="BZ154">
        <v>71054.929999999993</v>
      </c>
      <c r="CA154" t="str">
        <v>Cash</v>
      </c>
      <c r="CB154">
        <v>6</v>
      </c>
      <c r="CC154">
        <v>4.9000000000000004</v>
      </c>
      <c r="CD154" t="b">
        <f>COUNTIF(Sales_Data!E:E,Sales_Data!E154)&gt;1</f>
        <v>1</v>
      </c>
      <c r="CE154">
        <f>SUM(Sales_Data!$K$2:'Sales_Data'!K154)</f>
        <v>37140990.25</v>
      </c>
      <c r="CF154">
        <f t="shared" si="41"/>
        <v>163038.71999999997</v>
      </c>
      <c r="CG154" t="str">
        <f>CHOOSE(MATCH(C154,{"North","West","South","East"},0),"Zone 1","Zone 2","Zone 3","Zone 4")</f>
        <v>Zone 2</v>
      </c>
      <c r="CH154" t="str" cm="1">
        <f t="array" ref="CH154">_xlfn.SWITCH(N154,"Card","Card Payment","UPI", "UPI Payment","Cash","Cash Payment","NetBanking", "NetBanking Payment", "Unknown")</f>
        <v>UPI Payment</v>
      </c>
      <c r="CI154" t="str" cm="1">
        <f t="array" ref="CI154">_xlfn.IFS(Sales_Data!J154&lt;=5,"Low",Sales_Data!J154&lt;=10,"Medium",Sales_Data!J154&gt;10,"High")</f>
        <v>High</v>
      </c>
    </row>
    <row r="155" spans="1:87" x14ac:dyDescent="0.3">
      <c r="A155">
        <v>1155</v>
      </c>
      <c r="B155" s="1">
        <v>45787</v>
      </c>
      <c r="C155" t="s">
        <v>22</v>
      </c>
      <c r="D155" t="s">
        <v>39</v>
      </c>
      <c r="E155" t="s">
        <v>91</v>
      </c>
      <c r="F155" t="s">
        <v>25</v>
      </c>
      <c r="G155" t="s">
        <v>41</v>
      </c>
      <c r="H155">
        <v>1</v>
      </c>
      <c r="I155">
        <v>30896</v>
      </c>
      <c r="J155">
        <v>20</v>
      </c>
      <c r="K155">
        <v>24716.799999999999</v>
      </c>
      <c r="L155">
        <v>20061.04</v>
      </c>
      <c r="M155">
        <v>4655.76</v>
      </c>
      <c r="N155" t="s">
        <v>37</v>
      </c>
      <c r="O155">
        <v>2</v>
      </c>
      <c r="P155">
        <v>3.2</v>
      </c>
      <c r="Q155">
        <f t="shared" si="29"/>
        <v>189</v>
      </c>
      <c r="R155" t="str">
        <f t="shared" si="30"/>
        <v>Chair</v>
      </c>
      <c r="S155" t="e">
        <f t="shared" si="31"/>
        <v>#N/A</v>
      </c>
      <c r="AK155">
        <v>1008</v>
      </c>
      <c r="AL155">
        <v>45643</v>
      </c>
      <c r="AM155" t="str">
        <v>South</v>
      </c>
      <c r="AN155" t="str">
        <v>Sneha</v>
      </c>
      <c r="AO155" t="str">
        <v>Customer_30</v>
      </c>
      <c r="AP155" t="str">
        <v>Furniture</v>
      </c>
      <c r="AQ155" t="str">
        <v>Chair</v>
      </c>
      <c r="AR155">
        <v>16</v>
      </c>
      <c r="AS155">
        <v>4972</v>
      </c>
      <c r="AT155">
        <v>15</v>
      </c>
      <c r="AU155">
        <v>67619.199999999997</v>
      </c>
      <c r="AV155">
        <v>50347.29</v>
      </c>
      <c r="AW155">
        <v>17271.91</v>
      </c>
      <c r="AX155" t="str">
        <v>Cash</v>
      </c>
      <c r="AY155">
        <v>10</v>
      </c>
      <c r="AZ155">
        <v>2.5</v>
      </c>
      <c r="BA155">
        <v>153</v>
      </c>
      <c r="BB155" t="str">
        <v>Chair</v>
      </c>
      <c r="BC155" s="6">
        <f t="shared" si="32"/>
        <v>2</v>
      </c>
      <c r="BD155" t="str">
        <f t="shared" si="33"/>
        <v/>
      </c>
      <c r="BE155" s="8">
        <f t="shared" si="34"/>
        <v>0.18836418953909892</v>
      </c>
      <c r="BF155" t="str">
        <v>Customer_44</v>
      </c>
      <c r="BG155" t="str">
        <f t="shared" si="35"/>
        <v>South-Chair</v>
      </c>
      <c r="BH155">
        <f t="shared" si="36"/>
        <v>2025</v>
      </c>
      <c r="BI155" t="str">
        <f t="shared" si="37"/>
        <v>May</v>
      </c>
      <c r="BJ155">
        <f t="shared" ca="1" si="28"/>
        <v>298</v>
      </c>
      <c r="BK155" s="8">
        <f t="shared" si="38"/>
        <v>0.18836418953909892</v>
      </c>
      <c r="BL155">
        <f t="shared" si="39"/>
        <v>4972</v>
      </c>
      <c r="BM155">
        <f t="shared" si="40"/>
        <v>130</v>
      </c>
      <c r="BN155">
        <v>1154</v>
      </c>
      <c r="BO155">
        <v>45497</v>
      </c>
      <c r="BP155" t="str">
        <v>West</v>
      </c>
      <c r="BQ155" t="str">
        <v>Aman</v>
      </c>
      <c r="BR155" t="str">
        <v>Customer_8</v>
      </c>
      <c r="BS155" t="str">
        <v>Office Supplies</v>
      </c>
      <c r="BT155" t="str">
        <v>Printer</v>
      </c>
      <c r="BU155">
        <v>6</v>
      </c>
      <c r="BV155">
        <v>29536</v>
      </c>
      <c r="BW155">
        <v>20</v>
      </c>
      <c r="BX155">
        <v>141772.79999999999</v>
      </c>
      <c r="BY155">
        <v>100220.92</v>
      </c>
      <c r="BZ155">
        <v>41551.879999999997</v>
      </c>
      <c r="CA155" t="str">
        <v>UPI</v>
      </c>
      <c r="CB155">
        <v>10</v>
      </c>
      <c r="CC155">
        <v>3</v>
      </c>
      <c r="CD155" t="b">
        <f>COUNTIF(Sales_Data!E:E,Sales_Data!E155)&gt;1</f>
        <v>1</v>
      </c>
      <c r="CE155">
        <f>SUM(Sales_Data!$K$2:'Sales_Data'!K155)</f>
        <v>37165707.049999997</v>
      </c>
      <c r="CF155">
        <f t="shared" si="41"/>
        <v>28424.319999999996</v>
      </c>
      <c r="CG155" t="str">
        <f>CHOOSE(MATCH(C155,{"North","West","South","East"},0),"Zone 1","Zone 2","Zone 3","Zone 4")</f>
        <v>Zone 3</v>
      </c>
      <c r="CH155" t="str" cm="1">
        <f t="array" ref="CH155">_xlfn.SWITCH(N155,"Card","Card Payment","UPI", "UPI Payment","Cash","Cash Payment","NetBanking", "NetBanking Payment", "Unknown")</f>
        <v>Cash Payment</v>
      </c>
      <c r="CI155" t="str" cm="1">
        <f t="array" ref="CI155">_xlfn.IFS(Sales_Data!J155&lt;=5,"Low",Sales_Data!J155&lt;=10,"Medium",Sales_Data!J155&gt;10,"High")</f>
        <v>High</v>
      </c>
    </row>
    <row r="156" spans="1:87" x14ac:dyDescent="0.3">
      <c r="A156">
        <v>1156</v>
      </c>
      <c r="B156" s="1">
        <v>45500</v>
      </c>
      <c r="C156" t="s">
        <v>16</v>
      </c>
      <c r="D156" t="s">
        <v>23</v>
      </c>
      <c r="E156" t="s">
        <v>84</v>
      </c>
      <c r="F156" t="s">
        <v>35</v>
      </c>
      <c r="G156" t="s">
        <v>44</v>
      </c>
      <c r="H156">
        <v>2</v>
      </c>
      <c r="I156">
        <v>27935</v>
      </c>
      <c r="J156">
        <v>20</v>
      </c>
      <c r="K156">
        <v>44696</v>
      </c>
      <c r="L156">
        <v>31376.79</v>
      </c>
      <c r="M156">
        <v>13319.21</v>
      </c>
      <c r="N156" t="s">
        <v>37</v>
      </c>
      <c r="O156">
        <v>8</v>
      </c>
      <c r="P156">
        <v>5</v>
      </c>
      <c r="Q156">
        <f t="shared" si="29"/>
        <v>165</v>
      </c>
      <c r="R156" t="str">
        <f t="shared" si="30"/>
        <v>Printer</v>
      </c>
      <c r="S156" t="e">
        <f t="shared" si="31"/>
        <v>#N/A</v>
      </c>
      <c r="AK156">
        <v>1058</v>
      </c>
      <c r="AL156">
        <v>45346</v>
      </c>
      <c r="AM156" t="str">
        <v>South</v>
      </c>
      <c r="AN156" t="str">
        <v>Megha</v>
      </c>
      <c r="AO156" t="str">
        <v>Customer_20</v>
      </c>
      <c r="AP156" t="str">
        <v>Office Supplies</v>
      </c>
      <c r="AQ156" t="str">
        <v>Monitor</v>
      </c>
      <c r="AR156">
        <v>12</v>
      </c>
      <c r="AS156">
        <v>6347</v>
      </c>
      <c r="AT156">
        <v>5</v>
      </c>
      <c r="AU156">
        <v>72355.8</v>
      </c>
      <c r="AV156">
        <v>55819.1</v>
      </c>
      <c r="AW156">
        <v>16536.7</v>
      </c>
      <c r="AX156" t="str">
        <v>Cash</v>
      </c>
      <c r="AY156">
        <v>9</v>
      </c>
      <c r="AZ156">
        <v>2.6</v>
      </c>
      <c r="BA156">
        <v>154</v>
      </c>
      <c r="BB156" t="str">
        <v>Monitor</v>
      </c>
      <c r="BC156" s="6">
        <f t="shared" si="32"/>
        <v>2</v>
      </c>
      <c r="BD156" t="str">
        <f t="shared" si="33"/>
        <v/>
      </c>
      <c r="BE156" s="8">
        <f t="shared" si="34"/>
        <v>0.29799557007338462</v>
      </c>
      <c r="BF156" t="str">
        <v>Customer_44</v>
      </c>
      <c r="BG156" t="str">
        <f t="shared" si="35"/>
        <v>West-Printer</v>
      </c>
      <c r="BH156">
        <f t="shared" si="36"/>
        <v>2024</v>
      </c>
      <c r="BI156" t="str">
        <f t="shared" si="37"/>
        <v>July</v>
      </c>
      <c r="BJ156">
        <f t="shared" ca="1" si="28"/>
        <v>503</v>
      </c>
      <c r="BK156" s="8">
        <f t="shared" si="38"/>
        <v>0.29799557007338462</v>
      </c>
      <c r="BL156">
        <f t="shared" si="39"/>
        <v>1561</v>
      </c>
      <c r="BM156">
        <f t="shared" si="40"/>
        <v>92</v>
      </c>
      <c r="BN156">
        <v>1155</v>
      </c>
      <c r="BO156">
        <v>45787</v>
      </c>
      <c r="BP156" t="str">
        <v>South</v>
      </c>
      <c r="BQ156" t="str">
        <v>Sneha</v>
      </c>
      <c r="BR156" t="str">
        <v>Customer_32</v>
      </c>
      <c r="BS156" t="str">
        <v>Office Supplies</v>
      </c>
      <c r="BT156" t="str">
        <v>Chair</v>
      </c>
      <c r="BU156">
        <v>1</v>
      </c>
      <c r="BV156">
        <v>30896</v>
      </c>
      <c r="BW156">
        <v>20</v>
      </c>
      <c r="BX156">
        <v>24716.799999999999</v>
      </c>
      <c r="BY156">
        <v>20061.04</v>
      </c>
      <c r="BZ156">
        <v>4655.76</v>
      </c>
      <c r="CA156" t="str">
        <v>Cash</v>
      </c>
      <c r="CB156">
        <v>2</v>
      </c>
      <c r="CC156">
        <v>3.2</v>
      </c>
      <c r="CD156" t="b">
        <f>COUNTIF(Sales_Data!E:E,Sales_Data!E156)&gt;1</f>
        <v>1</v>
      </c>
      <c r="CE156">
        <f>SUM(Sales_Data!$K$2:'Sales_Data'!K156)</f>
        <v>37210403.049999997</v>
      </c>
      <c r="CF156">
        <f t="shared" si="41"/>
        <v>51400.399999999994</v>
      </c>
      <c r="CG156" t="str">
        <f>CHOOSE(MATCH(C156,{"North","West","South","East"},0),"Zone 1","Zone 2","Zone 3","Zone 4")</f>
        <v>Zone 2</v>
      </c>
      <c r="CH156" t="str" cm="1">
        <f t="array" ref="CH156">_xlfn.SWITCH(N156,"Card","Card Payment","UPI", "UPI Payment","Cash","Cash Payment","NetBanking", "NetBanking Payment", "Unknown")</f>
        <v>Cash Payment</v>
      </c>
      <c r="CI156" t="str" cm="1">
        <f t="array" ref="CI156">_xlfn.IFS(Sales_Data!J156&lt;=5,"Low",Sales_Data!J156&lt;=10,"Medium",Sales_Data!J156&gt;10,"High")</f>
        <v>High</v>
      </c>
    </row>
    <row r="157" spans="1:87" x14ac:dyDescent="0.3">
      <c r="A157">
        <v>1157</v>
      </c>
      <c r="B157" s="1">
        <v>45336</v>
      </c>
      <c r="C157" t="s">
        <v>50</v>
      </c>
      <c r="D157" t="s">
        <v>31</v>
      </c>
      <c r="E157" t="s">
        <v>45</v>
      </c>
      <c r="F157" t="s">
        <v>35</v>
      </c>
      <c r="G157" t="s">
        <v>47</v>
      </c>
      <c r="H157">
        <v>20</v>
      </c>
      <c r="I157">
        <v>43635</v>
      </c>
      <c r="J157">
        <v>5</v>
      </c>
      <c r="K157">
        <v>829065</v>
      </c>
      <c r="L157">
        <v>563160.05000000005</v>
      </c>
      <c r="M157">
        <v>265904.95</v>
      </c>
      <c r="N157" t="s">
        <v>27</v>
      </c>
      <c r="O157">
        <v>1</v>
      </c>
      <c r="P157">
        <v>4.8</v>
      </c>
      <c r="Q157">
        <f t="shared" si="29"/>
        <v>4</v>
      </c>
      <c r="R157" t="str">
        <f t="shared" si="30"/>
        <v>Monitor</v>
      </c>
      <c r="S157" t="e">
        <f t="shared" si="31"/>
        <v>#N/A</v>
      </c>
      <c r="AK157">
        <v>1199</v>
      </c>
      <c r="AL157">
        <v>45569</v>
      </c>
      <c r="AM157" t="str">
        <v>East</v>
      </c>
      <c r="AN157" t="str">
        <v>Arjun</v>
      </c>
      <c r="AO157" t="str">
        <v>Customer_39</v>
      </c>
      <c r="AP157" t="str">
        <v>Electronics</v>
      </c>
      <c r="AQ157" t="str">
        <v>Keyboard</v>
      </c>
      <c r="AR157">
        <v>5</v>
      </c>
      <c r="AS157">
        <v>21731</v>
      </c>
      <c r="AT157">
        <v>10</v>
      </c>
      <c r="AU157">
        <v>97789.5</v>
      </c>
      <c r="AV157">
        <v>81610.27</v>
      </c>
      <c r="AW157">
        <v>16179.23</v>
      </c>
      <c r="AX157" t="str">
        <v>Card</v>
      </c>
      <c r="AY157">
        <v>10</v>
      </c>
      <c r="AZ157">
        <v>3.6</v>
      </c>
      <c r="BA157">
        <v>155</v>
      </c>
      <c r="BB157" t="str">
        <v>Keyboard</v>
      </c>
      <c r="BC157" s="6">
        <f t="shared" si="32"/>
        <v>1</v>
      </c>
      <c r="BD157" t="str">
        <f t="shared" si="33"/>
        <v>Bonus!</v>
      </c>
      <c r="BE157" s="8">
        <f t="shared" si="34"/>
        <v>0.32072871246524703</v>
      </c>
      <c r="BF157" t="str">
        <v>Customer_44</v>
      </c>
      <c r="BG157" t="str">
        <f t="shared" si="35"/>
        <v>North-Monitor</v>
      </c>
      <c r="BH157">
        <f t="shared" si="36"/>
        <v>2024</v>
      </c>
      <c r="BI157" t="str">
        <f t="shared" si="37"/>
        <v>February</v>
      </c>
      <c r="BJ157">
        <f t="shared" ca="1" si="28"/>
        <v>621</v>
      </c>
      <c r="BK157" s="8">
        <f t="shared" si="38"/>
        <v>0.32072871246524703</v>
      </c>
      <c r="BL157">
        <f t="shared" si="39"/>
        <v>26687</v>
      </c>
      <c r="BM157">
        <f t="shared" si="40"/>
        <v>10</v>
      </c>
      <c r="BN157">
        <v>1156</v>
      </c>
      <c r="BO157">
        <v>45500</v>
      </c>
      <c r="BP157" t="str">
        <v>West</v>
      </c>
      <c r="BQ157" t="str">
        <v>Karan</v>
      </c>
      <c r="BR157" t="str">
        <v>Customer_16</v>
      </c>
      <c r="BS157" t="str">
        <v>Furniture</v>
      </c>
      <c r="BT157" t="str">
        <v>Printer</v>
      </c>
      <c r="BU157">
        <v>2</v>
      </c>
      <c r="BV157">
        <v>27935</v>
      </c>
      <c r="BW157">
        <v>20</v>
      </c>
      <c r="BX157">
        <v>44696</v>
      </c>
      <c r="BY157">
        <v>31376.79</v>
      </c>
      <c r="BZ157">
        <v>13319.21</v>
      </c>
      <c r="CA157" t="str">
        <v>Cash</v>
      </c>
      <c r="CB157">
        <v>8</v>
      </c>
      <c r="CC157">
        <v>5</v>
      </c>
      <c r="CD157" t="b">
        <f>COUNTIF(Sales_Data!E:E,Sales_Data!E157)&gt;1</f>
        <v>1</v>
      </c>
      <c r="CE157">
        <f>SUM(Sales_Data!$K$2:'Sales_Data'!K157)</f>
        <v>38039468.049999997</v>
      </c>
      <c r="CF157">
        <f t="shared" si="41"/>
        <v>953424.74999999988</v>
      </c>
      <c r="CG157" t="str">
        <f>CHOOSE(MATCH(C157,{"North","West","South","East"},0),"Zone 1","Zone 2","Zone 3","Zone 4")</f>
        <v>Zone 1</v>
      </c>
      <c r="CH157" t="str" cm="1">
        <f t="array" ref="CH157">_xlfn.SWITCH(N157,"Card","Card Payment","UPI", "UPI Payment","Cash","Cash Payment","NetBanking", "NetBanking Payment", "Unknown")</f>
        <v>UPI Payment</v>
      </c>
      <c r="CI157" t="str" cm="1">
        <f t="array" ref="CI157">_xlfn.IFS(Sales_Data!J157&lt;=5,"Low",Sales_Data!J157&lt;=10,"Medium",Sales_Data!J157&gt;10,"High")</f>
        <v>Low</v>
      </c>
    </row>
    <row r="158" spans="1:87" x14ac:dyDescent="0.3">
      <c r="A158">
        <v>1158</v>
      </c>
      <c r="B158" s="1">
        <v>45628</v>
      </c>
      <c r="C158" t="s">
        <v>16</v>
      </c>
      <c r="D158" t="s">
        <v>31</v>
      </c>
      <c r="E158" t="s">
        <v>86</v>
      </c>
      <c r="F158" t="s">
        <v>25</v>
      </c>
      <c r="G158" t="s">
        <v>26</v>
      </c>
      <c r="H158">
        <v>16</v>
      </c>
      <c r="I158">
        <v>48750</v>
      </c>
      <c r="J158">
        <v>15</v>
      </c>
      <c r="K158">
        <v>663000</v>
      </c>
      <c r="L158">
        <v>433762.21</v>
      </c>
      <c r="M158">
        <v>229237.79</v>
      </c>
      <c r="N158" t="s">
        <v>27</v>
      </c>
      <c r="O158">
        <v>9</v>
      </c>
      <c r="P158">
        <v>2.9</v>
      </c>
      <c r="Q158">
        <f t="shared" si="29"/>
        <v>8</v>
      </c>
      <c r="R158" t="str">
        <f t="shared" si="30"/>
        <v>Keyboard</v>
      </c>
      <c r="S158" t="e">
        <f t="shared" si="31"/>
        <v>#N/A</v>
      </c>
      <c r="AK158">
        <v>1160</v>
      </c>
      <c r="AL158">
        <v>45510</v>
      </c>
      <c r="AM158" t="str">
        <v>East</v>
      </c>
      <c r="AN158" t="str">
        <v>Megha</v>
      </c>
      <c r="AO158" t="str">
        <v>Customer_30</v>
      </c>
      <c r="AP158" t="str">
        <v>Office Supplies</v>
      </c>
      <c r="AQ158" t="str">
        <v>Phone</v>
      </c>
      <c r="AR158">
        <v>3</v>
      </c>
      <c r="AS158">
        <v>25145</v>
      </c>
      <c r="AT158">
        <v>5</v>
      </c>
      <c r="AU158">
        <v>71663.25</v>
      </c>
      <c r="AV158">
        <v>56254.97</v>
      </c>
      <c r="AW158">
        <v>15408.28</v>
      </c>
      <c r="AX158" t="str">
        <v>Card</v>
      </c>
      <c r="AY158">
        <v>3</v>
      </c>
      <c r="AZ158">
        <v>3.1</v>
      </c>
      <c r="BA158">
        <v>156</v>
      </c>
      <c r="BB158" t="str">
        <v>Phone</v>
      </c>
      <c r="BC158" s="6">
        <f t="shared" si="32"/>
        <v>4</v>
      </c>
      <c r="BD158" t="str">
        <f t="shared" si="33"/>
        <v>Bonus!</v>
      </c>
      <c r="BE158" s="8">
        <f t="shared" si="34"/>
        <v>0.34575835595776772</v>
      </c>
      <c r="BF158" t="str">
        <v>Customer_44</v>
      </c>
      <c r="BG158" t="str">
        <f t="shared" si="35"/>
        <v>West-Keyboard</v>
      </c>
      <c r="BH158">
        <f t="shared" si="36"/>
        <v>2024</v>
      </c>
      <c r="BI158" t="str">
        <f t="shared" si="37"/>
        <v>December</v>
      </c>
      <c r="BJ158">
        <f t="shared" ca="1" si="28"/>
        <v>413</v>
      </c>
      <c r="BK158" s="8">
        <f t="shared" si="38"/>
        <v>0.34575835595776772</v>
      </c>
      <c r="BL158">
        <f t="shared" si="39"/>
        <v>23829</v>
      </c>
      <c r="BM158">
        <f t="shared" si="40"/>
        <v>96</v>
      </c>
      <c r="BN158">
        <v>1157</v>
      </c>
      <c r="BO158">
        <v>45336</v>
      </c>
      <c r="BP158" t="str">
        <v>North</v>
      </c>
      <c r="BQ158" t="str">
        <v>Neha</v>
      </c>
      <c r="BR158" t="str">
        <v>Customer_47</v>
      </c>
      <c r="BS158" t="str">
        <v>Furniture</v>
      </c>
      <c r="BT158" t="str">
        <v>Monitor</v>
      </c>
      <c r="BU158">
        <v>20</v>
      </c>
      <c r="BV158">
        <v>43635</v>
      </c>
      <c r="BW158">
        <v>5</v>
      </c>
      <c r="BX158">
        <v>829065</v>
      </c>
      <c r="BY158">
        <v>563160.05000000005</v>
      </c>
      <c r="BZ158">
        <v>265904.95</v>
      </c>
      <c r="CA158" t="str">
        <v>UPI</v>
      </c>
      <c r="CB158">
        <v>1</v>
      </c>
      <c r="CC158">
        <v>4.8</v>
      </c>
      <c r="CD158" t="b">
        <f>COUNTIF(Sales_Data!E:E,Sales_Data!E158)&gt;1</f>
        <v>1</v>
      </c>
      <c r="CE158">
        <f>SUM(Sales_Data!$K$2:'Sales_Data'!K158)</f>
        <v>38702468.049999997</v>
      </c>
      <c r="CF158">
        <f t="shared" si="41"/>
        <v>762449.99999999988</v>
      </c>
      <c r="CG158" t="str">
        <f>CHOOSE(MATCH(C158,{"North","West","South","East"},0),"Zone 1","Zone 2","Zone 3","Zone 4")</f>
        <v>Zone 2</v>
      </c>
      <c r="CH158" t="str" cm="1">
        <f t="array" ref="CH158">_xlfn.SWITCH(N158,"Card","Card Payment","UPI", "UPI Payment","Cash","Cash Payment","NetBanking", "NetBanking Payment", "Unknown")</f>
        <v>UPI Payment</v>
      </c>
      <c r="CI158" t="str" cm="1">
        <f t="array" ref="CI158">_xlfn.IFS(Sales_Data!J158&lt;=5,"Low",Sales_Data!J158&lt;=10,"Medium",Sales_Data!J158&gt;10,"High")</f>
        <v>High</v>
      </c>
    </row>
    <row r="159" spans="1:87" x14ac:dyDescent="0.3">
      <c r="A159">
        <v>1159</v>
      </c>
      <c r="B159" s="1">
        <v>45435</v>
      </c>
      <c r="C159" t="s">
        <v>33</v>
      </c>
      <c r="D159" t="s">
        <v>31</v>
      </c>
      <c r="E159" t="s">
        <v>40</v>
      </c>
      <c r="F159" t="s">
        <v>25</v>
      </c>
      <c r="G159" t="s">
        <v>47</v>
      </c>
      <c r="H159">
        <v>9</v>
      </c>
      <c r="I159">
        <v>34301</v>
      </c>
      <c r="J159">
        <v>0</v>
      </c>
      <c r="K159">
        <v>308709</v>
      </c>
      <c r="L159">
        <v>249532.93</v>
      </c>
      <c r="M159">
        <v>59176.07</v>
      </c>
      <c r="N159" t="s">
        <v>21</v>
      </c>
      <c r="O159">
        <v>5</v>
      </c>
      <c r="P159">
        <v>4.5999999999999996</v>
      </c>
      <c r="Q159">
        <f t="shared" si="29"/>
        <v>95</v>
      </c>
      <c r="R159" t="str">
        <f t="shared" si="30"/>
        <v>Monitor</v>
      </c>
      <c r="S159" t="e">
        <f t="shared" si="31"/>
        <v>#N/A</v>
      </c>
      <c r="AK159">
        <v>1139</v>
      </c>
      <c r="AL159">
        <v>45742</v>
      </c>
      <c r="AM159" t="str">
        <v>North</v>
      </c>
      <c r="AN159" t="str">
        <v>Megha</v>
      </c>
      <c r="AO159" t="str">
        <v>Customer_39</v>
      </c>
      <c r="AP159" t="str">
        <v>Electronics</v>
      </c>
      <c r="AQ159" t="str">
        <v>Chair</v>
      </c>
      <c r="AR159">
        <v>8</v>
      </c>
      <c r="AS159">
        <v>11367</v>
      </c>
      <c r="AT159">
        <v>5</v>
      </c>
      <c r="AU159">
        <v>86389.2</v>
      </c>
      <c r="AV159">
        <v>71270.399999999994</v>
      </c>
      <c r="AW159">
        <v>15118.8</v>
      </c>
      <c r="AX159" t="str">
        <v>NetBanking</v>
      </c>
      <c r="AY159">
        <v>8</v>
      </c>
      <c r="AZ159">
        <v>2.5</v>
      </c>
      <c r="BA159">
        <v>157</v>
      </c>
      <c r="BB159" t="str">
        <v>Chair</v>
      </c>
      <c r="BC159" s="6">
        <f t="shared" si="32"/>
        <v>2</v>
      </c>
      <c r="BD159" t="str">
        <f t="shared" si="33"/>
        <v/>
      </c>
      <c r="BE159" s="8">
        <f t="shared" si="34"/>
        <v>0.19168883965158126</v>
      </c>
      <c r="BF159" t="str">
        <v>Customer_45</v>
      </c>
      <c r="BG159" t="str">
        <f t="shared" si="35"/>
        <v>East-Monitor</v>
      </c>
      <c r="BH159">
        <f t="shared" si="36"/>
        <v>2024</v>
      </c>
      <c r="BI159" t="str">
        <f t="shared" si="37"/>
        <v>May</v>
      </c>
      <c r="BJ159">
        <f t="shared" ca="1" si="28"/>
        <v>550</v>
      </c>
      <c r="BK159" s="8">
        <f t="shared" si="38"/>
        <v>0.19168883965158126</v>
      </c>
      <c r="BL159">
        <f t="shared" si="39"/>
        <v>26687</v>
      </c>
      <c r="BM159">
        <f t="shared" si="40"/>
        <v>8</v>
      </c>
      <c r="BN159">
        <v>1158</v>
      </c>
      <c r="BO159">
        <v>45628</v>
      </c>
      <c r="BP159" t="str">
        <v>West</v>
      </c>
      <c r="BQ159" t="str">
        <v>Neha</v>
      </c>
      <c r="BR159" t="str">
        <v>Customer_48</v>
      </c>
      <c r="BS159" t="str">
        <v>Office Supplies</v>
      </c>
      <c r="BT159" t="str">
        <v>Keyboard</v>
      </c>
      <c r="BU159">
        <v>16</v>
      </c>
      <c r="BV159">
        <v>48750</v>
      </c>
      <c r="BW159">
        <v>15</v>
      </c>
      <c r="BX159">
        <v>663000</v>
      </c>
      <c r="BY159">
        <v>433762.21</v>
      </c>
      <c r="BZ159">
        <v>229237.79</v>
      </c>
      <c r="CA159" t="str">
        <v>UPI</v>
      </c>
      <c r="CB159">
        <v>9</v>
      </c>
      <c r="CC159">
        <v>2.9</v>
      </c>
      <c r="CD159" t="b">
        <f>COUNTIF(Sales_Data!E:E,Sales_Data!E159)&gt;1</f>
        <v>1</v>
      </c>
      <c r="CE159">
        <f>SUM(Sales_Data!$K$2:'Sales_Data'!K159)</f>
        <v>39011177.049999997</v>
      </c>
      <c r="CF159">
        <f t="shared" si="41"/>
        <v>355015.35</v>
      </c>
      <c r="CG159" t="str">
        <f>CHOOSE(MATCH(C159,{"North","West","South","East"},0),"Zone 1","Zone 2","Zone 3","Zone 4")</f>
        <v>Zone 4</v>
      </c>
      <c r="CH159" t="str" cm="1">
        <f t="array" ref="CH159">_xlfn.SWITCH(N159,"Card","Card Payment","UPI", "UPI Payment","Cash","Cash Payment","NetBanking", "NetBanking Payment", "Unknown")</f>
        <v>Card Payment</v>
      </c>
      <c r="CI159" t="str" cm="1">
        <f t="array" ref="CI159">_xlfn.IFS(Sales_Data!J159&lt;=5,"Low",Sales_Data!J159&lt;=10,"Medium",Sales_Data!J159&gt;10,"High")</f>
        <v>Low</v>
      </c>
    </row>
    <row r="160" spans="1:87" x14ac:dyDescent="0.3">
      <c r="A160">
        <v>1160</v>
      </c>
      <c r="B160" s="1">
        <v>45510</v>
      </c>
      <c r="C160" t="s">
        <v>33</v>
      </c>
      <c r="D160" t="s">
        <v>57</v>
      </c>
      <c r="E160" t="s">
        <v>40</v>
      </c>
      <c r="F160" t="s">
        <v>25</v>
      </c>
      <c r="G160" t="s">
        <v>20</v>
      </c>
      <c r="H160">
        <v>3</v>
      </c>
      <c r="I160">
        <v>25145</v>
      </c>
      <c r="J160">
        <v>5</v>
      </c>
      <c r="K160">
        <v>71663.25</v>
      </c>
      <c r="L160">
        <v>56254.97</v>
      </c>
      <c r="M160">
        <v>15408.28</v>
      </c>
      <c r="N160" t="s">
        <v>21</v>
      </c>
      <c r="O160">
        <v>3</v>
      </c>
      <c r="P160">
        <v>3.1</v>
      </c>
      <c r="Q160">
        <f t="shared" si="29"/>
        <v>156</v>
      </c>
      <c r="R160" t="str">
        <f t="shared" si="30"/>
        <v>Phone</v>
      </c>
      <c r="S160" t="e">
        <f t="shared" si="31"/>
        <v>#N/A</v>
      </c>
      <c r="AK160">
        <v>1149</v>
      </c>
      <c r="AL160">
        <v>45328</v>
      </c>
      <c r="AM160" t="str">
        <v>East</v>
      </c>
      <c r="AN160" t="str">
        <v>Megha</v>
      </c>
      <c r="AO160" t="str">
        <v>Customer_41</v>
      </c>
      <c r="AP160" t="str">
        <v>Electronics</v>
      </c>
      <c r="AQ160" t="str">
        <v>Printer</v>
      </c>
      <c r="AR160">
        <v>4</v>
      </c>
      <c r="AS160">
        <v>15637</v>
      </c>
      <c r="AT160">
        <v>5</v>
      </c>
      <c r="AU160">
        <v>59420.6</v>
      </c>
      <c r="AV160">
        <v>44812.76</v>
      </c>
      <c r="AW160">
        <v>14607.84</v>
      </c>
      <c r="AX160" t="str">
        <v>Card</v>
      </c>
      <c r="AY160">
        <v>9</v>
      </c>
      <c r="AZ160">
        <v>4.7</v>
      </c>
      <c r="BA160">
        <v>158</v>
      </c>
      <c r="BB160" t="str">
        <v>Printer</v>
      </c>
      <c r="BC160" s="6">
        <f t="shared" si="32"/>
        <v>3</v>
      </c>
      <c r="BD160" t="str">
        <f t="shared" si="33"/>
        <v/>
      </c>
      <c r="BE160" s="8">
        <f t="shared" si="34"/>
        <v>0.21500950626715926</v>
      </c>
      <c r="BF160" t="str">
        <v>Customer_45</v>
      </c>
      <c r="BG160" t="str">
        <f t="shared" si="35"/>
        <v>East-Phone</v>
      </c>
      <c r="BH160">
        <f t="shared" si="36"/>
        <v>2024</v>
      </c>
      <c r="BI160" t="str">
        <f t="shared" si="37"/>
        <v>August</v>
      </c>
      <c r="BJ160">
        <f t="shared" ca="1" si="28"/>
        <v>497</v>
      </c>
      <c r="BK160" s="8">
        <f t="shared" si="38"/>
        <v>0.21500950626715926</v>
      </c>
      <c r="BL160">
        <f t="shared" si="39"/>
        <v>33295</v>
      </c>
      <c r="BM160">
        <f t="shared" si="40"/>
        <v>8</v>
      </c>
      <c r="BN160">
        <v>1159</v>
      </c>
      <c r="BO160">
        <v>45435</v>
      </c>
      <c r="BP160" t="str">
        <v>East</v>
      </c>
      <c r="BQ160" t="str">
        <v>Neha</v>
      </c>
      <c r="BR160" t="str">
        <v>Customer_30</v>
      </c>
      <c r="BS160" t="str">
        <v>Office Supplies</v>
      </c>
      <c r="BT160" t="str">
        <v>Monitor</v>
      </c>
      <c r="BU160">
        <v>9</v>
      </c>
      <c r="BV160">
        <v>34301</v>
      </c>
      <c r="BW160">
        <v>0</v>
      </c>
      <c r="BX160">
        <v>308709</v>
      </c>
      <c r="BY160">
        <v>249532.93</v>
      </c>
      <c r="BZ160">
        <v>59176.07</v>
      </c>
      <c r="CA160" t="str">
        <v>Card</v>
      </c>
      <c r="CB160">
        <v>5</v>
      </c>
      <c r="CC160">
        <v>4.5999999999999996</v>
      </c>
      <c r="CD160" t="b">
        <f>COUNTIF(Sales_Data!E:E,Sales_Data!E160)&gt;1</f>
        <v>1</v>
      </c>
      <c r="CE160">
        <f>SUM(Sales_Data!$K$2:'Sales_Data'!K160)</f>
        <v>39082840.299999997</v>
      </c>
      <c r="CF160">
        <f t="shared" si="41"/>
        <v>82412.737499999988</v>
      </c>
      <c r="CG160" t="str">
        <f>CHOOSE(MATCH(C160,{"North","West","South","East"},0),"Zone 1","Zone 2","Zone 3","Zone 4")</f>
        <v>Zone 4</v>
      </c>
      <c r="CH160" t="str" cm="1">
        <f t="array" ref="CH160">_xlfn.SWITCH(N160,"Card","Card Payment","UPI", "UPI Payment","Cash","Cash Payment","NetBanking", "NetBanking Payment", "Unknown")</f>
        <v>Card Payment</v>
      </c>
      <c r="CI160" t="str" cm="1">
        <f t="array" ref="CI160">_xlfn.IFS(Sales_Data!J160&lt;=5,"Low",Sales_Data!J160&lt;=10,"Medium",Sales_Data!J160&gt;10,"High")</f>
        <v>Low</v>
      </c>
    </row>
    <row r="161" spans="1:87" x14ac:dyDescent="0.3">
      <c r="A161">
        <v>1161</v>
      </c>
      <c r="B161" s="1">
        <v>45768</v>
      </c>
      <c r="C161" t="s">
        <v>50</v>
      </c>
      <c r="D161" t="s">
        <v>17</v>
      </c>
      <c r="E161" t="s">
        <v>61</v>
      </c>
      <c r="F161" t="s">
        <v>19</v>
      </c>
      <c r="G161" t="s">
        <v>26</v>
      </c>
      <c r="H161">
        <v>1</v>
      </c>
      <c r="I161">
        <v>4832</v>
      </c>
      <c r="J161">
        <v>20</v>
      </c>
      <c r="K161">
        <v>3865.6</v>
      </c>
      <c r="L161">
        <v>2638.31</v>
      </c>
      <c r="M161">
        <v>1227.29</v>
      </c>
      <c r="N161" t="s">
        <v>48</v>
      </c>
      <c r="O161">
        <v>4</v>
      </c>
      <c r="P161">
        <v>3.1</v>
      </c>
      <c r="Q161">
        <f t="shared" si="29"/>
        <v>196</v>
      </c>
      <c r="R161" t="str">
        <f t="shared" si="30"/>
        <v>Keyboard</v>
      </c>
      <c r="S161" t="e">
        <f t="shared" si="31"/>
        <v>#N/A</v>
      </c>
      <c r="AK161">
        <v>1073</v>
      </c>
      <c r="AL161">
        <v>45657</v>
      </c>
      <c r="AM161" t="str">
        <v>West</v>
      </c>
      <c r="AN161" t="str">
        <v>Aman</v>
      </c>
      <c r="AO161" t="str">
        <v>Customer_43</v>
      </c>
      <c r="AP161" t="str">
        <v>Electronics</v>
      </c>
      <c r="AQ161" t="str">
        <v>Monitor</v>
      </c>
      <c r="AR161">
        <v>4</v>
      </c>
      <c r="AS161">
        <v>20463</v>
      </c>
      <c r="AT161">
        <v>0</v>
      </c>
      <c r="AU161">
        <v>81852</v>
      </c>
      <c r="AV161">
        <v>67274.78</v>
      </c>
      <c r="AW161">
        <v>14577.22</v>
      </c>
      <c r="AX161" t="str">
        <v>NetBanking</v>
      </c>
      <c r="AY161">
        <v>2</v>
      </c>
      <c r="AZ161">
        <v>4.5</v>
      </c>
      <c r="BA161">
        <v>159</v>
      </c>
      <c r="BB161" t="str">
        <v>Monitor</v>
      </c>
      <c r="BC161" s="6">
        <f t="shared" si="32"/>
        <v>1</v>
      </c>
      <c r="BD161" t="str">
        <f t="shared" si="33"/>
        <v/>
      </c>
      <c r="BE161" s="8">
        <f t="shared" si="34"/>
        <v>0.31749016970198674</v>
      </c>
      <c r="BF161" t="str">
        <v>Customer_45</v>
      </c>
      <c r="BG161" t="str">
        <f t="shared" si="35"/>
        <v>North-Keyboard</v>
      </c>
      <c r="BH161">
        <f t="shared" si="36"/>
        <v>2025</v>
      </c>
      <c r="BI161" t="str">
        <f t="shared" si="37"/>
        <v>April</v>
      </c>
      <c r="BJ161">
        <f t="shared" ca="1" si="28"/>
        <v>313</v>
      </c>
      <c r="BK161" s="8">
        <f t="shared" si="38"/>
        <v>0.31749016970198674</v>
      </c>
      <c r="BL161">
        <f t="shared" si="39"/>
        <v>23829</v>
      </c>
      <c r="BM161">
        <f t="shared" si="40"/>
        <v>24</v>
      </c>
      <c r="BN161">
        <v>1160</v>
      </c>
      <c r="BO161">
        <v>45510</v>
      </c>
      <c r="BP161" t="str">
        <v>East</v>
      </c>
      <c r="BQ161" t="str">
        <v>Megha</v>
      </c>
      <c r="BR161" t="str">
        <v>Customer_30</v>
      </c>
      <c r="BS161" t="str">
        <v>Office Supplies</v>
      </c>
      <c r="BT161" t="str">
        <v>Phone</v>
      </c>
      <c r="BU161">
        <v>3</v>
      </c>
      <c r="BV161">
        <v>25145</v>
      </c>
      <c r="BW161">
        <v>5</v>
      </c>
      <c r="BX161">
        <v>71663.25</v>
      </c>
      <c r="BY161">
        <v>56254.97</v>
      </c>
      <c r="BZ161">
        <v>15408.28</v>
      </c>
      <c r="CA161" t="str">
        <v>Card</v>
      </c>
      <c r="CB161">
        <v>3</v>
      </c>
      <c r="CC161">
        <v>3.1</v>
      </c>
      <c r="CD161" t="b">
        <f>COUNTIF(Sales_Data!E:E,Sales_Data!E161)&gt;1</f>
        <v>1</v>
      </c>
      <c r="CE161">
        <f>SUM(Sales_Data!$K$2:'Sales_Data'!K161)</f>
        <v>39086705.899999999</v>
      </c>
      <c r="CF161">
        <f t="shared" si="41"/>
        <v>4445.4399999999996</v>
      </c>
      <c r="CG161" t="str">
        <f>CHOOSE(MATCH(C161,{"North","West","South","East"},0),"Zone 1","Zone 2","Zone 3","Zone 4")</f>
        <v>Zone 1</v>
      </c>
      <c r="CH161" t="str" cm="1">
        <f t="array" ref="CH161">_xlfn.SWITCH(N161,"Card","Card Payment","UPI", "UPI Payment","Cash","Cash Payment","NetBanking", "NetBanking Payment", "Unknown")</f>
        <v>NetBanking Payment</v>
      </c>
      <c r="CI161" t="str" cm="1">
        <f t="array" ref="CI161">_xlfn.IFS(Sales_Data!J161&lt;=5,"Low",Sales_Data!J161&lt;=10,"Medium",Sales_Data!J161&gt;10,"High")</f>
        <v>High</v>
      </c>
    </row>
    <row r="162" spans="1:87" x14ac:dyDescent="0.3">
      <c r="A162">
        <v>1162</v>
      </c>
      <c r="B162" s="1">
        <v>45680</v>
      </c>
      <c r="C162" t="s">
        <v>22</v>
      </c>
      <c r="D162" t="s">
        <v>39</v>
      </c>
      <c r="E162" t="s">
        <v>83</v>
      </c>
      <c r="F162" t="s">
        <v>35</v>
      </c>
      <c r="G162" t="s">
        <v>65</v>
      </c>
      <c r="H162">
        <v>13</v>
      </c>
      <c r="I162">
        <v>32683</v>
      </c>
      <c r="J162">
        <v>5</v>
      </c>
      <c r="K162">
        <v>403635.05</v>
      </c>
      <c r="L162">
        <v>258355.12</v>
      </c>
      <c r="M162">
        <v>145279.93</v>
      </c>
      <c r="N162" t="s">
        <v>27</v>
      </c>
      <c r="O162">
        <v>9</v>
      </c>
      <c r="P162">
        <v>4.3</v>
      </c>
      <c r="Q162">
        <f t="shared" si="29"/>
        <v>26</v>
      </c>
      <c r="R162" t="str">
        <f t="shared" si="30"/>
        <v>Mouse</v>
      </c>
      <c r="S162" t="e">
        <f t="shared" si="31"/>
        <v>#N/A</v>
      </c>
      <c r="AK162">
        <v>1035</v>
      </c>
      <c r="AL162">
        <v>45605</v>
      </c>
      <c r="AM162" t="str">
        <v>North</v>
      </c>
      <c r="AN162" t="str">
        <v>Neha</v>
      </c>
      <c r="AO162" t="str">
        <v>Customer_30</v>
      </c>
      <c r="AP162" t="str">
        <v>Office Supplies</v>
      </c>
      <c r="AQ162" t="str">
        <v>Printer</v>
      </c>
      <c r="AR162">
        <v>2</v>
      </c>
      <c r="AS162">
        <v>28308</v>
      </c>
      <c r="AT162">
        <v>0</v>
      </c>
      <c r="AU162">
        <v>56616</v>
      </c>
      <c r="AV162">
        <v>42326.02</v>
      </c>
      <c r="AW162">
        <v>14289.98</v>
      </c>
      <c r="AX162" t="str">
        <v>UPI</v>
      </c>
      <c r="AY162">
        <v>5</v>
      </c>
      <c r="AZ162">
        <v>3.9</v>
      </c>
      <c r="BA162">
        <v>160</v>
      </c>
      <c r="BB162" t="str">
        <v>Printer</v>
      </c>
      <c r="BC162" s="6">
        <f t="shared" si="32"/>
        <v>0</v>
      </c>
      <c r="BD162" t="str">
        <f t="shared" si="33"/>
        <v>Bonus!</v>
      </c>
      <c r="BE162" s="8">
        <f t="shared" si="34"/>
        <v>0.35992892589481512</v>
      </c>
      <c r="BF162" t="str">
        <v>Customer_45</v>
      </c>
      <c r="BG162" t="str">
        <f t="shared" si="35"/>
        <v>South-Mouse</v>
      </c>
      <c r="BH162">
        <f t="shared" si="36"/>
        <v>2025</v>
      </c>
      <c r="BI162" t="str">
        <f t="shared" si="37"/>
        <v>January</v>
      </c>
      <c r="BJ162">
        <f t="shared" ca="1" si="28"/>
        <v>375</v>
      </c>
      <c r="BK162" s="8">
        <f t="shared" si="38"/>
        <v>0.35992892589481512</v>
      </c>
      <c r="BL162">
        <f t="shared" si="39"/>
        <v>41775</v>
      </c>
      <c r="BM162">
        <f t="shared" si="40"/>
        <v>85</v>
      </c>
      <c r="BN162">
        <v>1161</v>
      </c>
      <c r="BO162">
        <v>45768</v>
      </c>
      <c r="BP162" t="str">
        <v>North</v>
      </c>
      <c r="BQ162" t="str">
        <v>Rohan</v>
      </c>
      <c r="BR162" t="str">
        <v>Customer_11</v>
      </c>
      <c r="BS162" t="str">
        <v>Electronics</v>
      </c>
      <c r="BT162" t="str">
        <v>Keyboard</v>
      </c>
      <c r="BU162">
        <v>1</v>
      </c>
      <c r="BV162">
        <v>4832</v>
      </c>
      <c r="BW162">
        <v>20</v>
      </c>
      <c r="BX162">
        <v>3865.6</v>
      </c>
      <c r="BY162">
        <v>2638.31</v>
      </c>
      <c r="BZ162">
        <v>1227.29</v>
      </c>
      <c r="CA162" t="str">
        <v>NetBanking</v>
      </c>
      <c r="CB162">
        <v>4</v>
      </c>
      <c r="CC162">
        <v>3.1</v>
      </c>
      <c r="CD162" t="b">
        <f>COUNTIF(Sales_Data!E:E,Sales_Data!E162)&gt;1</f>
        <v>1</v>
      </c>
      <c r="CE162">
        <f>SUM(Sales_Data!$K$2:'Sales_Data'!K162)</f>
        <v>39490340.949999996</v>
      </c>
      <c r="CF162">
        <f t="shared" si="41"/>
        <v>464180.30749999994</v>
      </c>
      <c r="CG162" t="str">
        <f>CHOOSE(MATCH(C162,{"North","West","South","East"},0),"Zone 1","Zone 2","Zone 3","Zone 4")</f>
        <v>Zone 3</v>
      </c>
      <c r="CH162" t="str" cm="1">
        <f t="array" ref="CH162">_xlfn.SWITCH(N162,"Card","Card Payment","UPI", "UPI Payment","Cash","Cash Payment","NetBanking", "NetBanking Payment", "Unknown")</f>
        <v>UPI Payment</v>
      </c>
      <c r="CI162" t="str" cm="1">
        <f t="array" ref="CI162">_xlfn.IFS(Sales_Data!J162&lt;=5,"Low",Sales_Data!J162&lt;=10,"Medium",Sales_Data!J162&gt;10,"High")</f>
        <v>Low</v>
      </c>
    </row>
    <row r="163" spans="1:87" x14ac:dyDescent="0.3">
      <c r="A163">
        <v>1163</v>
      </c>
      <c r="B163" s="1">
        <v>45454</v>
      </c>
      <c r="C163" t="s">
        <v>16</v>
      </c>
      <c r="D163" t="s">
        <v>28</v>
      </c>
      <c r="E163" t="s">
        <v>73</v>
      </c>
      <c r="F163" t="s">
        <v>35</v>
      </c>
      <c r="G163" t="s">
        <v>44</v>
      </c>
      <c r="H163">
        <v>13</v>
      </c>
      <c r="I163">
        <v>35497</v>
      </c>
      <c r="J163">
        <v>15</v>
      </c>
      <c r="K163">
        <v>392241.85</v>
      </c>
      <c r="L163">
        <v>307167.44</v>
      </c>
      <c r="M163">
        <v>85074.41</v>
      </c>
      <c r="N163" t="s">
        <v>27</v>
      </c>
      <c r="O163">
        <v>10</v>
      </c>
      <c r="P163">
        <v>4</v>
      </c>
      <c r="Q163">
        <f t="shared" si="29"/>
        <v>73</v>
      </c>
      <c r="R163" t="str">
        <f t="shared" si="30"/>
        <v>Printer</v>
      </c>
      <c r="S163" t="e">
        <f t="shared" si="31"/>
        <v>#N/A</v>
      </c>
      <c r="AK163">
        <v>1137</v>
      </c>
      <c r="AL163">
        <v>45634</v>
      </c>
      <c r="AM163" t="str">
        <v>West</v>
      </c>
      <c r="AN163" t="str">
        <v>Megha</v>
      </c>
      <c r="AO163" t="str">
        <v>Customer_39</v>
      </c>
      <c r="AP163" t="str">
        <v>Electronics</v>
      </c>
      <c r="AQ163" t="str">
        <v>Keyboard</v>
      </c>
      <c r="AR163">
        <v>2</v>
      </c>
      <c r="AS163">
        <v>24506</v>
      </c>
      <c r="AT163">
        <v>10</v>
      </c>
      <c r="AU163">
        <v>44110.8</v>
      </c>
      <c r="AV163">
        <v>29847.96</v>
      </c>
      <c r="AW163">
        <v>14262.84</v>
      </c>
      <c r="AX163" t="str">
        <v>Card</v>
      </c>
      <c r="AY163">
        <v>6</v>
      </c>
      <c r="AZ163">
        <v>4.2</v>
      </c>
      <c r="BA163">
        <v>161</v>
      </c>
      <c r="BB163" t="str">
        <v>Keyboard</v>
      </c>
      <c r="BC163" s="6">
        <f t="shared" si="32"/>
        <v>2</v>
      </c>
      <c r="BD163" t="str">
        <f t="shared" si="33"/>
        <v/>
      </c>
      <c r="BE163" s="8">
        <f t="shared" si="34"/>
        <v>0.21689274104739209</v>
      </c>
      <c r="BF163" t="str">
        <v>Customer_45</v>
      </c>
      <c r="BG163" t="str">
        <f t="shared" si="35"/>
        <v>West-Printer</v>
      </c>
      <c r="BH163">
        <f t="shared" si="36"/>
        <v>2024</v>
      </c>
      <c r="BI163" t="str">
        <f t="shared" si="37"/>
        <v>June</v>
      </c>
      <c r="BJ163">
        <f t="shared" ca="1" si="28"/>
        <v>537</v>
      </c>
      <c r="BK163" s="8">
        <f t="shared" si="38"/>
        <v>0.21689274104739209</v>
      </c>
      <c r="BL163">
        <f t="shared" si="39"/>
        <v>1561</v>
      </c>
      <c r="BM163">
        <f t="shared" si="40"/>
        <v>47</v>
      </c>
      <c r="BN163">
        <v>1162</v>
      </c>
      <c r="BO163">
        <v>45680</v>
      </c>
      <c r="BP163" t="str">
        <v>South</v>
      </c>
      <c r="BQ163" t="str">
        <v>Sneha</v>
      </c>
      <c r="BR163" t="str">
        <v>Customer_3</v>
      </c>
      <c r="BS163" t="str">
        <v>Furniture</v>
      </c>
      <c r="BT163" t="str">
        <v>Mouse</v>
      </c>
      <c r="BU163">
        <v>13</v>
      </c>
      <c r="BV163">
        <v>32683</v>
      </c>
      <c r="BW163">
        <v>5</v>
      </c>
      <c r="BX163">
        <v>403635.05</v>
      </c>
      <c r="BY163">
        <v>258355.12</v>
      </c>
      <c r="BZ163">
        <v>145279.93</v>
      </c>
      <c r="CA163" t="str">
        <v>UPI</v>
      </c>
      <c r="CB163">
        <v>9</v>
      </c>
      <c r="CC163">
        <v>4.3</v>
      </c>
      <c r="CD163" t="b">
        <f>COUNTIF(Sales_Data!E:E,Sales_Data!E163)&gt;1</f>
        <v>1</v>
      </c>
      <c r="CE163">
        <f>SUM(Sales_Data!$K$2:'Sales_Data'!K163)</f>
        <v>39882582.799999997</v>
      </c>
      <c r="CF163">
        <f t="shared" si="41"/>
        <v>451078.12749999994</v>
      </c>
      <c r="CG163" t="str">
        <f>CHOOSE(MATCH(C163,{"North","West","South","East"},0),"Zone 1","Zone 2","Zone 3","Zone 4")</f>
        <v>Zone 2</v>
      </c>
      <c r="CH163" t="str" cm="1">
        <f t="array" ref="CH163">_xlfn.SWITCH(N163,"Card","Card Payment","UPI", "UPI Payment","Cash","Cash Payment","NetBanking", "NetBanking Payment", "Unknown")</f>
        <v>UPI Payment</v>
      </c>
      <c r="CI163" t="str" cm="1">
        <f t="array" ref="CI163">_xlfn.IFS(Sales_Data!J163&lt;=5,"Low",Sales_Data!J163&lt;=10,"Medium",Sales_Data!J163&gt;10,"High")</f>
        <v>High</v>
      </c>
    </row>
    <row r="164" spans="1:87" x14ac:dyDescent="0.3">
      <c r="A164">
        <v>1164</v>
      </c>
      <c r="B164" s="1">
        <v>45535</v>
      </c>
      <c r="C164" t="s">
        <v>50</v>
      </c>
      <c r="D164" t="s">
        <v>42</v>
      </c>
      <c r="E164" t="s">
        <v>92</v>
      </c>
      <c r="F164" t="s">
        <v>35</v>
      </c>
      <c r="G164" t="s">
        <v>47</v>
      </c>
      <c r="H164">
        <v>16</v>
      </c>
      <c r="I164">
        <v>12921</v>
      </c>
      <c r="J164">
        <v>15</v>
      </c>
      <c r="K164">
        <v>175725.6</v>
      </c>
      <c r="L164">
        <v>141825.91</v>
      </c>
      <c r="M164">
        <v>33899.69</v>
      </c>
      <c r="N164" t="s">
        <v>48</v>
      </c>
      <c r="O164">
        <v>3</v>
      </c>
      <c r="P164">
        <v>4.9000000000000004</v>
      </c>
      <c r="Q164">
        <f t="shared" si="29"/>
        <v>125</v>
      </c>
      <c r="R164" t="str">
        <f t="shared" si="30"/>
        <v>Monitor</v>
      </c>
      <c r="S164" t="e">
        <f t="shared" si="31"/>
        <v>#N/A</v>
      </c>
      <c r="AK164">
        <v>1096</v>
      </c>
      <c r="AL164">
        <v>45400</v>
      </c>
      <c r="AM164" t="str">
        <v>West</v>
      </c>
      <c r="AN164" t="str">
        <v>Karan</v>
      </c>
      <c r="AO164" t="str">
        <v>Customer_48</v>
      </c>
      <c r="AP164" t="str">
        <v>Furniture</v>
      </c>
      <c r="AQ164" t="str">
        <v>Printer</v>
      </c>
      <c r="AR164">
        <v>3</v>
      </c>
      <c r="AS164">
        <v>26245</v>
      </c>
      <c r="AT164">
        <v>10</v>
      </c>
      <c r="AU164">
        <v>70861.5</v>
      </c>
      <c r="AV164">
        <v>57066.53</v>
      </c>
      <c r="AW164">
        <v>13794.97</v>
      </c>
      <c r="AX164" t="str">
        <v>Card</v>
      </c>
      <c r="AY164">
        <v>7</v>
      </c>
      <c r="AZ164">
        <v>4.0999999999999996</v>
      </c>
      <c r="BA164">
        <v>162</v>
      </c>
      <c r="BB164" t="str">
        <v>Printer</v>
      </c>
      <c r="BC164" s="6">
        <f t="shared" si="32"/>
        <v>3</v>
      </c>
      <c r="BD164" t="str">
        <f t="shared" si="33"/>
        <v/>
      </c>
      <c r="BE164" s="8">
        <f t="shared" si="34"/>
        <v>0.19291264334849334</v>
      </c>
      <c r="BF164" t="str">
        <v>Customer_45</v>
      </c>
      <c r="BG164" t="str">
        <f t="shared" si="35"/>
        <v>North-Monitor</v>
      </c>
      <c r="BH164">
        <f t="shared" si="36"/>
        <v>2024</v>
      </c>
      <c r="BI164" t="str">
        <f t="shared" si="37"/>
        <v>August</v>
      </c>
      <c r="BJ164">
        <f t="shared" ca="1" si="28"/>
        <v>478</v>
      </c>
      <c r="BK164" s="8">
        <f t="shared" si="38"/>
        <v>0.19291264334849334</v>
      </c>
      <c r="BL164">
        <f t="shared" si="39"/>
        <v>26687</v>
      </c>
      <c r="BM164">
        <f t="shared" si="40"/>
        <v>164</v>
      </c>
      <c r="BN164">
        <v>1163</v>
      </c>
      <c r="BO164">
        <v>45454</v>
      </c>
      <c r="BP164" t="str">
        <v>West</v>
      </c>
      <c r="BQ164" t="str">
        <v>Arjun</v>
      </c>
      <c r="BR164" t="str">
        <v>Customer_45</v>
      </c>
      <c r="BS164" t="str">
        <v>Furniture</v>
      </c>
      <c r="BT164" t="str">
        <v>Printer</v>
      </c>
      <c r="BU164">
        <v>13</v>
      </c>
      <c r="BV164">
        <v>35497</v>
      </c>
      <c r="BW164">
        <v>15</v>
      </c>
      <c r="BX164">
        <v>392241.85</v>
      </c>
      <c r="BY164">
        <v>307167.44</v>
      </c>
      <c r="BZ164">
        <v>85074.41</v>
      </c>
      <c r="CA164" t="str">
        <v>UPI</v>
      </c>
      <c r="CB164">
        <v>10</v>
      </c>
      <c r="CC164">
        <v>4</v>
      </c>
      <c r="CD164" t="b">
        <f>COUNTIF(Sales_Data!E:E,Sales_Data!E164)&gt;1</f>
        <v>1</v>
      </c>
      <c r="CE164">
        <f>SUM(Sales_Data!$K$2:'Sales_Data'!K164)</f>
        <v>40058308.399999999</v>
      </c>
      <c r="CF164">
        <f t="shared" si="41"/>
        <v>202084.44</v>
      </c>
      <c r="CG164" t="str">
        <f>CHOOSE(MATCH(C164,{"North","West","South","East"},0),"Zone 1","Zone 2","Zone 3","Zone 4")</f>
        <v>Zone 1</v>
      </c>
      <c r="CH164" t="str" cm="1">
        <f t="array" ref="CH164">_xlfn.SWITCH(N164,"Card","Card Payment","UPI", "UPI Payment","Cash","Cash Payment","NetBanking", "NetBanking Payment", "Unknown")</f>
        <v>NetBanking Payment</v>
      </c>
      <c r="CI164" t="str" cm="1">
        <f t="array" ref="CI164">_xlfn.IFS(Sales_Data!J164&lt;=5,"Low",Sales_Data!J164&lt;=10,"Medium",Sales_Data!J164&gt;10,"High")</f>
        <v>High</v>
      </c>
    </row>
    <row r="165" spans="1:87" x14ac:dyDescent="0.3">
      <c r="A165">
        <v>1165</v>
      </c>
      <c r="B165" s="1">
        <v>45691</v>
      </c>
      <c r="C165" t="s">
        <v>33</v>
      </c>
      <c r="D165" t="s">
        <v>17</v>
      </c>
      <c r="E165" t="s">
        <v>71</v>
      </c>
      <c r="F165" t="s">
        <v>35</v>
      </c>
      <c r="G165" t="s">
        <v>20</v>
      </c>
      <c r="H165">
        <v>18</v>
      </c>
      <c r="I165">
        <v>1865</v>
      </c>
      <c r="J165">
        <v>10</v>
      </c>
      <c r="K165">
        <v>30213</v>
      </c>
      <c r="L165">
        <v>25299.55</v>
      </c>
      <c r="M165">
        <v>4913.45</v>
      </c>
      <c r="N165" t="s">
        <v>27</v>
      </c>
      <c r="O165">
        <v>2</v>
      </c>
      <c r="P165">
        <v>3</v>
      </c>
      <c r="Q165">
        <f t="shared" si="29"/>
        <v>187</v>
      </c>
      <c r="R165" t="str">
        <f t="shared" si="30"/>
        <v>Phone</v>
      </c>
      <c r="S165" t="e">
        <f t="shared" si="31"/>
        <v>#N/A</v>
      </c>
      <c r="AK165">
        <v>1173</v>
      </c>
      <c r="AL165">
        <v>45455</v>
      </c>
      <c r="AM165" t="str">
        <v>North</v>
      </c>
      <c r="AN165" t="str">
        <v>Rohan</v>
      </c>
      <c r="AO165" t="str">
        <v>Customer_2</v>
      </c>
      <c r="AP165" t="str">
        <v>Office Supplies</v>
      </c>
      <c r="AQ165" t="str">
        <v>Keyboard</v>
      </c>
      <c r="AR165">
        <v>18</v>
      </c>
      <c r="AS165">
        <v>2591</v>
      </c>
      <c r="AT165">
        <v>0</v>
      </c>
      <c r="AU165">
        <v>46638</v>
      </c>
      <c r="AV165">
        <v>32930.53</v>
      </c>
      <c r="AW165">
        <v>13707.47</v>
      </c>
      <c r="AX165" t="str">
        <v>NetBanking</v>
      </c>
      <c r="AY165">
        <v>3</v>
      </c>
      <c r="AZ165">
        <v>4.8</v>
      </c>
      <c r="BA165">
        <v>163</v>
      </c>
      <c r="BB165" t="str">
        <v>Keyboard</v>
      </c>
      <c r="BC165" s="6">
        <f t="shared" si="32"/>
        <v>1</v>
      </c>
      <c r="BD165" t="str">
        <f t="shared" si="33"/>
        <v/>
      </c>
      <c r="BE165" s="8">
        <f t="shared" si="34"/>
        <v>0.16262701486115247</v>
      </c>
      <c r="BF165" t="str">
        <v>Customer_46</v>
      </c>
      <c r="BG165" t="str">
        <f t="shared" si="35"/>
        <v>East-Phone</v>
      </c>
      <c r="BH165">
        <f t="shared" si="36"/>
        <v>2025</v>
      </c>
      <c r="BI165" t="str">
        <f t="shared" si="37"/>
        <v>February</v>
      </c>
      <c r="BJ165">
        <f t="shared" ca="1" si="28"/>
        <v>368</v>
      </c>
      <c r="BK165" s="8">
        <f t="shared" si="38"/>
        <v>0.16262701486115247</v>
      </c>
      <c r="BL165">
        <f t="shared" si="39"/>
        <v>33295</v>
      </c>
      <c r="BM165">
        <f t="shared" si="40"/>
        <v>43</v>
      </c>
      <c r="BN165">
        <v>1164</v>
      </c>
      <c r="BO165">
        <v>45535</v>
      </c>
      <c r="BP165" t="str">
        <v>North</v>
      </c>
      <c r="BQ165" t="str">
        <v>Priya</v>
      </c>
      <c r="BR165" t="str">
        <v>Customer_31</v>
      </c>
      <c r="BS165" t="str">
        <v>Furniture</v>
      </c>
      <c r="BT165" t="str">
        <v>Monitor</v>
      </c>
      <c r="BU165">
        <v>16</v>
      </c>
      <c r="BV165">
        <v>12921</v>
      </c>
      <c r="BW165">
        <v>15</v>
      </c>
      <c r="BX165">
        <v>175725.6</v>
      </c>
      <c r="BY165">
        <v>141825.91</v>
      </c>
      <c r="BZ165">
        <v>33899.69</v>
      </c>
      <c r="CA165" t="str">
        <v>NetBanking</v>
      </c>
      <c r="CB165">
        <v>3</v>
      </c>
      <c r="CC165">
        <v>4.9000000000000004</v>
      </c>
      <c r="CD165" t="b">
        <f>COUNTIF(Sales_Data!E:E,Sales_Data!E165)&gt;1</f>
        <v>1</v>
      </c>
      <c r="CE165">
        <f>SUM(Sales_Data!$K$2:'Sales_Data'!K165)</f>
        <v>40088521.399999999</v>
      </c>
      <c r="CF165">
        <f t="shared" si="41"/>
        <v>34744.949999999997</v>
      </c>
      <c r="CG165" t="str">
        <f>CHOOSE(MATCH(C165,{"North","West","South","East"},0),"Zone 1","Zone 2","Zone 3","Zone 4")</f>
        <v>Zone 4</v>
      </c>
      <c r="CH165" t="str" cm="1">
        <f t="array" ref="CH165">_xlfn.SWITCH(N165,"Card","Card Payment","UPI", "UPI Payment","Cash","Cash Payment","NetBanking", "NetBanking Payment", "Unknown")</f>
        <v>UPI Payment</v>
      </c>
      <c r="CI165" t="str" cm="1">
        <f t="array" ref="CI165">_xlfn.IFS(Sales_Data!J165&lt;=5,"Low",Sales_Data!J165&lt;=10,"Medium",Sales_Data!J165&gt;10,"High")</f>
        <v>Medium</v>
      </c>
    </row>
    <row r="166" spans="1:87" x14ac:dyDescent="0.3">
      <c r="A166">
        <v>1166</v>
      </c>
      <c r="B166" s="1">
        <v>45628</v>
      </c>
      <c r="C166" t="s">
        <v>50</v>
      </c>
      <c r="D166" t="s">
        <v>39</v>
      </c>
      <c r="E166" t="s">
        <v>76</v>
      </c>
      <c r="F166" t="s">
        <v>35</v>
      </c>
      <c r="G166" t="s">
        <v>20</v>
      </c>
      <c r="H166">
        <v>8</v>
      </c>
      <c r="I166">
        <v>39543</v>
      </c>
      <c r="J166">
        <v>5</v>
      </c>
      <c r="K166">
        <v>300526.8</v>
      </c>
      <c r="L166">
        <v>200580.67</v>
      </c>
      <c r="M166">
        <v>99946.13</v>
      </c>
      <c r="N166" t="s">
        <v>27</v>
      </c>
      <c r="O166">
        <v>8</v>
      </c>
      <c r="P166">
        <v>4.0999999999999996</v>
      </c>
      <c r="Q166">
        <f t="shared" si="29"/>
        <v>59</v>
      </c>
      <c r="R166" t="str">
        <f t="shared" si="30"/>
        <v>Phone</v>
      </c>
      <c r="S166" t="e">
        <f t="shared" si="31"/>
        <v>#N/A</v>
      </c>
      <c r="AK166">
        <v>1044</v>
      </c>
      <c r="AL166">
        <v>45617</v>
      </c>
      <c r="AM166" t="str">
        <v>South</v>
      </c>
      <c r="AN166" t="str">
        <v>Rohan</v>
      </c>
      <c r="AO166" t="str">
        <v>Customer_43</v>
      </c>
      <c r="AP166" t="str">
        <v>Office Supplies</v>
      </c>
      <c r="AQ166" t="str">
        <v>Desk</v>
      </c>
      <c r="AR166">
        <v>3</v>
      </c>
      <c r="AS166">
        <v>37013</v>
      </c>
      <c r="AT166">
        <v>20</v>
      </c>
      <c r="AU166">
        <v>88831.2</v>
      </c>
      <c r="AV166">
        <v>75293.649999999994</v>
      </c>
      <c r="AW166">
        <v>13537.55</v>
      </c>
      <c r="AX166" t="str">
        <v>NetBanking</v>
      </c>
      <c r="AY166">
        <v>3</v>
      </c>
      <c r="AZ166">
        <v>4.7</v>
      </c>
      <c r="BA166">
        <v>164</v>
      </c>
      <c r="BB166" t="str">
        <v>Desk</v>
      </c>
      <c r="BC166" s="6">
        <f t="shared" si="32"/>
        <v>4</v>
      </c>
      <c r="BD166" t="str">
        <f t="shared" si="33"/>
        <v/>
      </c>
      <c r="BE166" s="8">
        <f t="shared" si="34"/>
        <v>0.3325697741432711</v>
      </c>
      <c r="BF166" t="str">
        <v>Customer_46</v>
      </c>
      <c r="BG166" t="str">
        <f t="shared" si="35"/>
        <v>North-Phone</v>
      </c>
      <c r="BH166">
        <f t="shared" si="36"/>
        <v>2024</v>
      </c>
      <c r="BI166" t="str">
        <f t="shared" si="37"/>
        <v>December</v>
      </c>
      <c r="BJ166">
        <f t="shared" ca="1" si="28"/>
        <v>413</v>
      </c>
      <c r="BK166" s="8">
        <f t="shared" si="38"/>
        <v>0.3325697741432711</v>
      </c>
      <c r="BL166">
        <f t="shared" si="39"/>
        <v>33295</v>
      </c>
      <c r="BM166">
        <f t="shared" si="40"/>
        <v>63</v>
      </c>
      <c r="BN166">
        <v>1165</v>
      </c>
      <c r="BO166">
        <v>45691</v>
      </c>
      <c r="BP166" t="str">
        <v>East</v>
      </c>
      <c r="BQ166" t="str">
        <v>Rohan</v>
      </c>
      <c r="BR166" t="str">
        <v>Customer_22</v>
      </c>
      <c r="BS166" t="str">
        <v>Furniture</v>
      </c>
      <c r="BT166" t="str">
        <v>Phone</v>
      </c>
      <c r="BU166">
        <v>18</v>
      </c>
      <c r="BV166">
        <v>1865</v>
      </c>
      <c r="BW166">
        <v>10</v>
      </c>
      <c r="BX166">
        <v>30213</v>
      </c>
      <c r="BY166">
        <v>25299.55</v>
      </c>
      <c r="BZ166">
        <v>4913.45</v>
      </c>
      <c r="CA166" t="str">
        <v>UPI</v>
      </c>
      <c r="CB166">
        <v>2</v>
      </c>
      <c r="CC166">
        <v>3</v>
      </c>
      <c r="CD166" t="b">
        <f>COUNTIF(Sales_Data!E:E,Sales_Data!E166)&gt;1</f>
        <v>1</v>
      </c>
      <c r="CE166">
        <f>SUM(Sales_Data!$K$2:'Sales_Data'!K166)</f>
        <v>40389048.199999996</v>
      </c>
      <c r="CF166">
        <f t="shared" si="41"/>
        <v>345605.81999999995</v>
      </c>
      <c r="CG166" t="str">
        <f>CHOOSE(MATCH(C166,{"North","West","South","East"},0),"Zone 1","Zone 2","Zone 3","Zone 4")</f>
        <v>Zone 1</v>
      </c>
      <c r="CH166" t="str" cm="1">
        <f t="array" ref="CH166">_xlfn.SWITCH(N166,"Card","Card Payment","UPI", "UPI Payment","Cash","Cash Payment","NetBanking", "NetBanking Payment", "Unknown")</f>
        <v>UPI Payment</v>
      </c>
      <c r="CI166" t="str" cm="1">
        <f t="array" ref="CI166">_xlfn.IFS(Sales_Data!J166&lt;=5,"Low",Sales_Data!J166&lt;=10,"Medium",Sales_Data!J166&gt;10,"High")</f>
        <v>Low</v>
      </c>
    </row>
    <row r="167" spans="1:87" x14ac:dyDescent="0.3">
      <c r="A167">
        <v>1167</v>
      </c>
      <c r="B167" s="1">
        <v>45601</v>
      </c>
      <c r="C167" t="s">
        <v>50</v>
      </c>
      <c r="D167" t="s">
        <v>28</v>
      </c>
      <c r="E167" t="s">
        <v>24</v>
      </c>
      <c r="F167" t="s">
        <v>19</v>
      </c>
      <c r="G167" t="s">
        <v>65</v>
      </c>
      <c r="H167">
        <v>1</v>
      </c>
      <c r="I167">
        <v>3593</v>
      </c>
      <c r="J167">
        <v>15</v>
      </c>
      <c r="K167">
        <v>3054.05</v>
      </c>
      <c r="L167">
        <v>2367.8000000000002</v>
      </c>
      <c r="M167">
        <v>686.25</v>
      </c>
      <c r="N167" t="s">
        <v>21</v>
      </c>
      <c r="O167">
        <v>5</v>
      </c>
      <c r="P167">
        <v>3.9</v>
      </c>
      <c r="Q167">
        <f t="shared" si="29"/>
        <v>199</v>
      </c>
      <c r="R167" t="str">
        <f t="shared" si="30"/>
        <v>Mouse</v>
      </c>
      <c r="S167" t="e">
        <f t="shared" si="31"/>
        <v>#N/A</v>
      </c>
      <c r="AK167">
        <v>1156</v>
      </c>
      <c r="AL167">
        <v>45500</v>
      </c>
      <c r="AM167" t="str">
        <v>West</v>
      </c>
      <c r="AN167" t="str">
        <v>Karan</v>
      </c>
      <c r="AO167" t="str">
        <v>Customer_16</v>
      </c>
      <c r="AP167" t="str">
        <v>Furniture</v>
      </c>
      <c r="AQ167" t="str">
        <v>Printer</v>
      </c>
      <c r="AR167">
        <v>2</v>
      </c>
      <c r="AS167">
        <v>27935</v>
      </c>
      <c r="AT167">
        <v>20</v>
      </c>
      <c r="AU167">
        <v>44696</v>
      </c>
      <c r="AV167">
        <v>31376.79</v>
      </c>
      <c r="AW167">
        <v>13319.21</v>
      </c>
      <c r="AX167" t="str">
        <v>Cash</v>
      </c>
      <c r="AY167">
        <v>8</v>
      </c>
      <c r="AZ167">
        <v>5</v>
      </c>
      <c r="BA167">
        <v>165</v>
      </c>
      <c r="BB167" t="str">
        <v>Printer</v>
      </c>
      <c r="BC167" s="6">
        <f t="shared" si="32"/>
        <v>4</v>
      </c>
      <c r="BD167" t="str">
        <f t="shared" si="33"/>
        <v/>
      </c>
      <c r="BE167" s="8">
        <f t="shared" si="34"/>
        <v>0.22470162571012262</v>
      </c>
      <c r="BF167" t="str">
        <v>Customer_46</v>
      </c>
      <c r="BG167" t="str">
        <f t="shared" si="35"/>
        <v>North-Mouse</v>
      </c>
      <c r="BH167">
        <f t="shared" si="36"/>
        <v>2024</v>
      </c>
      <c r="BI167" t="str">
        <f t="shared" si="37"/>
        <v>November</v>
      </c>
      <c r="BJ167">
        <f t="shared" ca="1" si="28"/>
        <v>432</v>
      </c>
      <c r="BK167" s="8">
        <f t="shared" si="38"/>
        <v>0.22470162571012262</v>
      </c>
      <c r="BL167">
        <f t="shared" si="39"/>
        <v>41775</v>
      </c>
      <c r="BM167">
        <f t="shared" si="40"/>
        <v>3</v>
      </c>
      <c r="BN167">
        <v>1166</v>
      </c>
      <c r="BO167">
        <v>45628</v>
      </c>
      <c r="BP167" t="str">
        <v>North</v>
      </c>
      <c r="BQ167" t="str">
        <v>Sneha</v>
      </c>
      <c r="BR167" t="str">
        <v>Customer_37</v>
      </c>
      <c r="BS167" t="str">
        <v>Furniture</v>
      </c>
      <c r="BT167" t="str">
        <v>Phone</v>
      </c>
      <c r="BU167">
        <v>8</v>
      </c>
      <c r="BV167">
        <v>39543</v>
      </c>
      <c r="BW167">
        <v>5</v>
      </c>
      <c r="BX167">
        <v>300526.8</v>
      </c>
      <c r="BY167">
        <v>200580.67</v>
      </c>
      <c r="BZ167">
        <v>99946.13</v>
      </c>
      <c r="CA167" t="str">
        <v>UPI</v>
      </c>
      <c r="CB167">
        <v>8</v>
      </c>
      <c r="CC167">
        <v>4.0999999999999996</v>
      </c>
      <c r="CD167" t="b">
        <f>COUNTIF(Sales_Data!E:E,Sales_Data!E167)&gt;1</f>
        <v>1</v>
      </c>
      <c r="CE167">
        <f>SUM(Sales_Data!$K$2:'Sales_Data'!K167)</f>
        <v>40392102.249999993</v>
      </c>
      <c r="CF167">
        <f t="shared" si="41"/>
        <v>3512.1574999999998</v>
      </c>
      <c r="CG167" t="str">
        <f>CHOOSE(MATCH(C167,{"North","West","South","East"},0),"Zone 1","Zone 2","Zone 3","Zone 4")</f>
        <v>Zone 1</v>
      </c>
      <c r="CH167" t="str" cm="1">
        <f t="array" ref="CH167">_xlfn.SWITCH(N167,"Card","Card Payment","UPI", "UPI Payment","Cash","Cash Payment","NetBanking", "NetBanking Payment", "Unknown")</f>
        <v>Card Payment</v>
      </c>
      <c r="CI167" t="str" cm="1">
        <f t="array" ref="CI167">_xlfn.IFS(Sales_Data!J167&lt;=5,"Low",Sales_Data!J167&lt;=10,"Medium",Sales_Data!J167&gt;10,"High")</f>
        <v>High</v>
      </c>
    </row>
    <row r="168" spans="1:87" x14ac:dyDescent="0.3">
      <c r="A168">
        <v>1168</v>
      </c>
      <c r="B168" s="1">
        <v>45446</v>
      </c>
      <c r="C168" t="s">
        <v>22</v>
      </c>
      <c r="D168" t="s">
        <v>17</v>
      </c>
      <c r="E168" t="s">
        <v>76</v>
      </c>
      <c r="F168" t="s">
        <v>19</v>
      </c>
      <c r="G168" t="s">
        <v>65</v>
      </c>
      <c r="H168">
        <v>12</v>
      </c>
      <c r="I168">
        <v>4553</v>
      </c>
      <c r="J168">
        <v>20</v>
      </c>
      <c r="K168">
        <v>43708.800000000003</v>
      </c>
      <c r="L168">
        <v>37099.79</v>
      </c>
      <c r="M168">
        <v>6609.01</v>
      </c>
      <c r="N168" t="s">
        <v>37</v>
      </c>
      <c r="O168">
        <v>2</v>
      </c>
      <c r="P168">
        <v>4.3</v>
      </c>
      <c r="Q168">
        <f t="shared" si="29"/>
        <v>182</v>
      </c>
      <c r="R168" t="str">
        <f t="shared" si="30"/>
        <v>Mouse</v>
      </c>
      <c r="S168" t="e">
        <f t="shared" si="31"/>
        <v>#N/A</v>
      </c>
      <c r="AK168">
        <v>1068</v>
      </c>
      <c r="AL168">
        <v>45325</v>
      </c>
      <c r="AM168" t="str">
        <v>West</v>
      </c>
      <c r="AN168" t="str">
        <v>Megha</v>
      </c>
      <c r="AO168" t="str">
        <v>Customer_4</v>
      </c>
      <c r="AP168" t="str">
        <v>Furniture</v>
      </c>
      <c r="AQ168" t="str">
        <v>Monitor</v>
      </c>
      <c r="AR168">
        <v>18</v>
      </c>
      <c r="AS168">
        <v>3192</v>
      </c>
      <c r="AT168">
        <v>5</v>
      </c>
      <c r="AU168">
        <v>54583.199999999997</v>
      </c>
      <c r="AV168">
        <v>41584.82</v>
      </c>
      <c r="AW168">
        <v>12998.38</v>
      </c>
      <c r="AX168" t="str">
        <v>Cash</v>
      </c>
      <c r="AY168">
        <v>4</v>
      </c>
      <c r="AZ168">
        <v>4.4000000000000004</v>
      </c>
      <c r="BA168">
        <v>166</v>
      </c>
      <c r="BB168" t="str">
        <v>Monitor</v>
      </c>
      <c r="BC168" s="6">
        <f t="shared" si="32"/>
        <v>2</v>
      </c>
      <c r="BD168" t="str">
        <f t="shared" si="33"/>
        <v/>
      </c>
      <c r="BE168" s="8">
        <f t="shared" si="34"/>
        <v>0.15120547807306536</v>
      </c>
      <c r="BF168" t="str">
        <v>Customer_46</v>
      </c>
      <c r="BG168" t="str">
        <f t="shared" si="35"/>
        <v>South-Mouse</v>
      </c>
      <c r="BH168">
        <f t="shared" si="36"/>
        <v>2024</v>
      </c>
      <c r="BI168" t="str">
        <f t="shared" si="37"/>
        <v>June</v>
      </c>
      <c r="BJ168">
        <f t="shared" ca="1" si="28"/>
        <v>543</v>
      </c>
      <c r="BK168" s="8">
        <f t="shared" si="38"/>
        <v>0.15120547807306536</v>
      </c>
      <c r="BL168">
        <f t="shared" si="39"/>
        <v>41775</v>
      </c>
      <c r="BM168">
        <f t="shared" si="40"/>
        <v>63</v>
      </c>
      <c r="BN168">
        <v>1167</v>
      </c>
      <c r="BO168">
        <v>45601</v>
      </c>
      <c r="BP168" t="str">
        <v>North</v>
      </c>
      <c r="BQ168" t="str">
        <v>Arjun</v>
      </c>
      <c r="BR168" t="str">
        <v>Customer_49</v>
      </c>
      <c r="BS168" t="str">
        <v>Electronics</v>
      </c>
      <c r="BT168" t="str">
        <v>Mouse</v>
      </c>
      <c r="BU168">
        <v>1</v>
      </c>
      <c r="BV168">
        <v>3593</v>
      </c>
      <c r="BW168">
        <v>15</v>
      </c>
      <c r="BX168">
        <v>3054.05</v>
      </c>
      <c r="BY168">
        <v>2367.8000000000002</v>
      </c>
      <c r="BZ168">
        <v>686.25</v>
      </c>
      <c r="CA168" t="str">
        <v>Card</v>
      </c>
      <c r="CB168">
        <v>5</v>
      </c>
      <c r="CC168">
        <v>3.9</v>
      </c>
      <c r="CD168" t="b">
        <f>COUNTIF(Sales_Data!E:E,Sales_Data!E168)&gt;1</f>
        <v>1</v>
      </c>
      <c r="CE168">
        <f>SUM(Sales_Data!$K$2:'Sales_Data'!K168)</f>
        <v>40435811.04999999</v>
      </c>
      <c r="CF168">
        <f t="shared" si="41"/>
        <v>50265.120000000003</v>
      </c>
      <c r="CG168" t="str">
        <f>CHOOSE(MATCH(C168,{"North","West","South","East"},0),"Zone 1","Zone 2","Zone 3","Zone 4")</f>
        <v>Zone 3</v>
      </c>
      <c r="CH168" t="str" cm="1">
        <f t="array" ref="CH168">_xlfn.SWITCH(N168,"Card","Card Payment","UPI", "UPI Payment","Cash","Cash Payment","NetBanking", "NetBanking Payment", "Unknown")</f>
        <v>Cash Payment</v>
      </c>
      <c r="CI168" t="str" cm="1">
        <f t="array" ref="CI168">_xlfn.IFS(Sales_Data!J168&lt;=5,"Low",Sales_Data!J168&lt;=10,"Medium",Sales_Data!J168&gt;10,"High")</f>
        <v>High</v>
      </c>
    </row>
    <row r="169" spans="1:87" x14ac:dyDescent="0.3">
      <c r="A169">
        <v>1169</v>
      </c>
      <c r="B169" s="1">
        <v>45525</v>
      </c>
      <c r="C169" t="s">
        <v>22</v>
      </c>
      <c r="D169" t="s">
        <v>57</v>
      </c>
      <c r="E169" t="s">
        <v>92</v>
      </c>
      <c r="F169" t="s">
        <v>25</v>
      </c>
      <c r="G169" t="s">
        <v>36</v>
      </c>
      <c r="H169">
        <v>3</v>
      </c>
      <c r="I169">
        <v>26415</v>
      </c>
      <c r="J169">
        <v>0</v>
      </c>
      <c r="K169">
        <v>79245</v>
      </c>
      <c r="L169">
        <v>51424.29</v>
      </c>
      <c r="M169">
        <v>27820.71</v>
      </c>
      <c r="N169" t="s">
        <v>37</v>
      </c>
      <c r="O169">
        <v>8</v>
      </c>
      <c r="P169">
        <v>3.2</v>
      </c>
      <c r="Q169">
        <f t="shared" si="29"/>
        <v>135</v>
      </c>
      <c r="R169" t="str">
        <f t="shared" si="30"/>
        <v>Laptop</v>
      </c>
      <c r="S169" t="e">
        <f t="shared" si="31"/>
        <v>#N/A</v>
      </c>
      <c r="AK169">
        <v>1016</v>
      </c>
      <c r="AL169">
        <v>45516</v>
      </c>
      <c r="AM169" t="str">
        <v>West</v>
      </c>
      <c r="AN169" t="str">
        <v>Arjun</v>
      </c>
      <c r="AO169" t="str">
        <v>Customer_25</v>
      </c>
      <c r="AP169" t="str">
        <v>Furniture</v>
      </c>
      <c r="AQ169" t="str">
        <v>Keyboard</v>
      </c>
      <c r="AR169">
        <v>15</v>
      </c>
      <c r="AS169">
        <v>3653</v>
      </c>
      <c r="AT169">
        <v>0</v>
      </c>
      <c r="AU169">
        <v>54795</v>
      </c>
      <c r="AV169">
        <v>41960.33</v>
      </c>
      <c r="AW169">
        <v>12834.67</v>
      </c>
      <c r="AX169" t="str">
        <v>NetBanking</v>
      </c>
      <c r="AY169">
        <v>7</v>
      </c>
      <c r="AZ169">
        <v>2.6</v>
      </c>
      <c r="BA169">
        <v>167</v>
      </c>
      <c r="BB169" t="str">
        <v>Keyboard</v>
      </c>
      <c r="BC169" s="6">
        <f t="shared" si="32"/>
        <v>3</v>
      </c>
      <c r="BD169" t="str">
        <f t="shared" si="33"/>
        <v/>
      </c>
      <c r="BE169" s="8">
        <f t="shared" si="34"/>
        <v>0.35107211811470757</v>
      </c>
      <c r="BF169" t="str">
        <v>Customer_46</v>
      </c>
      <c r="BG169" t="str">
        <f t="shared" si="35"/>
        <v>South-Laptop</v>
      </c>
      <c r="BH169">
        <f t="shared" si="36"/>
        <v>2024</v>
      </c>
      <c r="BI169" t="str">
        <f t="shared" si="37"/>
        <v>August</v>
      </c>
      <c r="BJ169">
        <f t="shared" ca="1" si="28"/>
        <v>486</v>
      </c>
      <c r="BK169" s="8">
        <f t="shared" si="38"/>
        <v>0.35107211811470757</v>
      </c>
      <c r="BL169">
        <f t="shared" si="39"/>
        <v>30283</v>
      </c>
      <c r="BM169">
        <f t="shared" si="40"/>
        <v>164</v>
      </c>
      <c r="BN169">
        <v>1168</v>
      </c>
      <c r="BO169">
        <v>45446</v>
      </c>
      <c r="BP169" t="str">
        <v>South</v>
      </c>
      <c r="BQ169" t="str">
        <v>Rohan</v>
      </c>
      <c r="BR169" t="str">
        <v>Customer_37</v>
      </c>
      <c r="BS169" t="str">
        <v>Electronics</v>
      </c>
      <c r="BT169" t="str">
        <v>Mouse</v>
      </c>
      <c r="BU169">
        <v>12</v>
      </c>
      <c r="BV169">
        <v>4553</v>
      </c>
      <c r="BW169">
        <v>20</v>
      </c>
      <c r="BX169">
        <v>43708.800000000003</v>
      </c>
      <c r="BY169">
        <v>37099.79</v>
      </c>
      <c r="BZ169">
        <v>6609.01</v>
      </c>
      <c r="CA169" t="str">
        <v>Cash</v>
      </c>
      <c r="CB169">
        <v>2</v>
      </c>
      <c r="CC169">
        <v>4.3</v>
      </c>
      <c r="CD169" t="b">
        <f>COUNTIF(Sales_Data!E:E,Sales_Data!E169)&gt;1</f>
        <v>1</v>
      </c>
      <c r="CE169">
        <f>SUM(Sales_Data!$K$2:'Sales_Data'!K169)</f>
        <v>40515056.04999999</v>
      </c>
      <c r="CF169">
        <f t="shared" si="41"/>
        <v>91131.75</v>
      </c>
      <c r="CG169" t="str">
        <f>CHOOSE(MATCH(C169,{"North","West","South","East"},0),"Zone 1","Zone 2","Zone 3","Zone 4")</f>
        <v>Zone 3</v>
      </c>
      <c r="CH169" t="str" cm="1">
        <f t="array" ref="CH169">_xlfn.SWITCH(N169,"Card","Card Payment","UPI", "UPI Payment","Cash","Cash Payment","NetBanking", "NetBanking Payment", "Unknown")</f>
        <v>Cash Payment</v>
      </c>
      <c r="CI169" t="str" cm="1">
        <f t="array" ref="CI169">_xlfn.IFS(Sales_Data!J169&lt;=5,"Low",Sales_Data!J169&lt;=10,"Medium",Sales_Data!J169&gt;10,"High")</f>
        <v>Low</v>
      </c>
    </row>
    <row r="170" spans="1:87" x14ac:dyDescent="0.3">
      <c r="A170">
        <v>1170</v>
      </c>
      <c r="B170" s="1">
        <v>45750</v>
      </c>
      <c r="C170" t="s">
        <v>50</v>
      </c>
      <c r="D170" t="s">
        <v>23</v>
      </c>
      <c r="E170" t="s">
        <v>80</v>
      </c>
      <c r="F170" t="s">
        <v>25</v>
      </c>
      <c r="G170" t="s">
        <v>47</v>
      </c>
      <c r="H170">
        <v>19</v>
      </c>
      <c r="I170">
        <v>695</v>
      </c>
      <c r="J170">
        <v>20</v>
      </c>
      <c r="K170">
        <v>10564</v>
      </c>
      <c r="L170">
        <v>7178.93</v>
      </c>
      <c r="M170">
        <v>3385.07</v>
      </c>
      <c r="N170" t="s">
        <v>37</v>
      </c>
      <c r="O170">
        <v>10</v>
      </c>
      <c r="P170">
        <v>4.5</v>
      </c>
      <c r="Q170">
        <f t="shared" si="29"/>
        <v>192</v>
      </c>
      <c r="R170" t="str">
        <f t="shared" si="30"/>
        <v>Monitor</v>
      </c>
      <c r="S170" t="e">
        <f t="shared" si="31"/>
        <v>#N/A</v>
      </c>
      <c r="AK170">
        <v>1174</v>
      </c>
      <c r="AL170">
        <v>45784</v>
      </c>
      <c r="AM170" t="str">
        <v>South</v>
      </c>
      <c r="AN170" t="str">
        <v>Rohan</v>
      </c>
      <c r="AO170" t="str">
        <v>Customer_32</v>
      </c>
      <c r="AP170" t="str">
        <v>Office Supplies</v>
      </c>
      <c r="AQ170" t="str">
        <v>Keyboard</v>
      </c>
      <c r="AR170">
        <v>2</v>
      </c>
      <c r="AS170">
        <v>41011</v>
      </c>
      <c r="AT170">
        <v>10</v>
      </c>
      <c r="AU170">
        <v>73819.8</v>
      </c>
      <c r="AV170">
        <v>61864.24</v>
      </c>
      <c r="AW170">
        <v>11955.56</v>
      </c>
      <c r="AX170" t="str">
        <v>NetBanking</v>
      </c>
      <c r="AY170">
        <v>2</v>
      </c>
      <c r="AZ170">
        <v>3.4</v>
      </c>
      <c r="BA170">
        <v>168</v>
      </c>
      <c r="BB170" t="str">
        <v>Keyboard</v>
      </c>
      <c r="BC170" s="6">
        <f t="shared" si="32"/>
        <v>1</v>
      </c>
      <c r="BD170" t="str">
        <f t="shared" si="33"/>
        <v/>
      </c>
      <c r="BE170" s="8">
        <f t="shared" si="34"/>
        <v>0.32043449450965544</v>
      </c>
      <c r="BF170" t="str">
        <v>Customer_47</v>
      </c>
      <c r="BG170" t="str">
        <f t="shared" si="35"/>
        <v>North-Monitor</v>
      </c>
      <c r="BH170">
        <f t="shared" si="36"/>
        <v>2025</v>
      </c>
      <c r="BI170" t="str">
        <f t="shared" si="37"/>
        <v>April</v>
      </c>
      <c r="BJ170">
        <f t="shared" ca="1" si="28"/>
        <v>325</v>
      </c>
      <c r="BK170" s="8">
        <f t="shared" si="38"/>
        <v>0.32043449450965544</v>
      </c>
      <c r="BL170">
        <f t="shared" si="39"/>
        <v>26687</v>
      </c>
      <c r="BM170">
        <f t="shared" si="40"/>
        <v>74</v>
      </c>
      <c r="BN170">
        <v>1169</v>
      </c>
      <c r="BO170">
        <v>45525</v>
      </c>
      <c r="BP170" t="str">
        <v>South</v>
      </c>
      <c r="BQ170" t="str">
        <v>Megha</v>
      </c>
      <c r="BR170" t="str">
        <v>Customer_31</v>
      </c>
      <c r="BS170" t="str">
        <v>Office Supplies</v>
      </c>
      <c r="BT170" t="str">
        <v>Laptop</v>
      </c>
      <c r="BU170">
        <v>3</v>
      </c>
      <c r="BV170">
        <v>26415</v>
      </c>
      <c r="BW170">
        <v>0</v>
      </c>
      <c r="BX170">
        <v>79245</v>
      </c>
      <c r="BY170">
        <v>51424.29</v>
      </c>
      <c r="BZ170">
        <v>27820.71</v>
      </c>
      <c r="CA170" t="str">
        <v>Cash</v>
      </c>
      <c r="CB170">
        <v>8</v>
      </c>
      <c r="CC170">
        <v>3.2</v>
      </c>
      <c r="CD170" t="b">
        <f>COUNTIF(Sales_Data!E:E,Sales_Data!E170)&gt;1</f>
        <v>1</v>
      </c>
      <c r="CE170">
        <f>SUM(Sales_Data!$K$2:'Sales_Data'!K170)</f>
        <v>40525620.04999999</v>
      </c>
      <c r="CF170">
        <f t="shared" si="41"/>
        <v>12148.599999999999</v>
      </c>
      <c r="CG170" t="str">
        <f>CHOOSE(MATCH(C170,{"North","West","South","East"},0),"Zone 1","Zone 2","Zone 3","Zone 4")</f>
        <v>Zone 1</v>
      </c>
      <c r="CH170" t="str" cm="1">
        <f t="array" ref="CH170">_xlfn.SWITCH(N170,"Card","Card Payment","UPI", "UPI Payment","Cash","Cash Payment","NetBanking", "NetBanking Payment", "Unknown")</f>
        <v>Cash Payment</v>
      </c>
      <c r="CI170" t="str" cm="1">
        <f t="array" ref="CI170">_xlfn.IFS(Sales_Data!J170&lt;=5,"Low",Sales_Data!J170&lt;=10,"Medium",Sales_Data!J170&gt;10,"High")</f>
        <v>High</v>
      </c>
    </row>
    <row r="171" spans="1:87" x14ac:dyDescent="0.3">
      <c r="A171">
        <v>1171</v>
      </c>
      <c r="B171" s="1">
        <v>45314</v>
      </c>
      <c r="C171" t="s">
        <v>33</v>
      </c>
      <c r="D171" t="s">
        <v>42</v>
      </c>
      <c r="E171" t="s">
        <v>56</v>
      </c>
      <c r="F171" t="s">
        <v>19</v>
      </c>
      <c r="G171" t="s">
        <v>44</v>
      </c>
      <c r="H171">
        <v>9</v>
      </c>
      <c r="I171">
        <v>16370</v>
      </c>
      <c r="J171">
        <v>5</v>
      </c>
      <c r="K171">
        <v>139963.5</v>
      </c>
      <c r="L171">
        <v>78551.740000000005</v>
      </c>
      <c r="M171">
        <v>61411.76</v>
      </c>
      <c r="N171" t="s">
        <v>21</v>
      </c>
      <c r="O171">
        <v>3</v>
      </c>
      <c r="P171">
        <v>3.2</v>
      </c>
      <c r="Q171">
        <f t="shared" si="29"/>
        <v>93</v>
      </c>
      <c r="R171" t="str">
        <f t="shared" si="30"/>
        <v>Printer</v>
      </c>
      <c r="S171" t="e">
        <f t="shared" si="31"/>
        <v>#N/A</v>
      </c>
      <c r="AK171">
        <v>1125</v>
      </c>
      <c r="AL171">
        <v>45357</v>
      </c>
      <c r="AM171" t="str">
        <v>North</v>
      </c>
      <c r="AN171" t="str">
        <v>Priya</v>
      </c>
      <c r="AO171" t="str">
        <v>Customer_47</v>
      </c>
      <c r="AP171" t="str">
        <v>Office Supplies</v>
      </c>
      <c r="AQ171" t="str">
        <v>Mouse</v>
      </c>
      <c r="AR171">
        <v>10</v>
      </c>
      <c r="AS171">
        <v>7565</v>
      </c>
      <c r="AT171">
        <v>15</v>
      </c>
      <c r="AU171">
        <v>64302.5</v>
      </c>
      <c r="AV171">
        <v>52571.86</v>
      </c>
      <c r="AW171">
        <v>11730.64</v>
      </c>
      <c r="AX171" t="str">
        <v>NetBanking</v>
      </c>
      <c r="AY171">
        <v>2</v>
      </c>
      <c r="AZ171">
        <v>3.4</v>
      </c>
      <c r="BA171">
        <v>169</v>
      </c>
      <c r="BB171" t="str">
        <v>Mouse</v>
      </c>
      <c r="BC171" s="6">
        <f t="shared" si="32"/>
        <v>0</v>
      </c>
      <c r="BD171" t="str">
        <f t="shared" si="33"/>
        <v/>
      </c>
      <c r="BE171" s="8">
        <f t="shared" si="34"/>
        <v>0.43876982213219878</v>
      </c>
      <c r="BF171" t="str">
        <v>Customer_47</v>
      </c>
      <c r="BG171" t="str">
        <f t="shared" si="35"/>
        <v>East-Printer</v>
      </c>
      <c r="BH171">
        <f t="shared" si="36"/>
        <v>2024</v>
      </c>
      <c r="BI171" t="str">
        <f t="shared" si="37"/>
        <v>January</v>
      </c>
      <c r="BJ171">
        <f t="shared" ca="1" si="28"/>
        <v>637</v>
      </c>
      <c r="BK171" s="8">
        <f t="shared" si="38"/>
        <v>0.43876982213219878</v>
      </c>
      <c r="BL171">
        <f t="shared" si="39"/>
        <v>1561</v>
      </c>
      <c r="BM171">
        <f t="shared" si="40"/>
        <v>18</v>
      </c>
      <c r="BN171">
        <v>1170</v>
      </c>
      <c r="BO171">
        <v>45750</v>
      </c>
      <c r="BP171" t="str">
        <v>North</v>
      </c>
      <c r="BQ171" t="str">
        <v>Karan</v>
      </c>
      <c r="BR171" t="str">
        <v>Customer_41</v>
      </c>
      <c r="BS171" t="str">
        <v>Office Supplies</v>
      </c>
      <c r="BT171" t="str">
        <v>Monitor</v>
      </c>
      <c r="BU171">
        <v>19</v>
      </c>
      <c r="BV171">
        <v>695</v>
      </c>
      <c r="BW171">
        <v>20</v>
      </c>
      <c r="BX171">
        <v>10564</v>
      </c>
      <c r="BY171">
        <v>7178.93</v>
      </c>
      <c r="BZ171">
        <v>3385.07</v>
      </c>
      <c r="CA171" t="str">
        <v>Cash</v>
      </c>
      <c r="CB171">
        <v>10</v>
      </c>
      <c r="CC171">
        <v>4.5</v>
      </c>
      <c r="CD171" t="b">
        <f>COUNTIF(Sales_Data!E:E,Sales_Data!E171)&gt;1</f>
        <v>1</v>
      </c>
      <c r="CE171">
        <f>SUM(Sales_Data!$K$2:'Sales_Data'!K171)</f>
        <v>40665583.54999999</v>
      </c>
      <c r="CF171">
        <f t="shared" si="41"/>
        <v>160958.02499999999</v>
      </c>
      <c r="CG171" t="str">
        <f>CHOOSE(MATCH(C171,{"North","West","South","East"},0),"Zone 1","Zone 2","Zone 3","Zone 4")</f>
        <v>Zone 4</v>
      </c>
      <c r="CH171" t="str" cm="1">
        <f t="array" ref="CH171">_xlfn.SWITCH(N171,"Card","Card Payment","UPI", "UPI Payment","Cash","Cash Payment","NetBanking", "NetBanking Payment", "Unknown")</f>
        <v>Card Payment</v>
      </c>
      <c r="CI171" t="str" cm="1">
        <f t="array" ref="CI171">_xlfn.IFS(Sales_Data!J171&lt;=5,"Low",Sales_Data!J171&lt;=10,"Medium",Sales_Data!J171&gt;10,"High")</f>
        <v>Low</v>
      </c>
    </row>
    <row r="172" spans="1:87" x14ac:dyDescent="0.3">
      <c r="A172">
        <v>1172</v>
      </c>
      <c r="B172" s="1">
        <v>45478</v>
      </c>
      <c r="C172" t="s">
        <v>33</v>
      </c>
      <c r="D172" t="s">
        <v>28</v>
      </c>
      <c r="E172" t="s">
        <v>52</v>
      </c>
      <c r="F172" t="s">
        <v>25</v>
      </c>
      <c r="G172" t="s">
        <v>26</v>
      </c>
      <c r="H172">
        <v>6</v>
      </c>
      <c r="I172">
        <v>45974</v>
      </c>
      <c r="J172">
        <v>15</v>
      </c>
      <c r="K172">
        <v>234467.4</v>
      </c>
      <c r="L172">
        <v>189358.89</v>
      </c>
      <c r="M172">
        <v>45108.51</v>
      </c>
      <c r="N172" t="s">
        <v>21</v>
      </c>
      <c r="O172">
        <v>4</v>
      </c>
      <c r="P172">
        <v>4.7</v>
      </c>
      <c r="Q172">
        <f t="shared" si="29"/>
        <v>114</v>
      </c>
      <c r="R172" t="str">
        <f t="shared" si="30"/>
        <v>Keyboard</v>
      </c>
      <c r="S172" t="e">
        <f t="shared" si="31"/>
        <v>#N/A</v>
      </c>
      <c r="AK172">
        <v>1193</v>
      </c>
      <c r="AL172">
        <v>45397</v>
      </c>
      <c r="AM172" t="str">
        <v>West</v>
      </c>
      <c r="AN172" t="str">
        <v>Aman</v>
      </c>
      <c r="AO172" t="str">
        <v>Customer_26</v>
      </c>
      <c r="AP172" t="str">
        <v>Electronics</v>
      </c>
      <c r="AQ172" t="str">
        <v>Monitor</v>
      </c>
      <c r="AR172">
        <v>15</v>
      </c>
      <c r="AS172">
        <v>2414</v>
      </c>
      <c r="AT172">
        <v>0</v>
      </c>
      <c r="AU172">
        <v>36210</v>
      </c>
      <c r="AV172">
        <v>24825.37</v>
      </c>
      <c r="AW172">
        <v>11384.63</v>
      </c>
      <c r="AX172" t="str">
        <v>Card</v>
      </c>
      <c r="AY172">
        <v>7</v>
      </c>
      <c r="AZ172">
        <v>4.3</v>
      </c>
      <c r="BA172">
        <v>170</v>
      </c>
      <c r="BB172" t="str">
        <v>Monitor</v>
      </c>
      <c r="BC172" s="6">
        <f t="shared" si="32"/>
        <v>2</v>
      </c>
      <c r="BD172" t="str">
        <f t="shared" si="33"/>
        <v/>
      </c>
      <c r="BE172" s="8">
        <f t="shared" si="34"/>
        <v>0.19238712929814553</v>
      </c>
      <c r="BF172" t="str">
        <v>Customer_47</v>
      </c>
      <c r="BG172" t="str">
        <f t="shared" si="35"/>
        <v>East-Keyboard</v>
      </c>
      <c r="BH172">
        <f t="shared" si="36"/>
        <v>2024</v>
      </c>
      <c r="BI172" t="str">
        <f t="shared" si="37"/>
        <v>July</v>
      </c>
      <c r="BJ172">
        <f t="shared" ca="1" si="28"/>
        <v>519</v>
      </c>
      <c r="BK172" s="8">
        <f t="shared" si="38"/>
        <v>0.19238712929814553</v>
      </c>
      <c r="BL172">
        <f t="shared" si="39"/>
        <v>23829</v>
      </c>
      <c r="BM172">
        <f t="shared" si="40"/>
        <v>14</v>
      </c>
      <c r="BN172">
        <v>1171</v>
      </c>
      <c r="BO172">
        <v>45314</v>
      </c>
      <c r="BP172" t="str">
        <v>East</v>
      </c>
      <c r="BQ172" t="str">
        <v>Priya</v>
      </c>
      <c r="BR172" t="str">
        <v>Customer_29</v>
      </c>
      <c r="BS172" t="str">
        <v>Electronics</v>
      </c>
      <c r="BT172" t="str">
        <v>Printer</v>
      </c>
      <c r="BU172">
        <v>9</v>
      </c>
      <c r="BV172">
        <v>16370</v>
      </c>
      <c r="BW172">
        <v>5</v>
      </c>
      <c r="BX172">
        <v>139963.5</v>
      </c>
      <c r="BY172">
        <v>78551.740000000005</v>
      </c>
      <c r="BZ172">
        <v>61411.76</v>
      </c>
      <c r="CA172" t="str">
        <v>Card</v>
      </c>
      <c r="CB172">
        <v>3</v>
      </c>
      <c r="CC172">
        <v>3.2</v>
      </c>
      <c r="CD172" t="b">
        <f>COUNTIF(Sales_Data!E:E,Sales_Data!E172)&gt;1</f>
        <v>1</v>
      </c>
      <c r="CE172">
        <f>SUM(Sales_Data!$K$2:'Sales_Data'!K172)</f>
        <v>40900050.949999988</v>
      </c>
      <c r="CF172">
        <f t="shared" si="41"/>
        <v>269637.50999999995</v>
      </c>
      <c r="CG172" t="str">
        <f>CHOOSE(MATCH(C172,{"North","West","South","East"},0),"Zone 1","Zone 2","Zone 3","Zone 4")</f>
        <v>Zone 4</v>
      </c>
      <c r="CH172" t="str" cm="1">
        <f t="array" ref="CH172">_xlfn.SWITCH(N172,"Card","Card Payment","UPI", "UPI Payment","Cash","Cash Payment","NetBanking", "NetBanking Payment", "Unknown")</f>
        <v>Card Payment</v>
      </c>
      <c r="CI172" t="str" cm="1">
        <f t="array" ref="CI172">_xlfn.IFS(Sales_Data!J172&lt;=5,"Low",Sales_Data!J172&lt;=10,"Medium",Sales_Data!J172&gt;10,"High")</f>
        <v>High</v>
      </c>
    </row>
    <row r="173" spans="1:87" x14ac:dyDescent="0.3">
      <c r="A173">
        <v>1173</v>
      </c>
      <c r="B173" s="1">
        <v>45455</v>
      </c>
      <c r="C173" t="s">
        <v>50</v>
      </c>
      <c r="D173" t="s">
        <v>17</v>
      </c>
      <c r="E173" t="s">
        <v>60</v>
      </c>
      <c r="F173" t="s">
        <v>25</v>
      </c>
      <c r="G173" t="s">
        <v>26</v>
      </c>
      <c r="H173">
        <v>18</v>
      </c>
      <c r="I173">
        <v>2591</v>
      </c>
      <c r="J173">
        <v>0</v>
      </c>
      <c r="K173">
        <v>46638</v>
      </c>
      <c r="L173">
        <v>32930.53</v>
      </c>
      <c r="M173">
        <v>13707.47</v>
      </c>
      <c r="N173" t="s">
        <v>48</v>
      </c>
      <c r="O173">
        <v>3</v>
      </c>
      <c r="P173">
        <v>4.8</v>
      </c>
      <c r="Q173">
        <f t="shared" si="29"/>
        <v>163</v>
      </c>
      <c r="R173" t="str">
        <f t="shared" si="30"/>
        <v>Keyboard</v>
      </c>
      <c r="S173" t="e">
        <f t="shared" si="31"/>
        <v>#N/A</v>
      </c>
      <c r="AK173">
        <v>1120</v>
      </c>
      <c r="AL173">
        <v>45491</v>
      </c>
      <c r="AM173" t="str">
        <v>South</v>
      </c>
      <c r="AN173" t="str">
        <v>Karan</v>
      </c>
      <c r="AO173" t="str">
        <v>Customer_12</v>
      </c>
      <c r="AP173" t="str">
        <v>Furniture</v>
      </c>
      <c r="AQ173" t="str">
        <v>Phone</v>
      </c>
      <c r="AR173">
        <v>2</v>
      </c>
      <c r="AS173">
        <v>26691</v>
      </c>
      <c r="AT173">
        <v>20</v>
      </c>
      <c r="AU173">
        <v>42705.599999999999</v>
      </c>
      <c r="AV173">
        <v>31330.98</v>
      </c>
      <c r="AW173">
        <v>11374.62</v>
      </c>
      <c r="AX173" t="str">
        <v>Card</v>
      </c>
      <c r="AY173">
        <v>2</v>
      </c>
      <c r="AZ173">
        <v>3.5</v>
      </c>
      <c r="BA173">
        <v>171</v>
      </c>
      <c r="BB173" t="str">
        <v>Phone</v>
      </c>
      <c r="BC173" s="6">
        <f t="shared" si="32"/>
        <v>2</v>
      </c>
      <c r="BD173" t="str">
        <f t="shared" si="33"/>
        <v/>
      </c>
      <c r="BE173" s="8">
        <f t="shared" si="34"/>
        <v>0.29391204597109649</v>
      </c>
      <c r="BF173" t="str">
        <v>Customer_47</v>
      </c>
      <c r="BG173" t="str">
        <f t="shared" si="35"/>
        <v>North-Keyboard</v>
      </c>
      <c r="BH173">
        <f t="shared" si="36"/>
        <v>2024</v>
      </c>
      <c r="BI173" t="str">
        <f t="shared" si="37"/>
        <v>June</v>
      </c>
      <c r="BJ173">
        <f t="shared" ca="1" si="28"/>
        <v>536</v>
      </c>
      <c r="BK173" s="8">
        <f t="shared" si="38"/>
        <v>0.29391204597109649</v>
      </c>
      <c r="BL173">
        <f t="shared" si="39"/>
        <v>23829</v>
      </c>
      <c r="BM173">
        <f t="shared" si="40"/>
        <v>21</v>
      </c>
      <c r="BN173">
        <v>1172</v>
      </c>
      <c r="BO173">
        <v>45478</v>
      </c>
      <c r="BP173" t="str">
        <v>East</v>
      </c>
      <c r="BQ173" t="str">
        <v>Arjun</v>
      </c>
      <c r="BR173" t="str">
        <v>Customer_28</v>
      </c>
      <c r="BS173" t="str">
        <v>Office Supplies</v>
      </c>
      <c r="BT173" t="str">
        <v>Keyboard</v>
      </c>
      <c r="BU173">
        <v>6</v>
      </c>
      <c r="BV173">
        <v>45974</v>
      </c>
      <c r="BW173">
        <v>15</v>
      </c>
      <c r="BX173">
        <v>234467.4</v>
      </c>
      <c r="BY173">
        <v>189358.89</v>
      </c>
      <c r="BZ173">
        <v>45108.51</v>
      </c>
      <c r="CA173" t="str">
        <v>Card</v>
      </c>
      <c r="CB173">
        <v>4</v>
      </c>
      <c r="CC173">
        <v>4.7</v>
      </c>
      <c r="CD173" t="b">
        <f>COUNTIF(Sales_Data!E:E,Sales_Data!E173)&gt;1</f>
        <v>1</v>
      </c>
      <c r="CE173">
        <f>SUM(Sales_Data!$K$2:'Sales_Data'!K173)</f>
        <v>40946688.949999988</v>
      </c>
      <c r="CF173">
        <f t="shared" si="41"/>
        <v>53633.7</v>
      </c>
      <c r="CG173" t="str">
        <f>CHOOSE(MATCH(C173,{"North","West","South","East"},0),"Zone 1","Zone 2","Zone 3","Zone 4")</f>
        <v>Zone 1</v>
      </c>
      <c r="CH173" t="str" cm="1">
        <f t="array" ref="CH173">_xlfn.SWITCH(N173,"Card","Card Payment","UPI", "UPI Payment","Cash","Cash Payment","NetBanking", "NetBanking Payment", "Unknown")</f>
        <v>NetBanking Payment</v>
      </c>
      <c r="CI173" t="str" cm="1">
        <f t="array" ref="CI173">_xlfn.IFS(Sales_Data!J173&lt;=5,"Low",Sales_Data!J173&lt;=10,"Medium",Sales_Data!J173&gt;10,"High")</f>
        <v>Low</v>
      </c>
    </row>
    <row r="174" spans="1:87" x14ac:dyDescent="0.3">
      <c r="A174">
        <v>1174</v>
      </c>
      <c r="B174" s="1">
        <v>45784</v>
      </c>
      <c r="C174" t="s">
        <v>22</v>
      </c>
      <c r="D174" t="s">
        <v>17</v>
      </c>
      <c r="E174" t="s">
        <v>91</v>
      </c>
      <c r="F174" t="s">
        <v>25</v>
      </c>
      <c r="G174" t="s">
        <v>26</v>
      </c>
      <c r="H174">
        <v>2</v>
      </c>
      <c r="I174">
        <v>41011</v>
      </c>
      <c r="J174">
        <v>10</v>
      </c>
      <c r="K174">
        <v>73819.8</v>
      </c>
      <c r="L174">
        <v>61864.24</v>
      </c>
      <c r="M174">
        <v>11955.56</v>
      </c>
      <c r="N174" t="s">
        <v>48</v>
      </c>
      <c r="O174">
        <v>2</v>
      </c>
      <c r="P174">
        <v>3.4</v>
      </c>
      <c r="Q174">
        <f t="shared" si="29"/>
        <v>168</v>
      </c>
      <c r="R174" t="str">
        <f t="shared" si="30"/>
        <v>Keyboard</v>
      </c>
      <c r="S174" t="e">
        <f t="shared" si="31"/>
        <v>#N/A</v>
      </c>
      <c r="AK174">
        <v>1088</v>
      </c>
      <c r="AL174">
        <v>45305</v>
      </c>
      <c r="AM174" t="str">
        <v>South</v>
      </c>
      <c r="AN174" t="str">
        <v>Aman</v>
      </c>
      <c r="AO174" t="str">
        <v>Customer_40</v>
      </c>
      <c r="AP174" t="str">
        <v>Furniture</v>
      </c>
      <c r="AQ174" t="str">
        <v>Chair</v>
      </c>
      <c r="AR174">
        <v>8</v>
      </c>
      <c r="AS174">
        <v>4175</v>
      </c>
      <c r="AT174">
        <v>10</v>
      </c>
      <c r="AU174">
        <v>30060</v>
      </c>
      <c r="AV174">
        <v>18851.759999999998</v>
      </c>
      <c r="AW174">
        <v>11208.24</v>
      </c>
      <c r="AX174" t="str">
        <v>Card</v>
      </c>
      <c r="AY174">
        <v>6</v>
      </c>
      <c r="AZ174">
        <v>2.5</v>
      </c>
      <c r="BA174">
        <v>172</v>
      </c>
      <c r="BB174" t="str">
        <v>Chair</v>
      </c>
      <c r="BC174" s="6">
        <f t="shared" si="32"/>
        <v>2</v>
      </c>
      <c r="BD174" t="str">
        <f t="shared" si="33"/>
        <v/>
      </c>
      <c r="BE174" s="8">
        <f t="shared" si="34"/>
        <v>0.16195600638311131</v>
      </c>
      <c r="BF174" t="str">
        <v>Customer_47</v>
      </c>
      <c r="BG174" t="str">
        <f t="shared" si="35"/>
        <v>South-Keyboard</v>
      </c>
      <c r="BH174">
        <f t="shared" si="36"/>
        <v>2025</v>
      </c>
      <c r="BI174" t="str">
        <f t="shared" si="37"/>
        <v>May</v>
      </c>
      <c r="BJ174">
        <f t="shared" ca="1" si="28"/>
        <v>301</v>
      </c>
      <c r="BK174" s="8">
        <f t="shared" si="38"/>
        <v>0.16195600638311131</v>
      </c>
      <c r="BL174">
        <f t="shared" si="39"/>
        <v>23829</v>
      </c>
      <c r="BM174">
        <f t="shared" si="40"/>
        <v>130</v>
      </c>
      <c r="BN174">
        <v>1173</v>
      </c>
      <c r="BO174">
        <v>45455</v>
      </c>
      <c r="BP174" t="str">
        <v>North</v>
      </c>
      <c r="BQ174" t="str">
        <v>Rohan</v>
      </c>
      <c r="BR174" t="str">
        <v>Customer_2</v>
      </c>
      <c r="BS174" t="str">
        <v>Office Supplies</v>
      </c>
      <c r="BT174" t="str">
        <v>Keyboard</v>
      </c>
      <c r="BU174">
        <v>18</v>
      </c>
      <c r="BV174">
        <v>2591</v>
      </c>
      <c r="BW174">
        <v>0</v>
      </c>
      <c r="BX174">
        <v>46638</v>
      </c>
      <c r="BY174">
        <v>32930.53</v>
      </c>
      <c r="BZ174">
        <v>13707.47</v>
      </c>
      <c r="CA174" t="str">
        <v>NetBanking</v>
      </c>
      <c r="CB174">
        <v>3</v>
      </c>
      <c r="CC174">
        <v>4.8</v>
      </c>
      <c r="CD174" t="b">
        <f>COUNTIF(Sales_Data!E:E,Sales_Data!E174)&gt;1</f>
        <v>1</v>
      </c>
      <c r="CE174">
        <f>SUM(Sales_Data!$K$2:'Sales_Data'!K174)</f>
        <v>41020508.749999985</v>
      </c>
      <c r="CF174">
        <f t="shared" si="41"/>
        <v>84892.76999999999</v>
      </c>
      <c r="CG174" t="str">
        <f>CHOOSE(MATCH(C174,{"North","West","South","East"},0),"Zone 1","Zone 2","Zone 3","Zone 4")</f>
        <v>Zone 3</v>
      </c>
      <c r="CH174" t="str" cm="1">
        <f t="array" ref="CH174">_xlfn.SWITCH(N174,"Card","Card Payment","UPI", "UPI Payment","Cash","Cash Payment","NetBanking", "NetBanking Payment", "Unknown")</f>
        <v>NetBanking Payment</v>
      </c>
      <c r="CI174" t="str" cm="1">
        <f t="array" ref="CI174">_xlfn.IFS(Sales_Data!J174&lt;=5,"Low",Sales_Data!J174&lt;=10,"Medium",Sales_Data!J174&gt;10,"High")</f>
        <v>Medium</v>
      </c>
    </row>
    <row r="175" spans="1:87" x14ac:dyDescent="0.3">
      <c r="A175">
        <v>1175</v>
      </c>
      <c r="B175" s="1">
        <v>45567</v>
      </c>
      <c r="C175" t="s">
        <v>50</v>
      </c>
      <c r="D175" t="s">
        <v>51</v>
      </c>
      <c r="E175" t="s">
        <v>70</v>
      </c>
      <c r="F175" t="s">
        <v>35</v>
      </c>
      <c r="G175" t="s">
        <v>36</v>
      </c>
      <c r="H175">
        <v>5</v>
      </c>
      <c r="I175">
        <v>27813</v>
      </c>
      <c r="J175">
        <v>5</v>
      </c>
      <c r="K175">
        <v>132111.75</v>
      </c>
      <c r="L175">
        <v>88913.54</v>
      </c>
      <c r="M175">
        <v>43198.21</v>
      </c>
      <c r="N175" t="s">
        <v>48</v>
      </c>
      <c r="O175">
        <v>1</v>
      </c>
      <c r="P175">
        <v>4.0999999999999996</v>
      </c>
      <c r="Q175">
        <f t="shared" si="29"/>
        <v>116</v>
      </c>
      <c r="R175" t="str">
        <f t="shared" si="30"/>
        <v>Laptop</v>
      </c>
      <c r="S175" t="e">
        <f t="shared" si="31"/>
        <v>#N/A</v>
      </c>
      <c r="AK175">
        <v>1020</v>
      </c>
      <c r="AL175">
        <v>45503</v>
      </c>
      <c r="AM175" t="str">
        <v>West</v>
      </c>
      <c r="AN175" t="str">
        <v>Sneha</v>
      </c>
      <c r="AO175" t="str">
        <v>Customer_18</v>
      </c>
      <c r="AP175" t="str">
        <v>Office Supplies</v>
      </c>
      <c r="AQ175" t="str">
        <v>Phone</v>
      </c>
      <c r="AR175">
        <v>1</v>
      </c>
      <c r="AS175">
        <v>41421</v>
      </c>
      <c r="AT175">
        <v>0</v>
      </c>
      <c r="AU175">
        <v>41421</v>
      </c>
      <c r="AV175">
        <v>30558.19</v>
      </c>
      <c r="AW175">
        <v>10862.81</v>
      </c>
      <c r="AX175" t="str">
        <v>Cash</v>
      </c>
      <c r="AY175">
        <v>2</v>
      </c>
      <c r="AZ175">
        <v>3</v>
      </c>
      <c r="BA175">
        <v>173</v>
      </c>
      <c r="BB175" t="str">
        <v>Phone</v>
      </c>
      <c r="BC175" s="6">
        <f t="shared" si="32"/>
        <v>3</v>
      </c>
      <c r="BD175" t="str">
        <f t="shared" si="33"/>
        <v/>
      </c>
      <c r="BE175" s="8">
        <f t="shared" si="34"/>
        <v>0.32698234638478407</v>
      </c>
      <c r="BF175" t="str">
        <v>Customer_48</v>
      </c>
      <c r="BG175" t="str">
        <f t="shared" si="35"/>
        <v>North-Laptop</v>
      </c>
      <c r="BH175">
        <f t="shared" si="36"/>
        <v>2024</v>
      </c>
      <c r="BI175" t="str">
        <f t="shared" si="37"/>
        <v>October</v>
      </c>
      <c r="BJ175">
        <f t="shared" ca="1" si="28"/>
        <v>456</v>
      </c>
      <c r="BK175" s="8">
        <f t="shared" si="38"/>
        <v>0.32698234638478407</v>
      </c>
      <c r="BL175">
        <f t="shared" si="39"/>
        <v>30283</v>
      </c>
      <c r="BM175">
        <f t="shared" si="40"/>
        <v>42</v>
      </c>
      <c r="BN175">
        <v>1174</v>
      </c>
      <c r="BO175">
        <v>45784</v>
      </c>
      <c r="BP175" t="str">
        <v>South</v>
      </c>
      <c r="BQ175" t="str">
        <v>Rohan</v>
      </c>
      <c r="BR175" t="str">
        <v>Customer_32</v>
      </c>
      <c r="BS175" t="str">
        <v>Office Supplies</v>
      </c>
      <c r="BT175" t="str">
        <v>Keyboard</v>
      </c>
      <c r="BU175">
        <v>2</v>
      </c>
      <c r="BV175">
        <v>41011</v>
      </c>
      <c r="BW175">
        <v>10</v>
      </c>
      <c r="BX175">
        <v>73819.8</v>
      </c>
      <c r="BY175">
        <v>61864.24</v>
      </c>
      <c r="BZ175">
        <v>11955.56</v>
      </c>
      <c r="CA175" t="str">
        <v>NetBanking</v>
      </c>
      <c r="CB175">
        <v>2</v>
      </c>
      <c r="CC175">
        <v>3.4</v>
      </c>
      <c r="CD175" t="b">
        <f>COUNTIF(Sales_Data!E:E,Sales_Data!E175)&gt;1</f>
        <v>1</v>
      </c>
      <c r="CE175">
        <f>SUM(Sales_Data!$K$2:'Sales_Data'!K175)</f>
        <v>41152620.499999985</v>
      </c>
      <c r="CF175">
        <f t="shared" si="41"/>
        <v>151928.51249999998</v>
      </c>
      <c r="CG175" t="str">
        <f>CHOOSE(MATCH(C175,{"North","West","South","East"},0),"Zone 1","Zone 2","Zone 3","Zone 4")</f>
        <v>Zone 1</v>
      </c>
      <c r="CH175" t="str" cm="1">
        <f t="array" ref="CH175">_xlfn.SWITCH(N175,"Card","Card Payment","UPI", "UPI Payment","Cash","Cash Payment","NetBanking", "NetBanking Payment", "Unknown")</f>
        <v>NetBanking Payment</v>
      </c>
      <c r="CI175" t="str" cm="1">
        <f t="array" ref="CI175">_xlfn.IFS(Sales_Data!J175&lt;=5,"Low",Sales_Data!J175&lt;=10,"Medium",Sales_Data!J175&gt;10,"High")</f>
        <v>Low</v>
      </c>
    </row>
    <row r="176" spans="1:87" x14ac:dyDescent="0.3">
      <c r="A176">
        <v>1176</v>
      </c>
      <c r="B176" s="1">
        <v>45502</v>
      </c>
      <c r="C176" t="s">
        <v>50</v>
      </c>
      <c r="D176" t="s">
        <v>39</v>
      </c>
      <c r="E176" t="s">
        <v>32</v>
      </c>
      <c r="F176" t="s">
        <v>35</v>
      </c>
      <c r="G176" t="s">
        <v>30</v>
      </c>
      <c r="H176">
        <v>3</v>
      </c>
      <c r="I176">
        <v>27215</v>
      </c>
      <c r="J176">
        <v>10</v>
      </c>
      <c r="K176">
        <v>73480.5</v>
      </c>
      <c r="L176">
        <v>41716.11</v>
      </c>
      <c r="M176">
        <v>31764.39</v>
      </c>
      <c r="N176" t="s">
        <v>48</v>
      </c>
      <c r="O176">
        <v>4</v>
      </c>
      <c r="P176">
        <v>4.5999999999999996</v>
      </c>
      <c r="Q176">
        <f t="shared" si="29"/>
        <v>128</v>
      </c>
      <c r="R176" t="str">
        <f t="shared" si="30"/>
        <v>Desk</v>
      </c>
      <c r="S176" t="e">
        <f t="shared" si="31"/>
        <v>#N/A</v>
      </c>
      <c r="AK176">
        <v>1083</v>
      </c>
      <c r="AL176">
        <v>45512</v>
      </c>
      <c r="AM176" t="str">
        <v>North</v>
      </c>
      <c r="AN176" t="str">
        <v>Megha</v>
      </c>
      <c r="AO176" t="str">
        <v>Customer_10</v>
      </c>
      <c r="AP176" t="str">
        <v>Furniture</v>
      </c>
      <c r="AQ176" t="str">
        <v>Desk</v>
      </c>
      <c r="AR176">
        <v>2</v>
      </c>
      <c r="AS176">
        <v>22103</v>
      </c>
      <c r="AT176">
        <v>10</v>
      </c>
      <c r="AU176">
        <v>39785.4</v>
      </c>
      <c r="AV176">
        <v>29011.55</v>
      </c>
      <c r="AW176">
        <v>10773.85</v>
      </c>
      <c r="AX176" t="str">
        <v>Cash</v>
      </c>
      <c r="AY176">
        <v>10</v>
      </c>
      <c r="AZ176">
        <v>2.9</v>
      </c>
      <c r="BA176">
        <v>174</v>
      </c>
      <c r="BB176" t="str">
        <v>Desk</v>
      </c>
      <c r="BC176" s="6">
        <f t="shared" si="32"/>
        <v>2</v>
      </c>
      <c r="BD176" t="str">
        <f t="shared" si="33"/>
        <v/>
      </c>
      <c r="BE176" s="8">
        <f t="shared" si="34"/>
        <v>0.43228325882376956</v>
      </c>
      <c r="BF176" t="str">
        <v>Customer_48</v>
      </c>
      <c r="BG176" t="str">
        <f t="shared" si="35"/>
        <v>North-Desk</v>
      </c>
      <c r="BH176">
        <f t="shared" si="36"/>
        <v>2024</v>
      </c>
      <c r="BI176" t="str">
        <f t="shared" si="37"/>
        <v>July</v>
      </c>
      <c r="BJ176">
        <f t="shared" ca="1" si="28"/>
        <v>503</v>
      </c>
      <c r="BK176" s="8">
        <f t="shared" si="38"/>
        <v>0.43228325882376956</v>
      </c>
      <c r="BL176">
        <f t="shared" si="39"/>
        <v>13233</v>
      </c>
      <c r="BM176">
        <f t="shared" si="40"/>
        <v>5</v>
      </c>
      <c r="BN176">
        <v>1175</v>
      </c>
      <c r="BO176">
        <v>45567</v>
      </c>
      <c r="BP176" t="str">
        <v>North</v>
      </c>
      <c r="BQ176" t="str">
        <v>Aman</v>
      </c>
      <c r="BR176" t="str">
        <v>Customer_35</v>
      </c>
      <c r="BS176" t="str">
        <v>Furniture</v>
      </c>
      <c r="BT176" t="str">
        <v>Laptop</v>
      </c>
      <c r="BU176">
        <v>5</v>
      </c>
      <c r="BV176">
        <v>27813</v>
      </c>
      <c r="BW176">
        <v>5</v>
      </c>
      <c r="BX176">
        <v>132111.75</v>
      </c>
      <c r="BY176">
        <v>88913.54</v>
      </c>
      <c r="BZ176">
        <v>43198.21</v>
      </c>
      <c r="CA176" t="str">
        <v>NetBanking</v>
      </c>
      <c r="CB176">
        <v>1</v>
      </c>
      <c r="CC176">
        <v>4.0999999999999996</v>
      </c>
      <c r="CD176" t="b">
        <f>COUNTIF(Sales_Data!E:E,Sales_Data!E176)&gt;1</f>
        <v>1</v>
      </c>
      <c r="CE176">
        <f>SUM(Sales_Data!$K$2:'Sales_Data'!K176)</f>
        <v>41226100.999999985</v>
      </c>
      <c r="CF176">
        <f t="shared" si="41"/>
        <v>84502.574999999997</v>
      </c>
      <c r="CG176" t="str">
        <f>CHOOSE(MATCH(C176,{"North","West","South","East"},0),"Zone 1","Zone 2","Zone 3","Zone 4")</f>
        <v>Zone 1</v>
      </c>
      <c r="CH176" t="str" cm="1">
        <f t="array" ref="CH176">_xlfn.SWITCH(N176,"Card","Card Payment","UPI", "UPI Payment","Cash","Cash Payment","NetBanking", "NetBanking Payment", "Unknown")</f>
        <v>NetBanking Payment</v>
      </c>
      <c r="CI176" t="str" cm="1">
        <f t="array" ref="CI176">_xlfn.IFS(Sales_Data!J176&lt;=5,"Low",Sales_Data!J176&lt;=10,"Medium",Sales_Data!J176&gt;10,"High")</f>
        <v>Medium</v>
      </c>
    </row>
    <row r="177" spans="1:87" x14ac:dyDescent="0.3">
      <c r="A177">
        <v>1177</v>
      </c>
      <c r="B177" s="1">
        <v>45606</v>
      </c>
      <c r="C177" t="s">
        <v>33</v>
      </c>
      <c r="D177" t="s">
        <v>39</v>
      </c>
      <c r="E177" t="s">
        <v>68</v>
      </c>
      <c r="F177" t="s">
        <v>35</v>
      </c>
      <c r="G177" t="s">
        <v>41</v>
      </c>
      <c r="H177">
        <v>13</v>
      </c>
      <c r="I177">
        <v>15227</v>
      </c>
      <c r="J177">
        <v>0</v>
      </c>
      <c r="K177">
        <v>197951</v>
      </c>
      <c r="L177">
        <v>167503.20000000001</v>
      </c>
      <c r="M177">
        <v>30447.8</v>
      </c>
      <c r="N177" t="s">
        <v>27</v>
      </c>
      <c r="O177">
        <v>5</v>
      </c>
      <c r="P177">
        <v>3.8</v>
      </c>
      <c r="Q177">
        <f t="shared" si="29"/>
        <v>130</v>
      </c>
      <c r="R177" t="str">
        <f t="shared" si="30"/>
        <v>Chair</v>
      </c>
      <c r="S177" t="e">
        <f t="shared" si="31"/>
        <v>#N/A</v>
      </c>
      <c r="AK177">
        <v>1045</v>
      </c>
      <c r="AL177">
        <v>45662</v>
      </c>
      <c r="AM177" t="str">
        <v>North</v>
      </c>
      <c r="AN177" t="str">
        <v>Sneha</v>
      </c>
      <c r="AO177" t="str">
        <v>Customer_1</v>
      </c>
      <c r="AP177" t="str">
        <v>Electronics</v>
      </c>
      <c r="AQ177" t="str">
        <v>Mouse</v>
      </c>
      <c r="AR177">
        <v>1</v>
      </c>
      <c r="AS177">
        <v>39286</v>
      </c>
      <c r="AT177">
        <v>15</v>
      </c>
      <c r="AU177">
        <v>33393.1</v>
      </c>
      <c r="AV177">
        <v>22919.51</v>
      </c>
      <c r="AW177">
        <v>10473.59</v>
      </c>
      <c r="AX177" t="str">
        <v>UPI</v>
      </c>
      <c r="AY177">
        <v>9</v>
      </c>
      <c r="AZ177">
        <v>3.1</v>
      </c>
      <c r="BA177">
        <v>175</v>
      </c>
      <c r="BB177" t="str">
        <v>Mouse</v>
      </c>
      <c r="BC177" s="6">
        <f t="shared" si="32"/>
        <v>4</v>
      </c>
      <c r="BD177" t="str">
        <f t="shared" si="33"/>
        <v/>
      </c>
      <c r="BE177" s="8">
        <f t="shared" si="34"/>
        <v>0.15381483296371323</v>
      </c>
      <c r="BF177" t="str">
        <v>Customer_48</v>
      </c>
      <c r="BG177" t="str">
        <f t="shared" si="35"/>
        <v>East-Chair</v>
      </c>
      <c r="BH177">
        <f t="shared" si="36"/>
        <v>2024</v>
      </c>
      <c r="BI177" t="str">
        <f t="shared" si="37"/>
        <v>November</v>
      </c>
      <c r="BJ177">
        <f t="shared" ca="1" si="28"/>
        <v>428</v>
      </c>
      <c r="BK177" s="8">
        <f t="shared" si="38"/>
        <v>0.15381483296371323</v>
      </c>
      <c r="BL177">
        <f t="shared" si="39"/>
        <v>4972</v>
      </c>
      <c r="BM177">
        <f t="shared" si="40"/>
        <v>37</v>
      </c>
      <c r="BN177">
        <v>1176</v>
      </c>
      <c r="BO177">
        <v>45502</v>
      </c>
      <c r="BP177" t="str">
        <v>North</v>
      </c>
      <c r="BQ177" t="str">
        <v>Sneha</v>
      </c>
      <c r="BR177" t="str">
        <v>Customer_6</v>
      </c>
      <c r="BS177" t="str">
        <v>Furniture</v>
      </c>
      <c r="BT177" t="str">
        <v>Desk</v>
      </c>
      <c r="BU177">
        <v>3</v>
      </c>
      <c r="BV177">
        <v>27215</v>
      </c>
      <c r="BW177">
        <v>10</v>
      </c>
      <c r="BX177">
        <v>73480.5</v>
      </c>
      <c r="BY177">
        <v>41716.11</v>
      </c>
      <c r="BZ177">
        <v>31764.39</v>
      </c>
      <c r="CA177" t="str">
        <v>NetBanking</v>
      </c>
      <c r="CB177">
        <v>4</v>
      </c>
      <c r="CC177">
        <v>4.5999999999999996</v>
      </c>
      <c r="CD177" t="b">
        <f>COUNTIF(Sales_Data!E:E,Sales_Data!E177)&gt;1</f>
        <v>1</v>
      </c>
      <c r="CE177">
        <f>SUM(Sales_Data!$K$2:'Sales_Data'!K177)</f>
        <v>41424051.999999985</v>
      </c>
      <c r="CF177">
        <f t="shared" si="41"/>
        <v>227643.65</v>
      </c>
      <c r="CG177" t="str">
        <f>CHOOSE(MATCH(C177,{"North","West","South","East"},0),"Zone 1","Zone 2","Zone 3","Zone 4")</f>
        <v>Zone 4</v>
      </c>
      <c r="CH177" t="str" cm="1">
        <f t="array" ref="CH177">_xlfn.SWITCH(N177,"Card","Card Payment","UPI", "UPI Payment","Cash","Cash Payment","NetBanking", "NetBanking Payment", "Unknown")</f>
        <v>UPI Payment</v>
      </c>
      <c r="CI177" t="str" cm="1">
        <f t="array" ref="CI177">_xlfn.IFS(Sales_Data!J177&lt;=5,"Low",Sales_Data!J177&lt;=10,"Medium",Sales_Data!J177&gt;10,"High")</f>
        <v>Low</v>
      </c>
    </row>
    <row r="178" spans="1:87" x14ac:dyDescent="0.3">
      <c r="A178">
        <v>1178</v>
      </c>
      <c r="B178" s="1">
        <v>45444</v>
      </c>
      <c r="C178" t="s">
        <v>33</v>
      </c>
      <c r="D178" t="s">
        <v>31</v>
      </c>
      <c r="E178" t="s">
        <v>52</v>
      </c>
      <c r="F178" t="s">
        <v>25</v>
      </c>
      <c r="G178" t="s">
        <v>30</v>
      </c>
      <c r="H178">
        <v>11</v>
      </c>
      <c r="I178">
        <v>25126</v>
      </c>
      <c r="J178">
        <v>15</v>
      </c>
      <c r="K178">
        <v>234928.1</v>
      </c>
      <c r="L178">
        <v>193528.84</v>
      </c>
      <c r="M178">
        <v>41399.26</v>
      </c>
      <c r="N178" t="s">
        <v>21</v>
      </c>
      <c r="O178">
        <v>10</v>
      </c>
      <c r="P178">
        <v>3.5</v>
      </c>
      <c r="Q178">
        <f t="shared" si="29"/>
        <v>119</v>
      </c>
      <c r="R178" t="str">
        <f t="shared" si="30"/>
        <v>Desk</v>
      </c>
      <c r="S178" t="e">
        <f t="shared" si="31"/>
        <v>#N/A</v>
      </c>
      <c r="AK178">
        <v>1129</v>
      </c>
      <c r="AL178">
        <v>45578</v>
      </c>
      <c r="AM178" t="str">
        <v>West</v>
      </c>
      <c r="AN178" t="str">
        <v>Sneha</v>
      </c>
      <c r="AO178" t="str">
        <v>Customer_27</v>
      </c>
      <c r="AP178" t="str">
        <v>Electronics</v>
      </c>
      <c r="AQ178" t="str">
        <v>Chair</v>
      </c>
      <c r="AR178">
        <v>3</v>
      </c>
      <c r="AS178">
        <v>18106</v>
      </c>
      <c r="AT178">
        <v>15</v>
      </c>
      <c r="AU178">
        <v>46170.3</v>
      </c>
      <c r="AV178">
        <v>36147.279999999999</v>
      </c>
      <c r="AW178">
        <v>10023.02</v>
      </c>
      <c r="AX178" t="str">
        <v>Cash</v>
      </c>
      <c r="AY178">
        <v>1</v>
      </c>
      <c r="AZ178">
        <v>4.3</v>
      </c>
      <c r="BA178">
        <v>176</v>
      </c>
      <c r="BB178" t="str">
        <v>Chair</v>
      </c>
      <c r="BC178" s="6">
        <f t="shared" si="32"/>
        <v>2</v>
      </c>
      <c r="BD178" t="str">
        <f t="shared" si="33"/>
        <v/>
      </c>
      <c r="BE178" s="8">
        <f t="shared" si="34"/>
        <v>0.17622097995088712</v>
      </c>
      <c r="BF178" t="str">
        <v>Customer_49</v>
      </c>
      <c r="BG178" t="str">
        <f t="shared" si="35"/>
        <v>East-Desk</v>
      </c>
      <c r="BH178">
        <f t="shared" si="36"/>
        <v>2024</v>
      </c>
      <c r="BI178" t="str">
        <f t="shared" si="37"/>
        <v>June</v>
      </c>
      <c r="BJ178">
        <f t="shared" ca="1" si="28"/>
        <v>543</v>
      </c>
      <c r="BK178" s="8">
        <f t="shared" si="38"/>
        <v>0.17622097995088712</v>
      </c>
      <c r="BL178">
        <f t="shared" si="39"/>
        <v>13233</v>
      </c>
      <c r="BM178">
        <f t="shared" si="40"/>
        <v>14</v>
      </c>
      <c r="BN178">
        <v>1177</v>
      </c>
      <c r="BO178">
        <v>45606</v>
      </c>
      <c r="BP178" t="str">
        <v>East</v>
      </c>
      <c r="BQ178" t="str">
        <v>Sneha</v>
      </c>
      <c r="BR178" t="str">
        <v>Customer_5</v>
      </c>
      <c r="BS178" t="str">
        <v>Furniture</v>
      </c>
      <c r="BT178" t="str">
        <v>Chair</v>
      </c>
      <c r="BU178">
        <v>13</v>
      </c>
      <c r="BV178">
        <v>15227</v>
      </c>
      <c r="BW178">
        <v>0</v>
      </c>
      <c r="BX178">
        <v>197951</v>
      </c>
      <c r="BY178">
        <v>167503.20000000001</v>
      </c>
      <c r="BZ178">
        <v>30447.8</v>
      </c>
      <c r="CA178" t="str">
        <v>UPI</v>
      </c>
      <c r="CB178">
        <v>5</v>
      </c>
      <c r="CC178">
        <v>3.8</v>
      </c>
      <c r="CD178" t="b">
        <f>COUNTIF(Sales_Data!E:E,Sales_Data!E178)&gt;1</f>
        <v>1</v>
      </c>
      <c r="CE178">
        <f>SUM(Sales_Data!$K$2:'Sales_Data'!K178)</f>
        <v>41658980.099999987</v>
      </c>
      <c r="CF178">
        <f t="shared" si="41"/>
        <v>270167.315</v>
      </c>
      <c r="CG178" t="str">
        <f>CHOOSE(MATCH(C178,{"North","West","South","East"},0),"Zone 1","Zone 2","Zone 3","Zone 4")</f>
        <v>Zone 4</v>
      </c>
      <c r="CH178" t="str" cm="1">
        <f t="array" ref="CH178">_xlfn.SWITCH(N178,"Card","Card Payment","UPI", "UPI Payment","Cash","Cash Payment","NetBanking", "NetBanking Payment", "Unknown")</f>
        <v>Card Payment</v>
      </c>
      <c r="CI178" t="str" cm="1">
        <f t="array" ref="CI178">_xlfn.IFS(Sales_Data!J178&lt;=5,"Low",Sales_Data!J178&lt;=10,"Medium",Sales_Data!J178&gt;10,"High")</f>
        <v>High</v>
      </c>
    </row>
    <row r="179" spans="1:87" x14ac:dyDescent="0.3">
      <c r="A179">
        <v>1179</v>
      </c>
      <c r="B179" s="1">
        <v>45522</v>
      </c>
      <c r="C179" t="s">
        <v>22</v>
      </c>
      <c r="D179" t="s">
        <v>42</v>
      </c>
      <c r="E179" t="s">
        <v>45</v>
      </c>
      <c r="F179" t="s">
        <v>35</v>
      </c>
      <c r="G179" t="s">
        <v>65</v>
      </c>
      <c r="H179">
        <v>7</v>
      </c>
      <c r="I179">
        <v>42298</v>
      </c>
      <c r="J179">
        <v>5</v>
      </c>
      <c r="K179">
        <v>281281.7</v>
      </c>
      <c r="L179">
        <v>185208.7</v>
      </c>
      <c r="M179">
        <v>96073</v>
      </c>
      <c r="N179" t="s">
        <v>21</v>
      </c>
      <c r="O179">
        <v>7</v>
      </c>
      <c r="P179">
        <v>4.8</v>
      </c>
      <c r="Q179">
        <f t="shared" si="29"/>
        <v>62</v>
      </c>
      <c r="R179" t="str">
        <f t="shared" si="30"/>
        <v>Mouse</v>
      </c>
      <c r="S179" t="e">
        <f t="shared" si="31"/>
        <v>#N/A</v>
      </c>
      <c r="AK179">
        <v>1099</v>
      </c>
      <c r="AL179">
        <v>45723</v>
      </c>
      <c r="AM179" t="str">
        <v>East</v>
      </c>
      <c r="AN179" t="str">
        <v>Rohan</v>
      </c>
      <c r="AO179" t="str">
        <v>Customer_15</v>
      </c>
      <c r="AP179" t="str">
        <v>Office Supplies</v>
      </c>
      <c r="AQ179" t="str">
        <v>Printer</v>
      </c>
      <c r="AR179">
        <v>5</v>
      </c>
      <c r="AS179">
        <v>5506</v>
      </c>
      <c r="AT179">
        <v>0</v>
      </c>
      <c r="AU179">
        <v>27530</v>
      </c>
      <c r="AV179">
        <v>18475.3</v>
      </c>
      <c r="AW179">
        <v>9054.7000000000007</v>
      </c>
      <c r="AX179" t="str">
        <v>Cash</v>
      </c>
      <c r="AY179">
        <v>9</v>
      </c>
      <c r="AZ179">
        <v>2.9</v>
      </c>
      <c r="BA179">
        <v>177</v>
      </c>
      <c r="BB179" t="str">
        <v>Printer</v>
      </c>
      <c r="BC179" s="6">
        <f t="shared" si="32"/>
        <v>3</v>
      </c>
      <c r="BD179" t="str">
        <f t="shared" si="33"/>
        <v/>
      </c>
      <c r="BE179" s="8">
        <f t="shared" si="34"/>
        <v>0.34155439191387138</v>
      </c>
      <c r="BF179" t="str">
        <v>Customer_49</v>
      </c>
      <c r="BG179" t="str">
        <f t="shared" si="35"/>
        <v>South-Mouse</v>
      </c>
      <c r="BH179">
        <f t="shared" si="36"/>
        <v>2024</v>
      </c>
      <c r="BI179" t="str">
        <f t="shared" si="37"/>
        <v>August</v>
      </c>
      <c r="BJ179">
        <f t="shared" ca="1" si="28"/>
        <v>488</v>
      </c>
      <c r="BK179" s="8">
        <f t="shared" si="38"/>
        <v>0.34155439191387138</v>
      </c>
      <c r="BL179">
        <f t="shared" si="39"/>
        <v>41775</v>
      </c>
      <c r="BM179">
        <f t="shared" si="40"/>
        <v>10</v>
      </c>
      <c r="BN179">
        <v>1178</v>
      </c>
      <c r="BO179">
        <v>45444</v>
      </c>
      <c r="BP179" t="str">
        <v>East</v>
      </c>
      <c r="BQ179" t="str">
        <v>Neha</v>
      </c>
      <c r="BR179" t="str">
        <v>Customer_28</v>
      </c>
      <c r="BS179" t="str">
        <v>Office Supplies</v>
      </c>
      <c r="BT179" t="str">
        <v>Desk</v>
      </c>
      <c r="BU179">
        <v>11</v>
      </c>
      <c r="BV179">
        <v>25126</v>
      </c>
      <c r="BW179">
        <v>15</v>
      </c>
      <c r="BX179">
        <v>234928.1</v>
      </c>
      <c r="BY179">
        <v>193528.84</v>
      </c>
      <c r="BZ179">
        <v>41399.26</v>
      </c>
      <c r="CA179" t="str">
        <v>Card</v>
      </c>
      <c r="CB179">
        <v>10</v>
      </c>
      <c r="CC179">
        <v>3.5</v>
      </c>
      <c r="CD179" t="b">
        <f>COUNTIF(Sales_Data!E:E,Sales_Data!E179)&gt;1</f>
        <v>1</v>
      </c>
      <c r="CE179">
        <f>SUM(Sales_Data!$K$2:'Sales_Data'!K179)</f>
        <v>41940261.79999999</v>
      </c>
      <c r="CF179">
        <f t="shared" si="41"/>
        <v>323473.95500000002</v>
      </c>
      <c r="CG179" t="str">
        <f>CHOOSE(MATCH(C179,{"North","West","South","East"},0),"Zone 1","Zone 2","Zone 3","Zone 4")</f>
        <v>Zone 3</v>
      </c>
      <c r="CH179" t="str" cm="1">
        <f t="array" ref="CH179">_xlfn.SWITCH(N179,"Card","Card Payment","UPI", "UPI Payment","Cash","Cash Payment","NetBanking", "NetBanking Payment", "Unknown")</f>
        <v>Card Payment</v>
      </c>
      <c r="CI179" t="str" cm="1">
        <f t="array" ref="CI179">_xlfn.IFS(Sales_Data!J179&lt;=5,"Low",Sales_Data!J179&lt;=10,"Medium",Sales_Data!J179&gt;10,"High")</f>
        <v>Low</v>
      </c>
    </row>
    <row r="180" spans="1:87" x14ac:dyDescent="0.3">
      <c r="A180">
        <v>1180</v>
      </c>
      <c r="B180" s="1">
        <v>45478</v>
      </c>
      <c r="C180" t="s">
        <v>16</v>
      </c>
      <c r="D180" t="s">
        <v>28</v>
      </c>
      <c r="E180" t="s">
        <v>62</v>
      </c>
      <c r="F180" t="s">
        <v>25</v>
      </c>
      <c r="G180" t="s">
        <v>36</v>
      </c>
      <c r="H180">
        <v>1</v>
      </c>
      <c r="I180">
        <v>10306</v>
      </c>
      <c r="J180">
        <v>15</v>
      </c>
      <c r="K180">
        <v>8760.1</v>
      </c>
      <c r="L180">
        <v>4989.41</v>
      </c>
      <c r="M180">
        <v>3770.69</v>
      </c>
      <c r="N180" t="s">
        <v>37</v>
      </c>
      <c r="O180">
        <v>10</v>
      </c>
      <c r="P180">
        <v>3.7</v>
      </c>
      <c r="Q180">
        <f t="shared" si="29"/>
        <v>191</v>
      </c>
      <c r="R180" t="str">
        <f t="shared" si="30"/>
        <v>Laptop</v>
      </c>
      <c r="S180" t="e">
        <f t="shared" si="31"/>
        <v>#N/A</v>
      </c>
      <c r="AK180">
        <v>1056</v>
      </c>
      <c r="AL180">
        <v>45696</v>
      </c>
      <c r="AM180" t="str">
        <v>South</v>
      </c>
      <c r="AN180" t="str">
        <v>Arjun</v>
      </c>
      <c r="AO180" t="str">
        <v>Customer_25</v>
      </c>
      <c r="AP180" t="str">
        <v>Furniture</v>
      </c>
      <c r="AQ180" t="str">
        <v>Chair</v>
      </c>
      <c r="AR180">
        <v>16</v>
      </c>
      <c r="AS180">
        <v>2265</v>
      </c>
      <c r="AT180">
        <v>0</v>
      </c>
      <c r="AU180">
        <v>36240</v>
      </c>
      <c r="AV180">
        <v>27967.15</v>
      </c>
      <c r="AW180">
        <v>8272.85</v>
      </c>
      <c r="AX180" t="str">
        <v>Card</v>
      </c>
      <c r="AY180">
        <v>3</v>
      </c>
      <c r="AZ180">
        <v>2.7</v>
      </c>
      <c r="BA180">
        <v>178</v>
      </c>
      <c r="BB180" t="str">
        <v>Chair</v>
      </c>
      <c r="BC180" s="6">
        <f t="shared" si="32"/>
        <v>2</v>
      </c>
      <c r="BD180" t="str">
        <f t="shared" si="33"/>
        <v/>
      </c>
      <c r="BE180" s="8">
        <f t="shared" si="34"/>
        <v>0.43043915023801099</v>
      </c>
      <c r="BF180" t="str">
        <v>Customer_49</v>
      </c>
      <c r="BG180" t="str">
        <f t="shared" si="35"/>
        <v>West-Laptop</v>
      </c>
      <c r="BH180">
        <f t="shared" si="36"/>
        <v>2024</v>
      </c>
      <c r="BI180" t="str">
        <f t="shared" si="37"/>
        <v>July</v>
      </c>
      <c r="BJ180">
        <f t="shared" ca="1" si="28"/>
        <v>519</v>
      </c>
      <c r="BK180" s="8">
        <f t="shared" si="38"/>
        <v>0.43043915023801099</v>
      </c>
      <c r="BL180">
        <f t="shared" si="39"/>
        <v>30283</v>
      </c>
      <c r="BM180">
        <f t="shared" si="40"/>
        <v>25</v>
      </c>
      <c r="BN180">
        <v>1179</v>
      </c>
      <c r="BO180">
        <v>45522</v>
      </c>
      <c r="BP180" t="str">
        <v>South</v>
      </c>
      <c r="BQ180" t="str">
        <v>Priya</v>
      </c>
      <c r="BR180" t="str">
        <v>Customer_47</v>
      </c>
      <c r="BS180" t="str">
        <v>Furniture</v>
      </c>
      <c r="BT180" t="str">
        <v>Mouse</v>
      </c>
      <c r="BU180">
        <v>7</v>
      </c>
      <c r="BV180">
        <v>42298</v>
      </c>
      <c r="BW180">
        <v>5</v>
      </c>
      <c r="BX180">
        <v>281281.7</v>
      </c>
      <c r="BY180">
        <v>185208.7</v>
      </c>
      <c r="BZ180">
        <v>96073</v>
      </c>
      <c r="CA180" t="str">
        <v>Card</v>
      </c>
      <c r="CB180">
        <v>7</v>
      </c>
      <c r="CC180">
        <v>4.8</v>
      </c>
      <c r="CD180" t="b">
        <f>COUNTIF(Sales_Data!E:E,Sales_Data!E180)&gt;1</f>
        <v>1</v>
      </c>
      <c r="CE180">
        <f>SUM(Sales_Data!$K$2:'Sales_Data'!K180)</f>
        <v>41949021.899999991</v>
      </c>
      <c r="CF180">
        <f t="shared" si="41"/>
        <v>10074.115</v>
      </c>
      <c r="CG180" t="str">
        <f>CHOOSE(MATCH(C180,{"North","West","South","East"},0),"Zone 1","Zone 2","Zone 3","Zone 4")</f>
        <v>Zone 2</v>
      </c>
      <c r="CH180" t="str" cm="1">
        <f t="array" ref="CH180">_xlfn.SWITCH(N180,"Card","Card Payment","UPI", "UPI Payment","Cash","Cash Payment","NetBanking", "NetBanking Payment", "Unknown")</f>
        <v>Cash Payment</v>
      </c>
      <c r="CI180" t="str" cm="1">
        <f t="array" ref="CI180">_xlfn.IFS(Sales_Data!J180&lt;=5,"Low",Sales_Data!J180&lt;=10,"Medium",Sales_Data!J180&gt;10,"High")</f>
        <v>High</v>
      </c>
    </row>
    <row r="181" spans="1:87" x14ac:dyDescent="0.3">
      <c r="A181">
        <v>1181</v>
      </c>
      <c r="B181" s="1">
        <v>45732</v>
      </c>
      <c r="C181" t="s">
        <v>50</v>
      </c>
      <c r="D181" t="s">
        <v>17</v>
      </c>
      <c r="E181" t="s">
        <v>72</v>
      </c>
      <c r="F181" t="s">
        <v>19</v>
      </c>
      <c r="G181" t="s">
        <v>65</v>
      </c>
      <c r="H181">
        <v>12</v>
      </c>
      <c r="I181">
        <v>42649</v>
      </c>
      <c r="J181">
        <v>15</v>
      </c>
      <c r="K181">
        <v>435019.8</v>
      </c>
      <c r="L181">
        <v>267163.95</v>
      </c>
      <c r="M181">
        <v>167855.85</v>
      </c>
      <c r="N181" t="s">
        <v>21</v>
      </c>
      <c r="O181">
        <v>3</v>
      </c>
      <c r="P181">
        <v>3.7</v>
      </c>
      <c r="Q181">
        <f t="shared" si="29"/>
        <v>17</v>
      </c>
      <c r="R181" t="str">
        <f t="shared" si="30"/>
        <v>Mouse</v>
      </c>
      <c r="S181" t="e">
        <f t="shared" si="31"/>
        <v>#N/A</v>
      </c>
      <c r="AK181">
        <v>1015</v>
      </c>
      <c r="AL181">
        <v>45670</v>
      </c>
      <c r="AM181" t="str">
        <v>West</v>
      </c>
      <c r="AN181" t="str">
        <v>Aman</v>
      </c>
      <c r="AO181" t="str">
        <v>Customer_10</v>
      </c>
      <c r="AP181" t="str">
        <v>Furniture</v>
      </c>
      <c r="AQ181" t="str">
        <v>Desk</v>
      </c>
      <c r="AR181">
        <v>1</v>
      </c>
      <c r="AS181">
        <v>31974</v>
      </c>
      <c r="AT181">
        <v>5</v>
      </c>
      <c r="AU181">
        <v>30375.3</v>
      </c>
      <c r="AV181">
        <v>22286.77</v>
      </c>
      <c r="AW181">
        <v>8088.53</v>
      </c>
      <c r="AX181" t="str">
        <v>UPI</v>
      </c>
      <c r="AY181">
        <v>9</v>
      </c>
      <c r="AZ181">
        <v>3.3</v>
      </c>
      <c r="BA181">
        <v>179</v>
      </c>
      <c r="BB181" t="str">
        <v>Desk</v>
      </c>
      <c r="BC181" s="6">
        <f t="shared" si="32"/>
        <v>1</v>
      </c>
      <c r="BD181" t="str">
        <f t="shared" si="33"/>
        <v>Bonus!</v>
      </c>
      <c r="BE181" s="8">
        <f t="shared" si="34"/>
        <v>0.38585795405174661</v>
      </c>
      <c r="BF181" t="str">
        <v>Customer_49</v>
      </c>
      <c r="BG181" t="str">
        <f t="shared" si="35"/>
        <v>North-Mouse</v>
      </c>
      <c r="BH181">
        <f t="shared" si="36"/>
        <v>2025</v>
      </c>
      <c r="BI181" t="str">
        <f t="shared" si="37"/>
        <v>March</v>
      </c>
      <c r="BJ181">
        <f t="shared" ca="1" si="28"/>
        <v>338</v>
      </c>
      <c r="BK181" s="8">
        <f t="shared" si="38"/>
        <v>0.38585795405174661</v>
      </c>
      <c r="BL181">
        <f t="shared" si="39"/>
        <v>41775</v>
      </c>
      <c r="BM181">
        <f t="shared" si="40"/>
        <v>45</v>
      </c>
      <c r="BN181">
        <v>1180</v>
      </c>
      <c r="BO181">
        <v>45478</v>
      </c>
      <c r="BP181" t="str">
        <v>West</v>
      </c>
      <c r="BQ181" t="str">
        <v>Arjun</v>
      </c>
      <c r="BR181" t="str">
        <v>Customer_43</v>
      </c>
      <c r="BS181" t="str">
        <v>Office Supplies</v>
      </c>
      <c r="BT181" t="str">
        <v>Laptop</v>
      </c>
      <c r="BU181">
        <v>1</v>
      </c>
      <c r="BV181">
        <v>10306</v>
      </c>
      <c r="BW181">
        <v>15</v>
      </c>
      <c r="BX181">
        <v>8760.1</v>
      </c>
      <c r="BY181">
        <v>4989.41</v>
      </c>
      <c r="BZ181">
        <v>3770.69</v>
      </c>
      <c r="CA181" t="str">
        <v>Cash</v>
      </c>
      <c r="CB181">
        <v>10</v>
      </c>
      <c r="CC181">
        <v>3.7</v>
      </c>
      <c r="CD181" t="b">
        <f>COUNTIF(Sales_Data!E:E,Sales_Data!E181)&gt;1</f>
        <v>1</v>
      </c>
      <c r="CE181">
        <f>SUM(Sales_Data!$K$2:'Sales_Data'!K181)</f>
        <v>42384041.699999988</v>
      </c>
      <c r="CF181">
        <f t="shared" si="41"/>
        <v>500272.76999999996</v>
      </c>
      <c r="CG181" t="str">
        <f>CHOOSE(MATCH(C181,{"North","West","South","East"},0),"Zone 1","Zone 2","Zone 3","Zone 4")</f>
        <v>Zone 1</v>
      </c>
      <c r="CH181" t="str" cm="1">
        <f t="array" ref="CH181">_xlfn.SWITCH(N181,"Card","Card Payment","UPI", "UPI Payment","Cash","Cash Payment","NetBanking", "NetBanking Payment", "Unknown")</f>
        <v>Card Payment</v>
      </c>
      <c r="CI181" t="str" cm="1">
        <f t="array" ref="CI181">_xlfn.IFS(Sales_Data!J181&lt;=5,"Low",Sales_Data!J181&lt;=10,"Medium",Sales_Data!J181&gt;10,"High")</f>
        <v>High</v>
      </c>
    </row>
    <row r="182" spans="1:87" x14ac:dyDescent="0.3">
      <c r="A182">
        <v>1182</v>
      </c>
      <c r="B182" s="1">
        <v>45635</v>
      </c>
      <c r="C182" t="s">
        <v>16</v>
      </c>
      <c r="D182" t="s">
        <v>42</v>
      </c>
      <c r="E182" t="s">
        <v>54</v>
      </c>
      <c r="F182" t="s">
        <v>25</v>
      </c>
      <c r="G182" t="s">
        <v>65</v>
      </c>
      <c r="H182">
        <v>3</v>
      </c>
      <c r="I182">
        <v>867</v>
      </c>
      <c r="J182">
        <v>15</v>
      </c>
      <c r="K182">
        <v>2210.85</v>
      </c>
      <c r="L182">
        <v>1514.03</v>
      </c>
      <c r="M182">
        <v>696.82</v>
      </c>
      <c r="N182" t="s">
        <v>27</v>
      </c>
      <c r="O182">
        <v>8</v>
      </c>
      <c r="P182">
        <v>3.9</v>
      </c>
      <c r="Q182">
        <f t="shared" si="29"/>
        <v>198</v>
      </c>
      <c r="R182" t="str">
        <f t="shared" si="30"/>
        <v>Mouse</v>
      </c>
      <c r="S182" t="e">
        <f t="shared" si="31"/>
        <v>#N/A</v>
      </c>
      <c r="AK182">
        <v>1009</v>
      </c>
      <c r="AL182">
        <v>45454</v>
      </c>
      <c r="AM182" t="str">
        <v>East</v>
      </c>
      <c r="AN182" t="str">
        <v>Priya</v>
      </c>
      <c r="AO182" t="str">
        <v>Customer_9</v>
      </c>
      <c r="AP182" t="str">
        <v>Office Supplies</v>
      </c>
      <c r="AQ182" t="str">
        <v>Printer</v>
      </c>
      <c r="AR182">
        <v>11</v>
      </c>
      <c r="AS182">
        <v>1561</v>
      </c>
      <c r="AT182">
        <v>0</v>
      </c>
      <c r="AU182">
        <v>17171</v>
      </c>
      <c r="AV182">
        <v>10429.290000000001</v>
      </c>
      <c r="AW182">
        <v>6741.71</v>
      </c>
      <c r="AX182" t="str">
        <v>Card</v>
      </c>
      <c r="AY182">
        <v>10</v>
      </c>
      <c r="AZ182">
        <v>4.5999999999999996</v>
      </c>
      <c r="BA182">
        <v>180</v>
      </c>
      <c r="BB182" t="str">
        <v>Printer</v>
      </c>
      <c r="BC182" s="6">
        <f t="shared" si="32"/>
        <v>4</v>
      </c>
      <c r="BD182" t="str">
        <f t="shared" si="33"/>
        <v/>
      </c>
      <c r="BE182" s="8">
        <f t="shared" si="34"/>
        <v>0.31518194359635437</v>
      </c>
      <c r="BF182" t="str">
        <v>Customer_49</v>
      </c>
      <c r="BG182" t="str">
        <f t="shared" si="35"/>
        <v>West-Mouse</v>
      </c>
      <c r="BH182">
        <f t="shared" si="36"/>
        <v>2024</v>
      </c>
      <c r="BI182" t="str">
        <f t="shared" si="37"/>
        <v>December</v>
      </c>
      <c r="BJ182">
        <f t="shared" ca="1" si="28"/>
        <v>408</v>
      </c>
      <c r="BK182" s="8">
        <f t="shared" si="38"/>
        <v>0.31518194359635437</v>
      </c>
      <c r="BL182">
        <f t="shared" si="39"/>
        <v>41775</v>
      </c>
      <c r="BM182">
        <f t="shared" si="40"/>
        <v>16</v>
      </c>
      <c r="BN182">
        <v>1181</v>
      </c>
      <c r="BO182">
        <v>45732</v>
      </c>
      <c r="BP182" t="str">
        <v>North</v>
      </c>
      <c r="BQ182" t="str">
        <v>Rohan</v>
      </c>
      <c r="BR182" t="str">
        <v>Customer_1</v>
      </c>
      <c r="BS182" t="str">
        <v>Electronics</v>
      </c>
      <c r="BT182" t="str">
        <v>Mouse</v>
      </c>
      <c r="BU182">
        <v>12</v>
      </c>
      <c r="BV182">
        <v>42649</v>
      </c>
      <c r="BW182">
        <v>15</v>
      </c>
      <c r="BX182">
        <v>435019.8</v>
      </c>
      <c r="BY182">
        <v>267163.95</v>
      </c>
      <c r="BZ182">
        <v>167855.85</v>
      </c>
      <c r="CA182" t="str">
        <v>Card</v>
      </c>
      <c r="CB182">
        <v>3</v>
      </c>
      <c r="CC182">
        <v>3.7</v>
      </c>
      <c r="CD182" t="b">
        <f>COUNTIF(Sales_Data!E:E,Sales_Data!E182)&gt;1</f>
        <v>1</v>
      </c>
      <c r="CE182">
        <f>SUM(Sales_Data!$K$2:'Sales_Data'!K182)</f>
        <v>42386252.54999999</v>
      </c>
      <c r="CF182">
        <f t="shared" si="41"/>
        <v>2542.4774999999995</v>
      </c>
      <c r="CG182" t="str">
        <f>CHOOSE(MATCH(C182,{"North","West","South","East"},0),"Zone 1","Zone 2","Zone 3","Zone 4")</f>
        <v>Zone 2</v>
      </c>
      <c r="CH182" t="str" cm="1">
        <f t="array" ref="CH182">_xlfn.SWITCH(N182,"Card","Card Payment","UPI", "UPI Payment","Cash","Cash Payment","NetBanking", "NetBanking Payment", "Unknown")</f>
        <v>UPI Payment</v>
      </c>
      <c r="CI182" t="str" cm="1">
        <f t="array" ref="CI182">_xlfn.IFS(Sales_Data!J182&lt;=5,"Low",Sales_Data!J182&lt;=10,"Medium",Sales_Data!J182&gt;10,"High")</f>
        <v>High</v>
      </c>
    </row>
    <row r="183" spans="1:87" x14ac:dyDescent="0.3">
      <c r="A183">
        <v>1183</v>
      </c>
      <c r="B183" s="1">
        <v>45492</v>
      </c>
      <c r="C183" t="s">
        <v>33</v>
      </c>
      <c r="D183" t="s">
        <v>31</v>
      </c>
      <c r="E183" t="s">
        <v>78</v>
      </c>
      <c r="F183" t="s">
        <v>35</v>
      </c>
      <c r="G183" t="s">
        <v>26</v>
      </c>
      <c r="H183">
        <v>12</v>
      </c>
      <c r="I183">
        <v>17851</v>
      </c>
      <c r="J183">
        <v>0</v>
      </c>
      <c r="K183">
        <v>214212</v>
      </c>
      <c r="L183">
        <v>146664.54</v>
      </c>
      <c r="M183">
        <v>67547.460000000006</v>
      </c>
      <c r="N183" t="s">
        <v>21</v>
      </c>
      <c r="O183">
        <v>6</v>
      </c>
      <c r="P183">
        <v>4.2</v>
      </c>
      <c r="Q183">
        <f t="shared" si="29"/>
        <v>84</v>
      </c>
      <c r="R183" t="str">
        <f t="shared" si="30"/>
        <v>Keyboard</v>
      </c>
      <c r="S183" t="e">
        <f t="shared" si="31"/>
        <v>#N/A</v>
      </c>
      <c r="AK183">
        <v>1018</v>
      </c>
      <c r="AL183">
        <v>45407</v>
      </c>
      <c r="AM183" t="str">
        <v>East</v>
      </c>
      <c r="AN183" t="str">
        <v>Aman</v>
      </c>
      <c r="AO183" t="str">
        <v>Customer_29</v>
      </c>
      <c r="AP183" t="str">
        <v>Furniture</v>
      </c>
      <c r="AQ183" t="str">
        <v>Chair</v>
      </c>
      <c r="AR183">
        <v>15</v>
      </c>
      <c r="AS183">
        <v>2532</v>
      </c>
      <c r="AT183">
        <v>5</v>
      </c>
      <c r="AU183">
        <v>36081</v>
      </c>
      <c r="AV183">
        <v>29401.78</v>
      </c>
      <c r="AW183">
        <v>6679.22</v>
      </c>
      <c r="AX183" t="str">
        <v>Card</v>
      </c>
      <c r="AY183">
        <v>3</v>
      </c>
      <c r="AZ183">
        <v>4.3</v>
      </c>
      <c r="BA183">
        <v>181</v>
      </c>
      <c r="BB183" t="str">
        <v>Chair</v>
      </c>
      <c r="BC183" s="6">
        <f t="shared" si="32"/>
        <v>2</v>
      </c>
      <c r="BD183" t="str">
        <f t="shared" si="33"/>
        <v/>
      </c>
      <c r="BE183" s="8">
        <f t="shared" si="34"/>
        <v>0.31532995350400539</v>
      </c>
      <c r="BF183" t="str">
        <v>Customer_49</v>
      </c>
      <c r="BG183" t="str">
        <f t="shared" si="35"/>
        <v>East-Keyboard</v>
      </c>
      <c r="BH183">
        <f t="shared" si="36"/>
        <v>2024</v>
      </c>
      <c r="BI183" t="str">
        <f t="shared" si="37"/>
        <v>July</v>
      </c>
      <c r="BJ183">
        <f t="shared" ca="1" si="28"/>
        <v>509</v>
      </c>
      <c r="BK183" s="8">
        <f t="shared" si="38"/>
        <v>0.31532995350400539</v>
      </c>
      <c r="BL183">
        <f t="shared" si="39"/>
        <v>23829</v>
      </c>
      <c r="BM183">
        <f t="shared" si="40"/>
        <v>68</v>
      </c>
      <c r="BN183">
        <v>1182</v>
      </c>
      <c r="BO183">
        <v>45635</v>
      </c>
      <c r="BP183" t="str">
        <v>West</v>
      </c>
      <c r="BQ183" t="str">
        <v>Priya</v>
      </c>
      <c r="BR183" t="str">
        <v>Customer_25</v>
      </c>
      <c r="BS183" t="str">
        <v>Office Supplies</v>
      </c>
      <c r="BT183" t="str">
        <v>Mouse</v>
      </c>
      <c r="BU183">
        <v>3</v>
      </c>
      <c r="BV183">
        <v>867</v>
      </c>
      <c r="BW183">
        <v>15</v>
      </c>
      <c r="BX183">
        <v>2210.85</v>
      </c>
      <c r="BY183">
        <v>1514.03</v>
      </c>
      <c r="BZ183">
        <v>696.82</v>
      </c>
      <c r="CA183" t="str">
        <v>UPI</v>
      </c>
      <c r="CB183">
        <v>8</v>
      </c>
      <c r="CC183">
        <v>3.9</v>
      </c>
      <c r="CD183" t="b">
        <f>COUNTIF(Sales_Data!E:E,Sales_Data!E183)&gt;1</f>
        <v>1</v>
      </c>
      <c r="CE183">
        <f>SUM(Sales_Data!$K$2:'Sales_Data'!K183)</f>
        <v>42600464.54999999</v>
      </c>
      <c r="CF183">
        <f t="shared" si="41"/>
        <v>246343.8</v>
      </c>
      <c r="CG183" t="str">
        <f>CHOOSE(MATCH(C183,{"North","West","South","East"},0),"Zone 1","Zone 2","Zone 3","Zone 4")</f>
        <v>Zone 4</v>
      </c>
      <c r="CH183" t="str" cm="1">
        <f t="array" ref="CH183">_xlfn.SWITCH(N183,"Card","Card Payment","UPI", "UPI Payment","Cash","Cash Payment","NetBanking", "NetBanking Payment", "Unknown")</f>
        <v>Card Payment</v>
      </c>
      <c r="CI183" t="str" cm="1">
        <f t="array" ref="CI183">_xlfn.IFS(Sales_Data!J183&lt;=5,"Low",Sales_Data!J183&lt;=10,"Medium",Sales_Data!J183&gt;10,"High")</f>
        <v>Low</v>
      </c>
    </row>
    <row r="184" spans="1:87" x14ac:dyDescent="0.3">
      <c r="A184">
        <v>1184</v>
      </c>
      <c r="B184" s="1">
        <v>45437</v>
      </c>
      <c r="C184" t="s">
        <v>16</v>
      </c>
      <c r="D184" t="s">
        <v>39</v>
      </c>
      <c r="E184" t="s">
        <v>76</v>
      </c>
      <c r="F184" t="s">
        <v>35</v>
      </c>
      <c r="G184" t="s">
        <v>44</v>
      </c>
      <c r="H184">
        <v>16</v>
      </c>
      <c r="I184">
        <v>43648</v>
      </c>
      <c r="J184">
        <v>15</v>
      </c>
      <c r="K184">
        <v>593612.80000000005</v>
      </c>
      <c r="L184">
        <v>392653.62</v>
      </c>
      <c r="M184">
        <v>200959.18</v>
      </c>
      <c r="N184" t="s">
        <v>48</v>
      </c>
      <c r="O184">
        <v>4</v>
      </c>
      <c r="P184">
        <v>5</v>
      </c>
      <c r="Q184">
        <f t="shared" si="29"/>
        <v>13</v>
      </c>
      <c r="R184" t="str">
        <f t="shared" si="30"/>
        <v>Printer</v>
      </c>
      <c r="S184" t="e">
        <f t="shared" si="31"/>
        <v>#N/A</v>
      </c>
      <c r="AK184">
        <v>1168</v>
      </c>
      <c r="AL184">
        <v>45446</v>
      </c>
      <c r="AM184" t="str">
        <v>South</v>
      </c>
      <c r="AN184" t="str">
        <v>Rohan</v>
      </c>
      <c r="AO184" t="str">
        <v>Customer_37</v>
      </c>
      <c r="AP184" t="str">
        <v>Electronics</v>
      </c>
      <c r="AQ184" t="str">
        <v>Mouse</v>
      </c>
      <c r="AR184">
        <v>12</v>
      </c>
      <c r="AS184">
        <v>4553</v>
      </c>
      <c r="AT184">
        <v>20</v>
      </c>
      <c r="AU184">
        <v>43708.800000000003</v>
      </c>
      <c r="AV184">
        <v>37099.79</v>
      </c>
      <c r="AW184">
        <v>6609.01</v>
      </c>
      <c r="AX184" t="str">
        <v>Cash</v>
      </c>
      <c r="AY184">
        <v>2</v>
      </c>
      <c r="AZ184">
        <v>4.3</v>
      </c>
      <c r="BA184">
        <v>182</v>
      </c>
      <c r="BB184" t="str">
        <v>Mouse</v>
      </c>
      <c r="BC184" s="6">
        <f t="shared" si="32"/>
        <v>2</v>
      </c>
      <c r="BD184" t="str">
        <f t="shared" si="33"/>
        <v>Bonus!</v>
      </c>
      <c r="BE184" s="8">
        <f t="shared" si="34"/>
        <v>0.33853579302872172</v>
      </c>
      <c r="BF184" t="str">
        <v>Customer_49</v>
      </c>
      <c r="BG184" t="str">
        <f t="shared" si="35"/>
        <v>West-Printer</v>
      </c>
      <c r="BH184">
        <f t="shared" si="36"/>
        <v>2024</v>
      </c>
      <c r="BI184" t="str">
        <f t="shared" si="37"/>
        <v>May</v>
      </c>
      <c r="BJ184">
        <f t="shared" ca="1" si="28"/>
        <v>548</v>
      </c>
      <c r="BK184" s="8">
        <f t="shared" si="38"/>
        <v>0.33853579302872172</v>
      </c>
      <c r="BL184">
        <f t="shared" si="39"/>
        <v>1561</v>
      </c>
      <c r="BM184">
        <f t="shared" si="40"/>
        <v>63</v>
      </c>
      <c r="BN184">
        <v>1183</v>
      </c>
      <c r="BO184">
        <v>45492</v>
      </c>
      <c r="BP184" t="str">
        <v>East</v>
      </c>
      <c r="BQ184" t="str">
        <v>Neha</v>
      </c>
      <c r="BR184" t="str">
        <v>Customer_4</v>
      </c>
      <c r="BS184" t="str">
        <v>Furniture</v>
      </c>
      <c r="BT184" t="str">
        <v>Keyboard</v>
      </c>
      <c r="BU184">
        <v>12</v>
      </c>
      <c r="BV184">
        <v>17851</v>
      </c>
      <c r="BW184">
        <v>0</v>
      </c>
      <c r="BX184">
        <v>214212</v>
      </c>
      <c r="BY184">
        <v>146664.54</v>
      </c>
      <c r="BZ184">
        <v>67547.460000000006</v>
      </c>
      <c r="CA184" t="str">
        <v>Card</v>
      </c>
      <c r="CB184">
        <v>6</v>
      </c>
      <c r="CC184">
        <v>4.2</v>
      </c>
      <c r="CD184" t="b">
        <f>COUNTIF(Sales_Data!E:E,Sales_Data!E184)&gt;1</f>
        <v>1</v>
      </c>
      <c r="CE184">
        <f>SUM(Sales_Data!$K$2:'Sales_Data'!K184)</f>
        <v>43194077.349999987</v>
      </c>
      <c r="CF184">
        <f t="shared" si="41"/>
        <v>682654.71999999997</v>
      </c>
      <c r="CG184" t="str">
        <f>CHOOSE(MATCH(C184,{"North","West","South","East"},0),"Zone 1","Zone 2","Zone 3","Zone 4")</f>
        <v>Zone 2</v>
      </c>
      <c r="CH184" t="str" cm="1">
        <f t="array" ref="CH184">_xlfn.SWITCH(N184,"Card","Card Payment","UPI", "UPI Payment","Cash","Cash Payment","NetBanking", "NetBanking Payment", "Unknown")</f>
        <v>NetBanking Payment</v>
      </c>
      <c r="CI184" t="str" cm="1">
        <f t="array" ref="CI184">_xlfn.IFS(Sales_Data!J184&lt;=5,"Low",Sales_Data!J184&lt;=10,"Medium",Sales_Data!J184&gt;10,"High")</f>
        <v>High</v>
      </c>
    </row>
    <row r="185" spans="1:87" x14ac:dyDescent="0.3">
      <c r="A185">
        <v>1185</v>
      </c>
      <c r="B185" s="1">
        <v>45302</v>
      </c>
      <c r="C185" t="s">
        <v>16</v>
      </c>
      <c r="D185" t="s">
        <v>23</v>
      </c>
      <c r="E185" t="s">
        <v>91</v>
      </c>
      <c r="F185" t="s">
        <v>35</v>
      </c>
      <c r="G185" t="s">
        <v>65</v>
      </c>
      <c r="H185">
        <v>20</v>
      </c>
      <c r="I185">
        <v>35470</v>
      </c>
      <c r="J185">
        <v>5</v>
      </c>
      <c r="K185">
        <v>673930</v>
      </c>
      <c r="L185">
        <v>548102.93999999994</v>
      </c>
      <c r="M185">
        <v>125827.06</v>
      </c>
      <c r="N185" t="s">
        <v>21</v>
      </c>
      <c r="O185">
        <v>6</v>
      </c>
      <c r="P185">
        <v>4.0999999999999996</v>
      </c>
      <c r="Q185">
        <f t="shared" si="29"/>
        <v>37</v>
      </c>
      <c r="R185" t="str">
        <f t="shared" si="30"/>
        <v>Mouse</v>
      </c>
      <c r="S185" t="e">
        <f t="shared" si="31"/>
        <v>#N/A</v>
      </c>
      <c r="AK185">
        <v>1135</v>
      </c>
      <c r="AL185">
        <v>45556</v>
      </c>
      <c r="AM185" t="str">
        <v>North</v>
      </c>
      <c r="AN185" t="str">
        <v>Rohan</v>
      </c>
      <c r="AO185" t="str">
        <v>Customer_41</v>
      </c>
      <c r="AP185" t="str">
        <v>Electronics</v>
      </c>
      <c r="AQ185" t="str">
        <v>Monitor</v>
      </c>
      <c r="AR185">
        <v>8</v>
      </c>
      <c r="AS185">
        <v>6056</v>
      </c>
      <c r="AT185">
        <v>20</v>
      </c>
      <c r="AU185">
        <v>38758.400000000001</v>
      </c>
      <c r="AV185">
        <v>32205.93</v>
      </c>
      <c r="AW185">
        <v>6552.47</v>
      </c>
      <c r="AX185" t="str">
        <v>Cash</v>
      </c>
      <c r="AY185">
        <v>7</v>
      </c>
      <c r="AZ185">
        <v>4.2</v>
      </c>
      <c r="BA185">
        <v>183</v>
      </c>
      <c r="BB185" t="str">
        <v>Monitor</v>
      </c>
      <c r="BC185" s="6">
        <f t="shared" si="32"/>
        <v>0</v>
      </c>
      <c r="BD185" t="str">
        <f t="shared" si="33"/>
        <v>Bonus!</v>
      </c>
      <c r="BE185" s="8">
        <f t="shared" si="34"/>
        <v>0.18670642351579542</v>
      </c>
      <c r="BF185" t="str">
        <v>Customer_5</v>
      </c>
      <c r="BG185" t="str">
        <f t="shared" si="35"/>
        <v>West-Mouse</v>
      </c>
      <c r="BH185">
        <f t="shared" si="36"/>
        <v>2024</v>
      </c>
      <c r="BI185" t="str">
        <f t="shared" si="37"/>
        <v>January</v>
      </c>
      <c r="BJ185">
        <f t="shared" ca="1" si="28"/>
        <v>645</v>
      </c>
      <c r="BK185" s="8">
        <f t="shared" si="38"/>
        <v>0.18670642351579542</v>
      </c>
      <c r="BL185">
        <f t="shared" si="39"/>
        <v>41775</v>
      </c>
      <c r="BM185">
        <f t="shared" si="40"/>
        <v>130</v>
      </c>
      <c r="BN185">
        <v>1184</v>
      </c>
      <c r="BO185">
        <v>45437</v>
      </c>
      <c r="BP185" t="str">
        <v>West</v>
      </c>
      <c r="BQ185" t="str">
        <v>Sneha</v>
      </c>
      <c r="BR185" t="str">
        <v>Customer_37</v>
      </c>
      <c r="BS185" t="str">
        <v>Furniture</v>
      </c>
      <c r="BT185" t="str">
        <v>Printer</v>
      </c>
      <c r="BU185">
        <v>16</v>
      </c>
      <c r="BV185">
        <v>43648</v>
      </c>
      <c r="BW185">
        <v>15</v>
      </c>
      <c r="BX185">
        <v>593612.80000000005</v>
      </c>
      <c r="BY185">
        <v>392653.62</v>
      </c>
      <c r="BZ185">
        <v>200959.18</v>
      </c>
      <c r="CA185" t="str">
        <v>NetBanking</v>
      </c>
      <c r="CB185">
        <v>4</v>
      </c>
      <c r="CC185">
        <v>5</v>
      </c>
      <c r="CD185" t="b">
        <f>COUNTIF(Sales_Data!E:E,Sales_Data!E185)&gt;1</f>
        <v>1</v>
      </c>
      <c r="CE185">
        <f>SUM(Sales_Data!$K$2:'Sales_Data'!K185)</f>
        <v>43868007.349999987</v>
      </c>
      <c r="CF185">
        <f t="shared" si="41"/>
        <v>775019.49999999988</v>
      </c>
      <c r="CG185" t="str">
        <f>CHOOSE(MATCH(C185,{"North","West","South","East"},0),"Zone 1","Zone 2","Zone 3","Zone 4")</f>
        <v>Zone 2</v>
      </c>
      <c r="CH185" t="str" cm="1">
        <f t="array" ref="CH185">_xlfn.SWITCH(N185,"Card","Card Payment","UPI", "UPI Payment","Cash","Cash Payment","NetBanking", "NetBanking Payment", "Unknown")</f>
        <v>Card Payment</v>
      </c>
      <c r="CI185" t="str" cm="1">
        <f t="array" ref="CI185">_xlfn.IFS(Sales_Data!J185&lt;=5,"Low",Sales_Data!J185&lt;=10,"Medium",Sales_Data!J185&gt;10,"High")</f>
        <v>Low</v>
      </c>
    </row>
    <row r="186" spans="1:87" x14ac:dyDescent="0.3">
      <c r="A186">
        <v>1186</v>
      </c>
      <c r="B186" s="1">
        <v>45419</v>
      </c>
      <c r="C186" t="s">
        <v>50</v>
      </c>
      <c r="D186" t="s">
        <v>51</v>
      </c>
      <c r="E186" t="s">
        <v>88</v>
      </c>
      <c r="F186" t="s">
        <v>19</v>
      </c>
      <c r="G186" t="s">
        <v>36</v>
      </c>
      <c r="H186">
        <v>6</v>
      </c>
      <c r="I186">
        <v>31768</v>
      </c>
      <c r="J186">
        <v>20</v>
      </c>
      <c r="K186">
        <v>152486.39999999999</v>
      </c>
      <c r="L186">
        <v>127441.19</v>
      </c>
      <c r="M186">
        <v>25045.21</v>
      </c>
      <c r="N186" t="s">
        <v>37</v>
      </c>
      <c r="O186">
        <v>8</v>
      </c>
      <c r="P186">
        <v>4.9000000000000004</v>
      </c>
      <c r="Q186">
        <f t="shared" si="29"/>
        <v>138</v>
      </c>
      <c r="R186" t="str">
        <f t="shared" si="30"/>
        <v>Laptop</v>
      </c>
      <c r="S186" t="e">
        <f t="shared" si="31"/>
        <v>#N/A</v>
      </c>
      <c r="AK186">
        <v>1034</v>
      </c>
      <c r="AL186">
        <v>45491</v>
      </c>
      <c r="AM186" t="str">
        <v>North</v>
      </c>
      <c r="AN186" t="str">
        <v>Arjun</v>
      </c>
      <c r="AO186" t="str">
        <v>Customer_14</v>
      </c>
      <c r="AP186" t="str">
        <v>Electronics</v>
      </c>
      <c r="AQ186" t="str">
        <v>Keyboard</v>
      </c>
      <c r="AR186">
        <v>1</v>
      </c>
      <c r="AS186">
        <v>20561</v>
      </c>
      <c r="AT186">
        <v>5</v>
      </c>
      <c r="AU186">
        <v>19532.95</v>
      </c>
      <c r="AV186">
        <v>13524.4</v>
      </c>
      <c r="AW186">
        <v>6008.55</v>
      </c>
      <c r="AX186" t="str">
        <v>Cash</v>
      </c>
      <c r="AY186">
        <v>3</v>
      </c>
      <c r="AZ186">
        <v>3</v>
      </c>
      <c r="BA186">
        <v>184</v>
      </c>
      <c r="BB186" t="str">
        <v>Keyboard</v>
      </c>
      <c r="BC186" s="6">
        <f t="shared" si="32"/>
        <v>2</v>
      </c>
      <c r="BD186" t="str">
        <f t="shared" si="33"/>
        <v/>
      </c>
      <c r="BE186" s="8">
        <f t="shared" si="34"/>
        <v>0.16424553271636028</v>
      </c>
      <c r="BF186" t="str">
        <v>Customer_5</v>
      </c>
      <c r="BG186" t="str">
        <f t="shared" si="35"/>
        <v>North-Laptop</v>
      </c>
      <c r="BH186">
        <f t="shared" si="36"/>
        <v>2024</v>
      </c>
      <c r="BI186" t="str">
        <f t="shared" si="37"/>
        <v>May</v>
      </c>
      <c r="BJ186">
        <f t="shared" ca="1" si="28"/>
        <v>562</v>
      </c>
      <c r="BK186" s="8">
        <f t="shared" si="38"/>
        <v>0.16424553271636028</v>
      </c>
      <c r="BL186">
        <f t="shared" si="39"/>
        <v>30283</v>
      </c>
      <c r="BM186">
        <f t="shared" si="40"/>
        <v>107</v>
      </c>
      <c r="BN186">
        <v>1185</v>
      </c>
      <c r="BO186">
        <v>45302</v>
      </c>
      <c r="BP186" t="str">
        <v>West</v>
      </c>
      <c r="BQ186" t="str">
        <v>Karan</v>
      </c>
      <c r="BR186" t="str">
        <v>Customer_32</v>
      </c>
      <c r="BS186" t="str">
        <v>Furniture</v>
      </c>
      <c r="BT186" t="str">
        <v>Mouse</v>
      </c>
      <c r="BU186">
        <v>20</v>
      </c>
      <c r="BV186">
        <v>35470</v>
      </c>
      <c r="BW186">
        <v>5</v>
      </c>
      <c r="BX186">
        <v>673930</v>
      </c>
      <c r="BY186">
        <v>548102.93999999994</v>
      </c>
      <c r="BZ186">
        <v>125827.06</v>
      </c>
      <c r="CA186" t="str">
        <v>Card</v>
      </c>
      <c r="CB186">
        <v>6</v>
      </c>
      <c r="CC186">
        <v>4.0999999999999996</v>
      </c>
      <c r="CD186" t="b">
        <f>COUNTIF(Sales_Data!E:E,Sales_Data!E186)&gt;1</f>
        <v>1</v>
      </c>
      <c r="CE186">
        <f>SUM(Sales_Data!$K$2:'Sales_Data'!K186)</f>
        <v>44020493.749999985</v>
      </c>
      <c r="CF186">
        <f t="shared" si="41"/>
        <v>175359.35999999999</v>
      </c>
      <c r="CG186" t="str">
        <f>CHOOSE(MATCH(C186,{"North","West","South","East"},0),"Zone 1","Zone 2","Zone 3","Zone 4")</f>
        <v>Zone 1</v>
      </c>
      <c r="CH186" t="str" cm="1">
        <f t="array" ref="CH186">_xlfn.SWITCH(N186,"Card","Card Payment","UPI", "UPI Payment","Cash","Cash Payment","NetBanking", "NetBanking Payment", "Unknown")</f>
        <v>Cash Payment</v>
      </c>
      <c r="CI186" t="str" cm="1">
        <f t="array" ref="CI186">_xlfn.IFS(Sales_Data!J186&lt;=5,"Low",Sales_Data!J186&lt;=10,"Medium",Sales_Data!J186&gt;10,"High")</f>
        <v>High</v>
      </c>
    </row>
    <row r="187" spans="1:87" x14ac:dyDescent="0.3">
      <c r="A187">
        <v>1187</v>
      </c>
      <c r="B187" s="1">
        <v>45308</v>
      </c>
      <c r="C187" t="s">
        <v>50</v>
      </c>
      <c r="D187" t="s">
        <v>39</v>
      </c>
      <c r="E187" t="s">
        <v>55</v>
      </c>
      <c r="F187" t="s">
        <v>25</v>
      </c>
      <c r="G187" t="s">
        <v>20</v>
      </c>
      <c r="H187">
        <v>2</v>
      </c>
      <c r="I187">
        <v>6712</v>
      </c>
      <c r="J187">
        <v>0</v>
      </c>
      <c r="K187">
        <v>13424</v>
      </c>
      <c r="L187">
        <v>8792.6200000000008</v>
      </c>
      <c r="M187">
        <v>4631.38</v>
      </c>
      <c r="N187" t="s">
        <v>27</v>
      </c>
      <c r="O187">
        <v>3</v>
      </c>
      <c r="P187">
        <v>3.7</v>
      </c>
      <c r="Q187">
        <f t="shared" si="29"/>
        <v>190</v>
      </c>
      <c r="R187" t="str">
        <f t="shared" si="30"/>
        <v>Phone</v>
      </c>
      <c r="S187" t="e">
        <f t="shared" si="31"/>
        <v>#N/A</v>
      </c>
      <c r="AK187">
        <v>1110</v>
      </c>
      <c r="AL187">
        <v>45632</v>
      </c>
      <c r="AM187" t="str">
        <v>North</v>
      </c>
      <c r="AN187" t="str">
        <v>Karan</v>
      </c>
      <c r="AO187" t="str">
        <v>Customer_38</v>
      </c>
      <c r="AP187" t="str">
        <v>Furniture</v>
      </c>
      <c r="AQ187" t="str">
        <v>Laptop</v>
      </c>
      <c r="AR187">
        <v>1</v>
      </c>
      <c r="AS187">
        <v>14144</v>
      </c>
      <c r="AT187">
        <v>15</v>
      </c>
      <c r="AU187">
        <v>12022.4</v>
      </c>
      <c r="AV187">
        <v>6995.11</v>
      </c>
      <c r="AW187">
        <v>5027.29</v>
      </c>
      <c r="AX187" t="str">
        <v>Card</v>
      </c>
      <c r="AY187">
        <v>1</v>
      </c>
      <c r="AZ187">
        <v>2.7</v>
      </c>
      <c r="BA187">
        <v>185</v>
      </c>
      <c r="BB187" t="str">
        <v>Laptop</v>
      </c>
      <c r="BC187" s="6">
        <f t="shared" si="32"/>
        <v>0</v>
      </c>
      <c r="BD187" t="str">
        <f t="shared" si="33"/>
        <v/>
      </c>
      <c r="BE187" s="8">
        <f t="shared" si="34"/>
        <v>0.34500744934445771</v>
      </c>
      <c r="BF187" t="str">
        <v>Customer_50</v>
      </c>
      <c r="BG187" t="str">
        <f t="shared" si="35"/>
        <v>North-Phone</v>
      </c>
      <c r="BH187">
        <f t="shared" si="36"/>
        <v>2024</v>
      </c>
      <c r="BI187" t="str">
        <f t="shared" si="37"/>
        <v>January</v>
      </c>
      <c r="BJ187">
        <f t="shared" ca="1" si="28"/>
        <v>641</v>
      </c>
      <c r="BK187" s="8">
        <f t="shared" si="38"/>
        <v>0.34500744934445771</v>
      </c>
      <c r="BL187">
        <f t="shared" si="39"/>
        <v>33295</v>
      </c>
      <c r="BM187">
        <f t="shared" si="40"/>
        <v>17</v>
      </c>
      <c r="BN187">
        <v>1186</v>
      </c>
      <c r="BO187">
        <v>45419</v>
      </c>
      <c r="BP187" t="str">
        <v>North</v>
      </c>
      <c r="BQ187" t="str">
        <v>Aman</v>
      </c>
      <c r="BR187" t="str">
        <v>Customer_50</v>
      </c>
      <c r="BS187" t="str">
        <v>Electronics</v>
      </c>
      <c r="BT187" t="str">
        <v>Laptop</v>
      </c>
      <c r="BU187">
        <v>6</v>
      </c>
      <c r="BV187">
        <v>31768</v>
      </c>
      <c r="BW187">
        <v>20</v>
      </c>
      <c r="BX187">
        <v>152486.39999999999</v>
      </c>
      <c r="BY187">
        <v>127441.19</v>
      </c>
      <c r="BZ187">
        <v>25045.21</v>
      </c>
      <c r="CA187" t="str">
        <v>Cash</v>
      </c>
      <c r="CB187">
        <v>8</v>
      </c>
      <c r="CC187">
        <v>4.9000000000000004</v>
      </c>
      <c r="CD187" t="b">
        <f>COUNTIF(Sales_Data!E:E,Sales_Data!E187)&gt;1</f>
        <v>1</v>
      </c>
      <c r="CE187">
        <f>SUM(Sales_Data!$K$2:'Sales_Data'!K187)</f>
        <v>44033917.749999985</v>
      </c>
      <c r="CF187">
        <f t="shared" si="41"/>
        <v>15437.599999999999</v>
      </c>
      <c r="CG187" t="str">
        <f>CHOOSE(MATCH(C187,{"North","West","South","East"},0),"Zone 1","Zone 2","Zone 3","Zone 4")</f>
        <v>Zone 1</v>
      </c>
      <c r="CH187" t="str" cm="1">
        <f t="array" ref="CH187">_xlfn.SWITCH(N187,"Card","Card Payment","UPI", "UPI Payment","Cash","Cash Payment","NetBanking", "NetBanking Payment", "Unknown")</f>
        <v>UPI Payment</v>
      </c>
      <c r="CI187" t="str" cm="1">
        <f t="array" ref="CI187">_xlfn.IFS(Sales_Data!J187&lt;=5,"Low",Sales_Data!J187&lt;=10,"Medium",Sales_Data!J187&gt;10,"High")</f>
        <v>Low</v>
      </c>
    </row>
    <row r="188" spans="1:87" x14ac:dyDescent="0.3">
      <c r="A188">
        <v>1188</v>
      </c>
      <c r="B188" s="1">
        <v>45605</v>
      </c>
      <c r="C188" t="s">
        <v>33</v>
      </c>
      <c r="D188" t="s">
        <v>17</v>
      </c>
      <c r="E188" t="s">
        <v>38</v>
      </c>
      <c r="F188" t="s">
        <v>35</v>
      </c>
      <c r="G188" t="s">
        <v>26</v>
      </c>
      <c r="H188">
        <v>15</v>
      </c>
      <c r="I188">
        <v>17952</v>
      </c>
      <c r="J188">
        <v>20</v>
      </c>
      <c r="K188">
        <v>215424</v>
      </c>
      <c r="L188">
        <v>130438.71</v>
      </c>
      <c r="M188">
        <v>84985.29</v>
      </c>
      <c r="N188" t="s">
        <v>37</v>
      </c>
      <c r="O188">
        <v>5</v>
      </c>
      <c r="P188">
        <v>4.7</v>
      </c>
      <c r="Q188">
        <f t="shared" si="29"/>
        <v>74</v>
      </c>
      <c r="R188" t="str">
        <f t="shared" si="30"/>
        <v>Keyboard</v>
      </c>
      <c r="S188" t="e">
        <f t="shared" si="31"/>
        <v>#N/A</v>
      </c>
      <c r="AK188">
        <v>1109</v>
      </c>
      <c r="AL188">
        <v>45617</v>
      </c>
      <c r="AM188" t="str">
        <v>South</v>
      </c>
      <c r="AN188" t="str">
        <v>Priya</v>
      </c>
      <c r="AO188" t="str">
        <v>Customer_48</v>
      </c>
      <c r="AP188" t="str">
        <v>Electronics</v>
      </c>
      <c r="AQ188" t="str">
        <v>Chair</v>
      </c>
      <c r="AR188">
        <v>6</v>
      </c>
      <c r="AS188">
        <v>3964</v>
      </c>
      <c r="AT188">
        <v>15</v>
      </c>
      <c r="AU188">
        <v>20216.400000000001</v>
      </c>
      <c r="AV188">
        <v>15242.67</v>
      </c>
      <c r="AW188">
        <v>4973.7299999999996</v>
      </c>
      <c r="AX188" t="str">
        <v>NetBanking</v>
      </c>
      <c r="AY188">
        <v>1</v>
      </c>
      <c r="AZ188">
        <v>3</v>
      </c>
      <c r="BA188">
        <v>186</v>
      </c>
      <c r="BB188" t="str">
        <v>Chair</v>
      </c>
      <c r="BC188" s="6">
        <f t="shared" si="32"/>
        <v>4</v>
      </c>
      <c r="BD188" t="str">
        <f t="shared" si="33"/>
        <v/>
      </c>
      <c r="BE188" s="8">
        <f t="shared" si="34"/>
        <v>0.39450242312834222</v>
      </c>
      <c r="BF188" t="str">
        <v>Customer_50</v>
      </c>
      <c r="BG188" t="str">
        <f t="shared" si="35"/>
        <v>East-Keyboard</v>
      </c>
      <c r="BH188">
        <f t="shared" si="36"/>
        <v>2024</v>
      </c>
      <c r="BI188" t="str">
        <f t="shared" si="37"/>
        <v>November</v>
      </c>
      <c r="BJ188">
        <f t="shared" ca="1" si="28"/>
        <v>428</v>
      </c>
      <c r="BK188" s="8">
        <f t="shared" si="38"/>
        <v>0.39450242312834222</v>
      </c>
      <c r="BL188">
        <f t="shared" si="39"/>
        <v>23829</v>
      </c>
      <c r="BM188">
        <f t="shared" si="40"/>
        <v>7</v>
      </c>
      <c r="BN188">
        <v>1187</v>
      </c>
      <c r="BO188">
        <v>45308</v>
      </c>
      <c r="BP188" t="str">
        <v>North</v>
      </c>
      <c r="BQ188" t="str">
        <v>Sneha</v>
      </c>
      <c r="BR188" t="str">
        <v>Customer_40</v>
      </c>
      <c r="BS188" t="str">
        <v>Office Supplies</v>
      </c>
      <c r="BT188" t="str">
        <v>Phone</v>
      </c>
      <c r="BU188">
        <v>2</v>
      </c>
      <c r="BV188">
        <v>6712</v>
      </c>
      <c r="BW188">
        <v>0</v>
      </c>
      <c r="BX188">
        <v>13424</v>
      </c>
      <c r="BY188">
        <v>8792.6200000000008</v>
      </c>
      <c r="BZ188">
        <v>4631.38</v>
      </c>
      <c r="CA188" t="str">
        <v>UPI</v>
      </c>
      <c r="CB188">
        <v>3</v>
      </c>
      <c r="CC188">
        <v>3.7</v>
      </c>
      <c r="CD188" t="b">
        <f>COUNTIF(Sales_Data!E:E,Sales_Data!E188)&gt;1</f>
        <v>1</v>
      </c>
      <c r="CE188">
        <f>SUM(Sales_Data!$K$2:'Sales_Data'!K188)</f>
        <v>44249341.749999985</v>
      </c>
      <c r="CF188">
        <f t="shared" si="41"/>
        <v>247737.59999999998</v>
      </c>
      <c r="CG188" t="str">
        <f>CHOOSE(MATCH(C188,{"North","West","South","East"},0),"Zone 1","Zone 2","Zone 3","Zone 4")</f>
        <v>Zone 4</v>
      </c>
      <c r="CH188" t="str" cm="1">
        <f t="array" ref="CH188">_xlfn.SWITCH(N188,"Card","Card Payment","UPI", "UPI Payment","Cash","Cash Payment","NetBanking", "NetBanking Payment", "Unknown")</f>
        <v>Cash Payment</v>
      </c>
      <c r="CI188" t="str" cm="1">
        <f t="array" ref="CI188">_xlfn.IFS(Sales_Data!J188&lt;=5,"Low",Sales_Data!J188&lt;=10,"Medium",Sales_Data!J188&gt;10,"High")</f>
        <v>High</v>
      </c>
    </row>
    <row r="189" spans="1:87" x14ac:dyDescent="0.3">
      <c r="A189">
        <v>1189</v>
      </c>
      <c r="B189" s="1">
        <v>45453</v>
      </c>
      <c r="C189" t="s">
        <v>16</v>
      </c>
      <c r="D189" t="s">
        <v>28</v>
      </c>
      <c r="E189" t="s">
        <v>54</v>
      </c>
      <c r="F189" t="s">
        <v>19</v>
      </c>
      <c r="G189" t="s">
        <v>36</v>
      </c>
      <c r="H189">
        <v>10</v>
      </c>
      <c r="I189">
        <v>47475</v>
      </c>
      <c r="J189">
        <v>5</v>
      </c>
      <c r="K189">
        <v>451012.5</v>
      </c>
      <c r="L189">
        <v>301133.07</v>
      </c>
      <c r="M189">
        <v>149879.43</v>
      </c>
      <c r="N189" t="s">
        <v>27</v>
      </c>
      <c r="O189">
        <v>1</v>
      </c>
      <c r="P189">
        <v>3.8</v>
      </c>
      <c r="Q189">
        <f t="shared" si="29"/>
        <v>24</v>
      </c>
      <c r="R189" t="str">
        <f t="shared" si="30"/>
        <v>Laptop</v>
      </c>
      <c r="S189" t="e">
        <f t="shared" si="31"/>
        <v>#N/A</v>
      </c>
      <c r="AK189">
        <v>1165</v>
      </c>
      <c r="AL189">
        <v>45691</v>
      </c>
      <c r="AM189" t="str">
        <v>East</v>
      </c>
      <c r="AN189" t="str">
        <v>Rohan</v>
      </c>
      <c r="AO189" t="str">
        <v>Customer_22</v>
      </c>
      <c r="AP189" t="str">
        <v>Furniture</v>
      </c>
      <c r="AQ189" t="str">
        <v>Phone</v>
      </c>
      <c r="AR189">
        <v>18</v>
      </c>
      <c r="AS189">
        <v>1865</v>
      </c>
      <c r="AT189">
        <v>10</v>
      </c>
      <c r="AU189">
        <v>30213</v>
      </c>
      <c r="AV189">
        <v>25299.55</v>
      </c>
      <c r="AW189">
        <v>4913.45</v>
      </c>
      <c r="AX189" t="str">
        <v>UPI</v>
      </c>
      <c r="AY189">
        <v>2</v>
      </c>
      <c r="AZ189">
        <v>3</v>
      </c>
      <c r="BA189">
        <v>187</v>
      </c>
      <c r="BB189" t="str">
        <v>Phone</v>
      </c>
      <c r="BC189" s="6">
        <f t="shared" si="32"/>
        <v>2</v>
      </c>
      <c r="BD189" t="str">
        <f t="shared" si="33"/>
        <v>Bonus!</v>
      </c>
      <c r="BE189" s="8">
        <f t="shared" si="34"/>
        <v>0.33231768520828137</v>
      </c>
      <c r="BF189" t="str">
        <v>Customer_50</v>
      </c>
      <c r="BG189" t="str">
        <f t="shared" si="35"/>
        <v>West-Laptop</v>
      </c>
      <c r="BH189">
        <f t="shared" si="36"/>
        <v>2024</v>
      </c>
      <c r="BI189" t="str">
        <f t="shared" si="37"/>
        <v>June</v>
      </c>
      <c r="BJ189">
        <f t="shared" ca="1" si="28"/>
        <v>538</v>
      </c>
      <c r="BK189" s="8">
        <f t="shared" si="38"/>
        <v>0.33231768520828137</v>
      </c>
      <c r="BL189">
        <f t="shared" si="39"/>
        <v>30283</v>
      </c>
      <c r="BM189">
        <f t="shared" si="40"/>
        <v>16</v>
      </c>
      <c r="BN189">
        <v>1188</v>
      </c>
      <c r="BO189">
        <v>45605</v>
      </c>
      <c r="BP189" t="str">
        <v>East</v>
      </c>
      <c r="BQ189" t="str">
        <v>Rohan</v>
      </c>
      <c r="BR189" t="str">
        <v>Customer_12</v>
      </c>
      <c r="BS189" t="str">
        <v>Furniture</v>
      </c>
      <c r="BT189" t="str">
        <v>Keyboard</v>
      </c>
      <c r="BU189">
        <v>15</v>
      </c>
      <c r="BV189">
        <v>17952</v>
      </c>
      <c r="BW189">
        <v>20</v>
      </c>
      <c r="BX189">
        <v>215424</v>
      </c>
      <c r="BY189">
        <v>130438.71</v>
      </c>
      <c r="BZ189">
        <v>84985.29</v>
      </c>
      <c r="CA189" t="str">
        <v>Cash</v>
      </c>
      <c r="CB189">
        <v>5</v>
      </c>
      <c r="CC189">
        <v>4.7</v>
      </c>
      <c r="CD189" t="b">
        <f>COUNTIF(Sales_Data!E:E,Sales_Data!E189)&gt;1</f>
        <v>1</v>
      </c>
      <c r="CE189">
        <f>SUM(Sales_Data!$K$2:'Sales_Data'!K189)</f>
        <v>44700354.249999985</v>
      </c>
      <c r="CF189">
        <f t="shared" si="41"/>
        <v>518664.37499999994</v>
      </c>
      <c r="CG189" t="str">
        <f>CHOOSE(MATCH(C189,{"North","West","South","East"},0),"Zone 1","Zone 2","Zone 3","Zone 4")</f>
        <v>Zone 2</v>
      </c>
      <c r="CH189" t="str" cm="1">
        <f t="array" ref="CH189">_xlfn.SWITCH(N189,"Card","Card Payment","UPI", "UPI Payment","Cash","Cash Payment","NetBanking", "NetBanking Payment", "Unknown")</f>
        <v>UPI Payment</v>
      </c>
      <c r="CI189" t="str" cm="1">
        <f t="array" ref="CI189">_xlfn.IFS(Sales_Data!J189&lt;=5,"Low",Sales_Data!J189&lt;=10,"Medium",Sales_Data!J189&gt;10,"High")</f>
        <v>Low</v>
      </c>
    </row>
    <row r="190" spans="1:87" x14ac:dyDescent="0.3">
      <c r="A190">
        <v>1190</v>
      </c>
      <c r="B190" s="1">
        <v>45582</v>
      </c>
      <c r="C190" t="s">
        <v>22</v>
      </c>
      <c r="D190" t="s">
        <v>39</v>
      </c>
      <c r="E190" t="s">
        <v>61</v>
      </c>
      <c r="F190" t="s">
        <v>25</v>
      </c>
      <c r="G190" t="s">
        <v>20</v>
      </c>
      <c r="H190">
        <v>6</v>
      </c>
      <c r="I190">
        <v>38939</v>
      </c>
      <c r="J190">
        <v>15</v>
      </c>
      <c r="K190">
        <v>198588.9</v>
      </c>
      <c r="L190">
        <v>135305.46</v>
      </c>
      <c r="M190">
        <v>63283.44</v>
      </c>
      <c r="N190" t="s">
        <v>27</v>
      </c>
      <c r="O190">
        <v>6</v>
      </c>
      <c r="P190">
        <v>3.2</v>
      </c>
      <c r="Q190">
        <f t="shared" si="29"/>
        <v>91</v>
      </c>
      <c r="R190" t="str">
        <f t="shared" si="30"/>
        <v>Phone</v>
      </c>
      <c r="S190" t="e">
        <f t="shared" si="31"/>
        <v>#N/A</v>
      </c>
      <c r="AK190">
        <v>1128</v>
      </c>
      <c r="AL190">
        <v>45445</v>
      </c>
      <c r="AM190" t="str">
        <v>East</v>
      </c>
      <c r="AN190" t="str">
        <v>Megha</v>
      </c>
      <c r="AO190" t="str">
        <v>Customer_41</v>
      </c>
      <c r="AP190" t="str">
        <v>Office Supplies</v>
      </c>
      <c r="AQ190" t="str">
        <v>Monitor</v>
      </c>
      <c r="AR190">
        <v>7</v>
      </c>
      <c r="AS190">
        <v>1605</v>
      </c>
      <c r="AT190">
        <v>0</v>
      </c>
      <c r="AU190">
        <v>11235</v>
      </c>
      <c r="AV190">
        <v>6446.58</v>
      </c>
      <c r="AW190">
        <v>4788.42</v>
      </c>
      <c r="AX190" t="str">
        <v>UPI</v>
      </c>
      <c r="AY190">
        <v>2</v>
      </c>
      <c r="AZ190">
        <v>2.9</v>
      </c>
      <c r="BA190">
        <v>188</v>
      </c>
      <c r="BB190" t="str">
        <v>Monitor</v>
      </c>
      <c r="BC190" s="6">
        <f t="shared" si="32"/>
        <v>3</v>
      </c>
      <c r="BD190" t="str">
        <f t="shared" si="33"/>
        <v/>
      </c>
      <c r="BE190" s="8">
        <f t="shared" si="34"/>
        <v>0.31866554475099063</v>
      </c>
      <c r="BF190" t="str">
        <v>Customer_50</v>
      </c>
      <c r="BG190" t="str">
        <f t="shared" si="35"/>
        <v>South-Phone</v>
      </c>
      <c r="BH190">
        <f t="shared" si="36"/>
        <v>2024</v>
      </c>
      <c r="BI190" t="str">
        <f t="shared" si="37"/>
        <v>October</v>
      </c>
      <c r="BJ190">
        <f t="shared" ca="1" si="28"/>
        <v>445</v>
      </c>
      <c r="BK190" s="8">
        <f t="shared" si="38"/>
        <v>0.31866554475099063</v>
      </c>
      <c r="BL190">
        <f t="shared" si="39"/>
        <v>33295</v>
      </c>
      <c r="BM190">
        <f t="shared" si="40"/>
        <v>24</v>
      </c>
      <c r="BN190">
        <v>1189</v>
      </c>
      <c r="BO190">
        <v>45453</v>
      </c>
      <c r="BP190" t="str">
        <v>West</v>
      </c>
      <c r="BQ190" t="str">
        <v>Arjun</v>
      </c>
      <c r="BR190" t="str">
        <v>Customer_25</v>
      </c>
      <c r="BS190" t="str">
        <v>Electronics</v>
      </c>
      <c r="BT190" t="str">
        <v>Laptop</v>
      </c>
      <c r="BU190">
        <v>10</v>
      </c>
      <c r="BV190">
        <v>47475</v>
      </c>
      <c r="BW190">
        <v>5</v>
      </c>
      <c r="BX190">
        <v>451012.5</v>
      </c>
      <c r="BY190">
        <v>301133.07</v>
      </c>
      <c r="BZ190">
        <v>149879.43</v>
      </c>
      <c r="CA190" t="str">
        <v>UPI</v>
      </c>
      <c r="CB190">
        <v>1</v>
      </c>
      <c r="CC190">
        <v>3.8</v>
      </c>
      <c r="CD190" t="b">
        <f>COUNTIF(Sales_Data!E:E,Sales_Data!E190)&gt;1</f>
        <v>1</v>
      </c>
      <c r="CE190">
        <f>SUM(Sales_Data!$K$2:'Sales_Data'!K190)</f>
        <v>44898943.149999984</v>
      </c>
      <c r="CF190">
        <f t="shared" si="41"/>
        <v>228377.23499999999</v>
      </c>
      <c r="CG190" t="str">
        <f>CHOOSE(MATCH(C190,{"North","West","South","East"},0),"Zone 1","Zone 2","Zone 3","Zone 4")</f>
        <v>Zone 3</v>
      </c>
      <c r="CH190" t="str" cm="1">
        <f t="array" ref="CH190">_xlfn.SWITCH(N190,"Card","Card Payment","UPI", "UPI Payment","Cash","Cash Payment","NetBanking", "NetBanking Payment", "Unknown")</f>
        <v>UPI Payment</v>
      </c>
      <c r="CI190" t="str" cm="1">
        <f t="array" ref="CI190">_xlfn.IFS(Sales_Data!J190&lt;=5,"Low",Sales_Data!J190&lt;=10,"Medium",Sales_Data!J190&gt;10,"High")</f>
        <v>High</v>
      </c>
    </row>
    <row r="191" spans="1:87" x14ac:dyDescent="0.3">
      <c r="A191">
        <v>1191</v>
      </c>
      <c r="B191" s="1">
        <v>45504</v>
      </c>
      <c r="C191" t="s">
        <v>22</v>
      </c>
      <c r="D191" t="s">
        <v>51</v>
      </c>
      <c r="E191" t="s">
        <v>18</v>
      </c>
      <c r="F191" t="s">
        <v>35</v>
      </c>
      <c r="G191" t="s">
        <v>44</v>
      </c>
      <c r="H191">
        <v>14</v>
      </c>
      <c r="I191">
        <v>29165</v>
      </c>
      <c r="J191">
        <v>5</v>
      </c>
      <c r="K191">
        <v>387894.5</v>
      </c>
      <c r="L191">
        <v>220212.89</v>
      </c>
      <c r="M191">
        <v>167681.60999999999</v>
      </c>
      <c r="N191" t="s">
        <v>37</v>
      </c>
      <c r="O191">
        <v>8</v>
      </c>
      <c r="P191">
        <v>4</v>
      </c>
      <c r="Q191">
        <f t="shared" si="29"/>
        <v>18</v>
      </c>
      <c r="R191" t="str">
        <f t="shared" si="30"/>
        <v>Printer</v>
      </c>
      <c r="S191" t="e">
        <f t="shared" si="31"/>
        <v>#N/A</v>
      </c>
      <c r="AK191">
        <v>1155</v>
      </c>
      <c r="AL191">
        <v>45787</v>
      </c>
      <c r="AM191" t="str">
        <v>South</v>
      </c>
      <c r="AN191" t="str">
        <v>Sneha</v>
      </c>
      <c r="AO191" t="str">
        <v>Customer_32</v>
      </c>
      <c r="AP191" t="str">
        <v>Office Supplies</v>
      </c>
      <c r="AQ191" t="str">
        <v>Chair</v>
      </c>
      <c r="AR191">
        <v>1</v>
      </c>
      <c r="AS191">
        <v>30896</v>
      </c>
      <c r="AT191">
        <v>20</v>
      </c>
      <c r="AU191">
        <v>24716.799999999999</v>
      </c>
      <c r="AV191">
        <v>20061.04</v>
      </c>
      <c r="AW191">
        <v>4655.76</v>
      </c>
      <c r="AX191" t="str">
        <v>Cash</v>
      </c>
      <c r="AY191">
        <v>2</v>
      </c>
      <c r="AZ191">
        <v>3.2</v>
      </c>
      <c r="BA191">
        <v>189</v>
      </c>
      <c r="BB191" t="str">
        <v>Chair</v>
      </c>
      <c r="BC191" s="6">
        <f t="shared" si="32"/>
        <v>2</v>
      </c>
      <c r="BD191" t="str">
        <f t="shared" si="33"/>
        <v>Bonus!</v>
      </c>
      <c r="BE191" s="8">
        <f t="shared" si="34"/>
        <v>0.4322866397950989</v>
      </c>
      <c r="BF191" t="str">
        <v>Customer_6</v>
      </c>
      <c r="BG191" t="str">
        <f t="shared" si="35"/>
        <v>South-Printer</v>
      </c>
      <c r="BH191">
        <f t="shared" si="36"/>
        <v>2024</v>
      </c>
      <c r="BI191" t="str">
        <f t="shared" si="37"/>
        <v>July</v>
      </c>
      <c r="BJ191">
        <f t="shared" ca="1" si="28"/>
        <v>501</v>
      </c>
      <c r="BK191" s="8">
        <f t="shared" si="38"/>
        <v>0.4322866397950989</v>
      </c>
      <c r="BL191">
        <f t="shared" si="39"/>
        <v>1561</v>
      </c>
      <c r="BM191">
        <f t="shared" si="40"/>
        <v>2</v>
      </c>
      <c r="BN191">
        <v>1190</v>
      </c>
      <c r="BO191">
        <v>45582</v>
      </c>
      <c r="BP191" t="str">
        <v>South</v>
      </c>
      <c r="BQ191" t="str">
        <v>Sneha</v>
      </c>
      <c r="BR191" t="str">
        <v>Customer_11</v>
      </c>
      <c r="BS191" t="str">
        <v>Office Supplies</v>
      </c>
      <c r="BT191" t="str">
        <v>Phone</v>
      </c>
      <c r="BU191">
        <v>6</v>
      </c>
      <c r="BV191">
        <v>38939</v>
      </c>
      <c r="BW191">
        <v>15</v>
      </c>
      <c r="BX191">
        <v>198588.9</v>
      </c>
      <c r="BY191">
        <v>135305.46</v>
      </c>
      <c r="BZ191">
        <v>63283.44</v>
      </c>
      <c r="CA191" t="str">
        <v>UPI</v>
      </c>
      <c r="CB191">
        <v>6</v>
      </c>
      <c r="CC191">
        <v>3.2</v>
      </c>
      <c r="CD191" t="b">
        <f>COUNTIF(Sales_Data!E:E,Sales_Data!E191)&gt;1</f>
        <v>1</v>
      </c>
      <c r="CE191">
        <f>SUM(Sales_Data!$K$2:'Sales_Data'!K191)</f>
        <v>45286837.649999984</v>
      </c>
      <c r="CF191">
        <f t="shared" si="41"/>
        <v>446078.67499999999</v>
      </c>
      <c r="CG191" t="str">
        <f>CHOOSE(MATCH(C191,{"North","West","South","East"},0),"Zone 1","Zone 2","Zone 3","Zone 4")</f>
        <v>Zone 3</v>
      </c>
      <c r="CH191" t="str" cm="1">
        <f t="array" ref="CH191">_xlfn.SWITCH(N191,"Card","Card Payment","UPI", "UPI Payment","Cash","Cash Payment","NetBanking", "NetBanking Payment", "Unknown")</f>
        <v>Cash Payment</v>
      </c>
      <c r="CI191" t="str" cm="1">
        <f t="array" ref="CI191">_xlfn.IFS(Sales_Data!J191&lt;=5,"Low",Sales_Data!J191&lt;=10,"Medium",Sales_Data!J191&gt;10,"High")</f>
        <v>Low</v>
      </c>
    </row>
    <row r="192" spans="1:87" x14ac:dyDescent="0.3">
      <c r="A192">
        <v>1192</v>
      </c>
      <c r="B192" s="1">
        <v>45405</v>
      </c>
      <c r="C192" t="s">
        <v>33</v>
      </c>
      <c r="D192" t="s">
        <v>42</v>
      </c>
      <c r="E192" t="s">
        <v>79</v>
      </c>
      <c r="F192" t="s">
        <v>35</v>
      </c>
      <c r="G192" t="s">
        <v>36</v>
      </c>
      <c r="H192">
        <v>17</v>
      </c>
      <c r="I192">
        <v>965</v>
      </c>
      <c r="J192">
        <v>10</v>
      </c>
      <c r="K192">
        <v>14764.5</v>
      </c>
      <c r="L192">
        <v>11870.38</v>
      </c>
      <c r="M192">
        <v>2894.12</v>
      </c>
      <c r="N192" t="s">
        <v>37</v>
      </c>
      <c r="O192">
        <v>7</v>
      </c>
      <c r="P192">
        <v>3.9</v>
      </c>
      <c r="Q192">
        <f t="shared" si="29"/>
        <v>195</v>
      </c>
      <c r="R192" t="str">
        <f t="shared" si="30"/>
        <v>Laptop</v>
      </c>
      <c r="S192" t="e">
        <f t="shared" si="31"/>
        <v>#N/A</v>
      </c>
      <c r="AK192">
        <v>1187</v>
      </c>
      <c r="AL192">
        <v>45308</v>
      </c>
      <c r="AM192" t="str">
        <v>North</v>
      </c>
      <c r="AN192" t="str">
        <v>Sneha</v>
      </c>
      <c r="AO192" t="str">
        <v>Customer_40</v>
      </c>
      <c r="AP192" t="str">
        <v>Office Supplies</v>
      </c>
      <c r="AQ192" t="str">
        <v>Phone</v>
      </c>
      <c r="AR192">
        <v>2</v>
      </c>
      <c r="AS192">
        <v>6712</v>
      </c>
      <c r="AT192">
        <v>0</v>
      </c>
      <c r="AU192">
        <v>13424</v>
      </c>
      <c r="AV192">
        <v>8792.6200000000008</v>
      </c>
      <c r="AW192">
        <v>4631.38</v>
      </c>
      <c r="AX192" t="str">
        <v>UPI</v>
      </c>
      <c r="AY192">
        <v>3</v>
      </c>
      <c r="AZ192">
        <v>3.7</v>
      </c>
      <c r="BA192">
        <v>190</v>
      </c>
      <c r="BB192" t="str">
        <v>Phone</v>
      </c>
      <c r="BC192" s="6">
        <f t="shared" si="32"/>
        <v>1</v>
      </c>
      <c r="BD192" t="str">
        <f t="shared" si="33"/>
        <v/>
      </c>
      <c r="BE192" s="8">
        <f t="shared" si="34"/>
        <v>0.196018828947814</v>
      </c>
      <c r="BF192" t="str">
        <v>Customer_6</v>
      </c>
      <c r="BG192" t="str">
        <f t="shared" si="35"/>
        <v>East-Laptop</v>
      </c>
      <c r="BH192">
        <f t="shared" si="36"/>
        <v>2024</v>
      </c>
      <c r="BI192" t="str">
        <f t="shared" si="37"/>
        <v>April</v>
      </c>
      <c r="BJ192">
        <f t="shared" ca="1" si="28"/>
        <v>572</v>
      </c>
      <c r="BK192" s="8">
        <f t="shared" si="38"/>
        <v>0.196018828947814</v>
      </c>
      <c r="BL192">
        <f t="shared" si="39"/>
        <v>30283</v>
      </c>
      <c r="BM192">
        <f t="shared" si="40"/>
        <v>69</v>
      </c>
      <c r="BN192">
        <v>1191</v>
      </c>
      <c r="BO192">
        <v>45504</v>
      </c>
      <c r="BP192" t="str">
        <v>South</v>
      </c>
      <c r="BQ192" t="str">
        <v>Aman</v>
      </c>
      <c r="BR192" t="str">
        <v>Customer_46</v>
      </c>
      <c r="BS192" t="str">
        <v>Furniture</v>
      </c>
      <c r="BT192" t="str">
        <v>Printer</v>
      </c>
      <c r="BU192">
        <v>14</v>
      </c>
      <c r="BV192">
        <v>29165</v>
      </c>
      <c r="BW192">
        <v>5</v>
      </c>
      <c r="BX192">
        <v>387894.5</v>
      </c>
      <c r="BY192">
        <v>220212.89</v>
      </c>
      <c r="BZ192">
        <v>167681.60999999999</v>
      </c>
      <c r="CA192" t="str">
        <v>Cash</v>
      </c>
      <c r="CB192">
        <v>8</v>
      </c>
      <c r="CC192">
        <v>4</v>
      </c>
      <c r="CD192" t="b">
        <f>COUNTIF(Sales_Data!E:E,Sales_Data!E192)&gt;1</f>
        <v>1</v>
      </c>
      <c r="CE192">
        <f>SUM(Sales_Data!$K$2:'Sales_Data'!K192)</f>
        <v>45301602.149999984</v>
      </c>
      <c r="CF192">
        <f t="shared" si="41"/>
        <v>16979.174999999999</v>
      </c>
      <c r="CG192" t="str">
        <f>CHOOSE(MATCH(C192,{"North","West","South","East"},0),"Zone 1","Zone 2","Zone 3","Zone 4")</f>
        <v>Zone 4</v>
      </c>
      <c r="CH192" t="str" cm="1">
        <f t="array" ref="CH192">_xlfn.SWITCH(N192,"Card","Card Payment","UPI", "UPI Payment","Cash","Cash Payment","NetBanking", "NetBanking Payment", "Unknown")</f>
        <v>Cash Payment</v>
      </c>
      <c r="CI192" t="str" cm="1">
        <f t="array" ref="CI192">_xlfn.IFS(Sales_Data!J192&lt;=5,"Low",Sales_Data!J192&lt;=10,"Medium",Sales_Data!J192&gt;10,"High")</f>
        <v>Medium</v>
      </c>
    </row>
    <row r="193" spans="1:87" x14ac:dyDescent="0.3">
      <c r="A193">
        <v>1193</v>
      </c>
      <c r="B193" s="1">
        <v>45397</v>
      </c>
      <c r="C193" t="s">
        <v>16</v>
      </c>
      <c r="D193" t="s">
        <v>51</v>
      </c>
      <c r="E193" t="s">
        <v>64</v>
      </c>
      <c r="F193" t="s">
        <v>19</v>
      </c>
      <c r="G193" t="s">
        <v>47</v>
      </c>
      <c r="H193">
        <v>15</v>
      </c>
      <c r="I193">
        <v>2414</v>
      </c>
      <c r="J193">
        <v>0</v>
      </c>
      <c r="K193">
        <v>36210</v>
      </c>
      <c r="L193">
        <v>24825.37</v>
      </c>
      <c r="M193">
        <v>11384.63</v>
      </c>
      <c r="N193" t="s">
        <v>21</v>
      </c>
      <c r="O193">
        <v>7</v>
      </c>
      <c r="P193">
        <v>4.3</v>
      </c>
      <c r="Q193">
        <f t="shared" si="29"/>
        <v>170</v>
      </c>
      <c r="R193" t="str">
        <f t="shared" si="30"/>
        <v>Monitor</v>
      </c>
      <c r="S193" t="e">
        <f t="shared" si="31"/>
        <v>#N/A</v>
      </c>
      <c r="AK193">
        <v>1180</v>
      </c>
      <c r="AL193">
        <v>45478</v>
      </c>
      <c r="AM193" t="str">
        <v>West</v>
      </c>
      <c r="AN193" t="str">
        <v>Arjun</v>
      </c>
      <c r="AO193" t="str">
        <v>Customer_43</v>
      </c>
      <c r="AP193" t="str">
        <v>Office Supplies</v>
      </c>
      <c r="AQ193" t="str">
        <v>Laptop</v>
      </c>
      <c r="AR193">
        <v>1</v>
      </c>
      <c r="AS193">
        <v>10306</v>
      </c>
      <c r="AT193">
        <v>15</v>
      </c>
      <c r="AU193">
        <v>8760.1</v>
      </c>
      <c r="AV193">
        <v>4989.41</v>
      </c>
      <c r="AW193">
        <v>3770.69</v>
      </c>
      <c r="AX193" t="str">
        <v>Cash</v>
      </c>
      <c r="AY193">
        <v>10</v>
      </c>
      <c r="AZ193">
        <v>3.7</v>
      </c>
      <c r="BA193">
        <v>191</v>
      </c>
      <c r="BB193" t="str">
        <v>Laptop</v>
      </c>
      <c r="BC193" s="6">
        <f t="shared" si="32"/>
        <v>1</v>
      </c>
      <c r="BD193" t="str">
        <f t="shared" si="33"/>
        <v/>
      </c>
      <c r="BE193" s="8">
        <f t="shared" si="34"/>
        <v>0.31440568903617783</v>
      </c>
      <c r="BF193" t="str">
        <v>Customer_7</v>
      </c>
      <c r="BG193" t="str">
        <f t="shared" si="35"/>
        <v>West-Monitor</v>
      </c>
      <c r="BH193">
        <f t="shared" si="36"/>
        <v>2024</v>
      </c>
      <c r="BI193" t="str">
        <f t="shared" si="37"/>
        <v>April</v>
      </c>
      <c r="BJ193">
        <f t="shared" ca="1" si="28"/>
        <v>578</v>
      </c>
      <c r="BK193" s="8">
        <f t="shared" si="38"/>
        <v>0.31440568903617783</v>
      </c>
      <c r="BL193">
        <f t="shared" si="39"/>
        <v>26687</v>
      </c>
      <c r="BM193">
        <f t="shared" si="40"/>
        <v>28</v>
      </c>
      <c r="BN193">
        <v>1192</v>
      </c>
      <c r="BO193">
        <v>45405</v>
      </c>
      <c r="BP193" t="str">
        <v>East</v>
      </c>
      <c r="BQ193" t="str">
        <v>Priya</v>
      </c>
      <c r="BR193" t="str">
        <v>Customer_33</v>
      </c>
      <c r="BS193" t="str">
        <v>Furniture</v>
      </c>
      <c r="BT193" t="str">
        <v>Laptop</v>
      </c>
      <c r="BU193">
        <v>17</v>
      </c>
      <c r="BV193">
        <v>965</v>
      </c>
      <c r="BW193">
        <v>10</v>
      </c>
      <c r="BX193">
        <v>14764.5</v>
      </c>
      <c r="BY193">
        <v>11870.38</v>
      </c>
      <c r="BZ193">
        <v>2894.12</v>
      </c>
      <c r="CA193" t="str">
        <v>Cash</v>
      </c>
      <c r="CB193">
        <v>7</v>
      </c>
      <c r="CC193">
        <v>3.9</v>
      </c>
      <c r="CD193" t="b">
        <f>COUNTIF(Sales_Data!E:E,Sales_Data!E193)&gt;1</f>
        <v>1</v>
      </c>
      <c r="CE193">
        <f>SUM(Sales_Data!$K$2:'Sales_Data'!K193)</f>
        <v>45337812.149999984</v>
      </c>
      <c r="CF193">
        <f t="shared" si="41"/>
        <v>41641.5</v>
      </c>
      <c r="CG193" t="str">
        <f>CHOOSE(MATCH(C193,{"North","West","South","East"},0),"Zone 1","Zone 2","Zone 3","Zone 4")</f>
        <v>Zone 2</v>
      </c>
      <c r="CH193" t="str" cm="1">
        <f t="array" ref="CH193">_xlfn.SWITCH(N193,"Card","Card Payment","UPI", "UPI Payment","Cash","Cash Payment","NetBanking", "NetBanking Payment", "Unknown")</f>
        <v>Card Payment</v>
      </c>
      <c r="CI193" t="str" cm="1">
        <f t="array" ref="CI193">_xlfn.IFS(Sales_Data!J193&lt;=5,"Low",Sales_Data!J193&lt;=10,"Medium",Sales_Data!J193&gt;10,"High")</f>
        <v>Low</v>
      </c>
    </row>
    <row r="194" spans="1:87" x14ac:dyDescent="0.3">
      <c r="A194">
        <v>1194</v>
      </c>
      <c r="B194" s="1">
        <v>45294</v>
      </c>
      <c r="C194" t="s">
        <v>16</v>
      </c>
      <c r="D194" t="s">
        <v>42</v>
      </c>
      <c r="E194" t="s">
        <v>53</v>
      </c>
      <c r="F194" t="s">
        <v>25</v>
      </c>
      <c r="G194" t="s">
        <v>26</v>
      </c>
      <c r="H194">
        <v>16</v>
      </c>
      <c r="I194">
        <v>5045</v>
      </c>
      <c r="J194">
        <v>5</v>
      </c>
      <c r="K194">
        <v>76684</v>
      </c>
      <c r="L194">
        <v>43232.41</v>
      </c>
      <c r="M194">
        <v>33451.589999999997</v>
      </c>
      <c r="N194" t="s">
        <v>27</v>
      </c>
      <c r="O194">
        <v>5</v>
      </c>
      <c r="P194">
        <v>4.4000000000000004</v>
      </c>
      <c r="Q194">
        <f t="shared" si="29"/>
        <v>126</v>
      </c>
      <c r="R194" t="str">
        <f t="shared" si="30"/>
        <v>Keyboard</v>
      </c>
      <c r="S194" t="e">
        <f t="shared" si="31"/>
        <v>#N/A</v>
      </c>
      <c r="AK194">
        <v>1170</v>
      </c>
      <c r="AL194">
        <v>45750</v>
      </c>
      <c r="AM194" t="str">
        <v>North</v>
      </c>
      <c r="AN194" t="str">
        <v>Karan</v>
      </c>
      <c r="AO194" t="str">
        <v>Customer_41</v>
      </c>
      <c r="AP194" t="str">
        <v>Office Supplies</v>
      </c>
      <c r="AQ194" t="str">
        <v>Monitor</v>
      </c>
      <c r="AR194">
        <v>19</v>
      </c>
      <c r="AS194">
        <v>695</v>
      </c>
      <c r="AT194">
        <v>20</v>
      </c>
      <c r="AU194">
        <v>10564</v>
      </c>
      <c r="AV194">
        <v>7178.93</v>
      </c>
      <c r="AW194">
        <v>3385.07</v>
      </c>
      <c r="AX194" t="str">
        <v>Cash</v>
      </c>
      <c r="AY194">
        <v>10</v>
      </c>
      <c r="AZ194">
        <v>4.5</v>
      </c>
      <c r="BA194">
        <v>192</v>
      </c>
      <c r="BB194" t="str">
        <v>Monitor</v>
      </c>
      <c r="BC194" s="6">
        <f t="shared" si="32"/>
        <v>0</v>
      </c>
      <c r="BD194" t="str">
        <f t="shared" si="33"/>
        <v/>
      </c>
      <c r="BE194" s="8">
        <f t="shared" si="34"/>
        <v>0.4362264618434093</v>
      </c>
      <c r="BF194" t="str">
        <v>Customer_7</v>
      </c>
      <c r="BG194" t="str">
        <f t="shared" si="35"/>
        <v>West-Keyboard</v>
      </c>
      <c r="BH194">
        <f t="shared" si="36"/>
        <v>2024</v>
      </c>
      <c r="BI194" t="str">
        <f t="shared" si="37"/>
        <v>January</v>
      </c>
      <c r="BJ194">
        <f t="shared" ref="BJ194:BJ202" ca="1" si="42">NETWORKDAYS(B194,TODAY())</f>
        <v>651</v>
      </c>
      <c r="BK194" s="8">
        <f t="shared" si="38"/>
        <v>0.4362264618434093</v>
      </c>
      <c r="BL194">
        <f t="shared" si="39"/>
        <v>23829</v>
      </c>
      <c r="BM194">
        <f t="shared" si="40"/>
        <v>15</v>
      </c>
      <c r="BN194">
        <v>1193</v>
      </c>
      <c r="BO194">
        <v>45397</v>
      </c>
      <c r="BP194" t="str">
        <v>West</v>
      </c>
      <c r="BQ194" t="str">
        <v>Aman</v>
      </c>
      <c r="BR194" t="str">
        <v>Customer_26</v>
      </c>
      <c r="BS194" t="str">
        <v>Electronics</v>
      </c>
      <c r="BT194" t="str">
        <v>Monitor</v>
      </c>
      <c r="BU194">
        <v>15</v>
      </c>
      <c r="BV194">
        <v>2414</v>
      </c>
      <c r="BW194">
        <v>0</v>
      </c>
      <c r="BX194">
        <v>36210</v>
      </c>
      <c r="BY194">
        <v>24825.37</v>
      </c>
      <c r="BZ194">
        <v>11384.63</v>
      </c>
      <c r="CA194" t="str">
        <v>Card</v>
      </c>
      <c r="CB194">
        <v>7</v>
      </c>
      <c r="CC194">
        <v>4.3</v>
      </c>
      <c r="CD194" t="b">
        <f>COUNTIF(Sales_Data!E:E,Sales_Data!E194)&gt;1</f>
        <v>1</v>
      </c>
      <c r="CE194">
        <f>SUM(Sales_Data!$K$2:'Sales_Data'!K194)</f>
        <v>45414496.149999984</v>
      </c>
      <c r="CF194">
        <f t="shared" si="41"/>
        <v>88186.599999999991</v>
      </c>
      <c r="CG194" t="str">
        <f>CHOOSE(MATCH(C194,{"North","West","South","East"},0),"Zone 1","Zone 2","Zone 3","Zone 4")</f>
        <v>Zone 2</v>
      </c>
      <c r="CH194" t="str" cm="1">
        <f t="array" ref="CH194">_xlfn.SWITCH(N194,"Card","Card Payment","UPI", "UPI Payment","Cash","Cash Payment","NetBanking", "NetBanking Payment", "Unknown")</f>
        <v>UPI Payment</v>
      </c>
      <c r="CI194" t="str" cm="1">
        <f t="array" ref="CI194">_xlfn.IFS(Sales_Data!J194&lt;=5,"Low",Sales_Data!J194&lt;=10,"Medium",Sales_Data!J194&gt;10,"High")</f>
        <v>Low</v>
      </c>
    </row>
    <row r="195" spans="1:87" x14ac:dyDescent="0.3">
      <c r="A195">
        <v>1195</v>
      </c>
      <c r="B195" s="1">
        <v>45590</v>
      </c>
      <c r="C195" t="s">
        <v>33</v>
      </c>
      <c r="D195" t="s">
        <v>57</v>
      </c>
      <c r="E195" t="s">
        <v>74</v>
      </c>
      <c r="F195" t="s">
        <v>19</v>
      </c>
      <c r="G195" t="s">
        <v>47</v>
      </c>
      <c r="H195">
        <v>6</v>
      </c>
      <c r="I195">
        <v>45030</v>
      </c>
      <c r="J195">
        <v>10</v>
      </c>
      <c r="K195">
        <v>243162</v>
      </c>
      <c r="L195">
        <v>178779.53</v>
      </c>
      <c r="M195">
        <v>64382.47</v>
      </c>
      <c r="N195" t="s">
        <v>37</v>
      </c>
      <c r="O195">
        <v>1</v>
      </c>
      <c r="P195">
        <v>4.7</v>
      </c>
      <c r="Q195">
        <f t="shared" ref="Q195:Q201" si="43">RANK(M195,$M$2:$M$1000)</f>
        <v>88</v>
      </c>
      <c r="R195" t="str">
        <f t="shared" ref="R195:R201" si="44">_xlfn.XLOOKUP(A195,A:A,G:G,"")</f>
        <v>Monitor</v>
      </c>
      <c r="S195" t="e">
        <f t="shared" ref="S195:S201" si="45">INDEX(D:D,MATCH($T$1,A:A,0))</f>
        <v>#N/A</v>
      </c>
      <c r="AK195">
        <v>1144</v>
      </c>
      <c r="AL195">
        <v>45674</v>
      </c>
      <c r="AM195" t="str">
        <v>West</v>
      </c>
      <c r="AN195" t="str">
        <v>Megha</v>
      </c>
      <c r="AO195" t="str">
        <v>Customer_13</v>
      </c>
      <c r="AP195" t="str">
        <v>Office Supplies</v>
      </c>
      <c r="AQ195" t="str">
        <v>Mouse</v>
      </c>
      <c r="AR195">
        <v>16</v>
      </c>
      <c r="AS195">
        <v>551</v>
      </c>
      <c r="AT195">
        <v>5</v>
      </c>
      <c r="AU195">
        <v>8375.2000000000007</v>
      </c>
      <c r="AV195">
        <v>5001.6400000000003</v>
      </c>
      <c r="AW195">
        <v>3373.56</v>
      </c>
      <c r="AX195" t="str">
        <v>Card</v>
      </c>
      <c r="AY195">
        <v>10</v>
      </c>
      <c r="AZ195">
        <v>2.5</v>
      </c>
      <c r="BA195">
        <v>193</v>
      </c>
      <c r="BB195" t="str">
        <v>Mouse</v>
      </c>
      <c r="BC195" s="6">
        <f t="shared" ref="BC195:BC202" si="46">ROUND(MONTH(B195)/3,0)</f>
        <v>3</v>
      </c>
      <c r="BD195" t="str">
        <f t="shared" ref="BD195:BD202" si="47">IF(M195&gt;100000,"Bonus!","")</f>
        <v/>
      </c>
      <c r="BE195" s="8">
        <f t="shared" ref="BE195:BE202" si="48">_xlfn.LET(_xlpm.profit,M195,_xlpm.sales,K195,_xlpm.profit/_xlpm.sales)</f>
        <v>0.26477192159959206</v>
      </c>
      <c r="BF195" t="str">
        <v>Customer_7</v>
      </c>
      <c r="BG195" t="str">
        <f t="shared" ref="BG195:BG202" si="49">_xlfn.TEXTJOIN("-",TRUE,C195,G195)</f>
        <v>East-Monitor</v>
      </c>
      <c r="BH195">
        <f t="shared" ref="BH195:BH202" si="50">YEAR(B195)</f>
        <v>2024</v>
      </c>
      <c r="BI195" t="str">
        <f t="shared" ref="BI195:BI202" si="51">TEXT(B195,"mmmm")</f>
        <v>October</v>
      </c>
      <c r="BJ195">
        <f t="shared" ca="1" si="42"/>
        <v>439</v>
      </c>
      <c r="BK195" s="8">
        <f t="shared" ref="BK195:BK202" si="52">M195/K195</f>
        <v>0.26477192159959206</v>
      </c>
      <c r="BL195">
        <f t="shared" ref="BL195:BL202" si="53">_xlfn.XLOOKUP(G195,G:G,I:I,"",0)</f>
        <v>26687</v>
      </c>
      <c r="BM195">
        <f t="shared" ref="BM195:BM202" si="54">_xlfn.XMATCH(E195,E:E,0)</f>
        <v>50</v>
      </c>
      <c r="BN195">
        <v>1194</v>
      </c>
      <c r="BO195">
        <v>45294</v>
      </c>
      <c r="BP195" t="str">
        <v>West</v>
      </c>
      <c r="BQ195" t="str">
        <v>Priya</v>
      </c>
      <c r="BR195" t="str">
        <v>Customer_10</v>
      </c>
      <c r="BS195" t="str">
        <v>Office Supplies</v>
      </c>
      <c r="BT195" t="str">
        <v>Keyboard</v>
      </c>
      <c r="BU195">
        <v>16</v>
      </c>
      <c r="BV195">
        <v>5045</v>
      </c>
      <c r="BW195">
        <v>5</v>
      </c>
      <c r="BX195">
        <v>76684</v>
      </c>
      <c r="BY195">
        <v>43232.41</v>
      </c>
      <c r="BZ195">
        <v>33451.589999999997</v>
      </c>
      <c r="CA195" t="str">
        <v>UPI</v>
      </c>
      <c r="CB195">
        <v>5</v>
      </c>
      <c r="CC195">
        <v>4.4000000000000004</v>
      </c>
      <c r="CD195" t="b">
        <f>COUNTIF(Sales_Data!E:E,Sales_Data!E195)&gt;1</f>
        <v>1</v>
      </c>
      <c r="CE195">
        <f>SUM(Sales_Data!$K$2:'Sales_Data'!K195)</f>
        <v>45657658.149999984</v>
      </c>
      <c r="CF195">
        <f t="shared" ref="CF195:CF202" si="55">K195*1.15</f>
        <v>279636.3</v>
      </c>
      <c r="CG195" t="str">
        <f>CHOOSE(MATCH(C195,{"North","West","South","East"},0),"Zone 1","Zone 2","Zone 3","Zone 4")</f>
        <v>Zone 4</v>
      </c>
      <c r="CH195" t="str" cm="1">
        <f t="array" ref="CH195">_xlfn.SWITCH(N195,"Card","Card Payment","UPI", "UPI Payment","Cash","Cash Payment","NetBanking", "NetBanking Payment", "Unknown")</f>
        <v>Cash Payment</v>
      </c>
      <c r="CI195" t="str" cm="1">
        <f t="array" ref="CI195">_xlfn.IFS(Sales_Data!J195&lt;=5,"Low",Sales_Data!J195&lt;=10,"Medium",Sales_Data!J195&gt;10,"High")</f>
        <v>Medium</v>
      </c>
    </row>
    <row r="196" spans="1:87" x14ac:dyDescent="0.3">
      <c r="A196">
        <v>1196</v>
      </c>
      <c r="B196" s="1">
        <v>45609</v>
      </c>
      <c r="C196" t="s">
        <v>50</v>
      </c>
      <c r="D196" t="s">
        <v>39</v>
      </c>
      <c r="E196" t="s">
        <v>56</v>
      </c>
      <c r="F196" t="s">
        <v>25</v>
      </c>
      <c r="G196" t="s">
        <v>44</v>
      </c>
      <c r="H196">
        <v>19</v>
      </c>
      <c r="I196">
        <v>28176</v>
      </c>
      <c r="J196">
        <v>10</v>
      </c>
      <c r="K196">
        <v>481809.6</v>
      </c>
      <c r="L196">
        <v>270221.40999999997</v>
      </c>
      <c r="M196">
        <v>211588.19</v>
      </c>
      <c r="N196" t="s">
        <v>21</v>
      </c>
      <c r="O196">
        <v>1</v>
      </c>
      <c r="P196">
        <v>3.4</v>
      </c>
      <c r="Q196">
        <f t="shared" si="43"/>
        <v>10</v>
      </c>
      <c r="R196" t="str">
        <f t="shared" si="44"/>
        <v>Printer</v>
      </c>
      <c r="S196" t="e">
        <f t="shared" si="45"/>
        <v>#N/A</v>
      </c>
      <c r="AK196">
        <v>1037</v>
      </c>
      <c r="AL196">
        <v>45768</v>
      </c>
      <c r="AM196" t="str">
        <v>West</v>
      </c>
      <c r="AN196" t="str">
        <v>Karan</v>
      </c>
      <c r="AO196" t="str">
        <v>Customer_5</v>
      </c>
      <c r="AP196" t="str">
        <v>Furniture</v>
      </c>
      <c r="AQ196" t="str">
        <v>Monitor</v>
      </c>
      <c r="AR196">
        <v>1</v>
      </c>
      <c r="AS196">
        <v>9855</v>
      </c>
      <c r="AT196">
        <v>15</v>
      </c>
      <c r="AU196">
        <v>8376.75</v>
      </c>
      <c r="AV196">
        <v>5029.26</v>
      </c>
      <c r="AW196">
        <v>3347.49</v>
      </c>
      <c r="AX196" t="str">
        <v>NetBanking</v>
      </c>
      <c r="AY196">
        <v>8</v>
      </c>
      <c r="AZ196">
        <v>4.5999999999999996</v>
      </c>
      <c r="BA196">
        <v>194</v>
      </c>
      <c r="BB196" t="str">
        <v>Monitor</v>
      </c>
      <c r="BC196" s="6">
        <f t="shared" si="46"/>
        <v>4</v>
      </c>
      <c r="BD196" t="str">
        <f t="shared" si="47"/>
        <v>Bonus!</v>
      </c>
      <c r="BE196" s="8">
        <f t="shared" si="48"/>
        <v>0.43915312189711458</v>
      </c>
      <c r="BF196" t="str">
        <v>Customer_8</v>
      </c>
      <c r="BG196" t="str">
        <f t="shared" si="49"/>
        <v>North-Printer</v>
      </c>
      <c r="BH196">
        <f t="shared" si="50"/>
        <v>2024</v>
      </c>
      <c r="BI196" t="str">
        <f t="shared" si="51"/>
        <v>November</v>
      </c>
      <c r="BJ196">
        <f t="shared" ca="1" si="42"/>
        <v>426</v>
      </c>
      <c r="BK196" s="8">
        <f t="shared" si="52"/>
        <v>0.43915312189711458</v>
      </c>
      <c r="BL196">
        <f t="shared" si="53"/>
        <v>1561</v>
      </c>
      <c r="BM196">
        <f t="shared" si="54"/>
        <v>18</v>
      </c>
      <c r="BN196">
        <v>1195</v>
      </c>
      <c r="BO196">
        <v>45590</v>
      </c>
      <c r="BP196" t="str">
        <v>East</v>
      </c>
      <c r="BQ196" t="str">
        <v>Megha</v>
      </c>
      <c r="BR196" t="str">
        <v>Customer_34</v>
      </c>
      <c r="BS196" t="str">
        <v>Electronics</v>
      </c>
      <c r="BT196" t="str">
        <v>Monitor</v>
      </c>
      <c r="BU196">
        <v>6</v>
      </c>
      <c r="BV196">
        <v>45030</v>
      </c>
      <c r="BW196">
        <v>10</v>
      </c>
      <c r="BX196">
        <v>243162</v>
      </c>
      <c r="BY196">
        <v>178779.53</v>
      </c>
      <c r="BZ196">
        <v>64382.47</v>
      </c>
      <c r="CA196" t="str">
        <v>Cash</v>
      </c>
      <c r="CB196">
        <v>1</v>
      </c>
      <c r="CC196">
        <v>4.7</v>
      </c>
      <c r="CD196" t="b">
        <f>COUNTIF(Sales_Data!E:E,Sales_Data!E196)&gt;1</f>
        <v>1</v>
      </c>
      <c r="CE196">
        <f>SUM(Sales_Data!$K$2:'Sales_Data'!K196)</f>
        <v>46139467.749999985</v>
      </c>
      <c r="CF196">
        <f t="shared" si="55"/>
        <v>554081.03999999992</v>
      </c>
      <c r="CG196" t="str">
        <f>CHOOSE(MATCH(C196,{"North","West","South","East"},0),"Zone 1","Zone 2","Zone 3","Zone 4")</f>
        <v>Zone 1</v>
      </c>
      <c r="CH196" t="str" cm="1">
        <f t="array" ref="CH196">_xlfn.SWITCH(N196,"Card","Card Payment","UPI", "UPI Payment","Cash","Cash Payment","NetBanking", "NetBanking Payment", "Unknown")</f>
        <v>Card Payment</v>
      </c>
      <c r="CI196" t="str" cm="1">
        <f t="array" ref="CI196">_xlfn.IFS(Sales_Data!J196&lt;=5,"Low",Sales_Data!J196&lt;=10,"Medium",Sales_Data!J196&gt;10,"High")</f>
        <v>Medium</v>
      </c>
    </row>
    <row r="197" spans="1:87" x14ac:dyDescent="0.3">
      <c r="A197">
        <v>1197</v>
      </c>
      <c r="B197" s="1">
        <v>45313</v>
      </c>
      <c r="C197" t="s">
        <v>50</v>
      </c>
      <c r="D197" t="s">
        <v>42</v>
      </c>
      <c r="E197" t="s">
        <v>63</v>
      </c>
      <c r="F197" t="s">
        <v>35</v>
      </c>
      <c r="G197" t="s">
        <v>20</v>
      </c>
      <c r="H197">
        <v>2</v>
      </c>
      <c r="I197">
        <v>46992</v>
      </c>
      <c r="J197">
        <v>5</v>
      </c>
      <c r="K197">
        <v>89284.800000000003</v>
      </c>
      <c r="L197">
        <v>70670.600000000006</v>
      </c>
      <c r="M197">
        <v>18614.2</v>
      </c>
      <c r="N197" t="s">
        <v>27</v>
      </c>
      <c r="O197">
        <v>8</v>
      </c>
      <c r="P197">
        <v>4.5999999999999996</v>
      </c>
      <c r="Q197">
        <f t="shared" si="43"/>
        <v>149</v>
      </c>
      <c r="R197" t="str">
        <f t="shared" si="44"/>
        <v>Phone</v>
      </c>
      <c r="S197" t="e">
        <f t="shared" si="45"/>
        <v>#N/A</v>
      </c>
      <c r="AK197">
        <v>1192</v>
      </c>
      <c r="AL197">
        <v>45405</v>
      </c>
      <c r="AM197" t="str">
        <v>East</v>
      </c>
      <c r="AN197" t="str">
        <v>Priya</v>
      </c>
      <c r="AO197" t="str">
        <v>Customer_33</v>
      </c>
      <c r="AP197" t="str">
        <v>Furniture</v>
      </c>
      <c r="AQ197" t="str">
        <v>Laptop</v>
      </c>
      <c r="AR197">
        <v>17</v>
      </c>
      <c r="AS197">
        <v>965</v>
      </c>
      <c r="AT197">
        <v>10</v>
      </c>
      <c r="AU197">
        <v>14764.5</v>
      </c>
      <c r="AV197">
        <v>11870.38</v>
      </c>
      <c r="AW197">
        <v>2894.12</v>
      </c>
      <c r="AX197" t="str">
        <v>Cash</v>
      </c>
      <c r="AY197">
        <v>7</v>
      </c>
      <c r="AZ197">
        <v>3.9</v>
      </c>
      <c r="BA197">
        <v>195</v>
      </c>
      <c r="BB197" t="str">
        <v>Laptop</v>
      </c>
      <c r="BC197" s="6">
        <f t="shared" si="46"/>
        <v>0</v>
      </c>
      <c r="BD197" t="str">
        <f t="shared" si="47"/>
        <v/>
      </c>
      <c r="BE197" s="8">
        <f t="shared" si="48"/>
        <v>0.20848117484723044</v>
      </c>
      <c r="BF197" t="str">
        <v>Customer_8</v>
      </c>
      <c r="BG197" t="str">
        <f t="shared" si="49"/>
        <v>North-Phone</v>
      </c>
      <c r="BH197">
        <f t="shared" si="50"/>
        <v>2024</v>
      </c>
      <c r="BI197" t="str">
        <f t="shared" si="51"/>
        <v>January</v>
      </c>
      <c r="BJ197">
        <f t="shared" ca="1" si="42"/>
        <v>638</v>
      </c>
      <c r="BK197" s="8">
        <f t="shared" si="52"/>
        <v>0.20848117484723044</v>
      </c>
      <c r="BL197">
        <f t="shared" si="53"/>
        <v>33295</v>
      </c>
      <c r="BM197">
        <f t="shared" si="54"/>
        <v>27</v>
      </c>
      <c r="BN197">
        <v>1196</v>
      </c>
      <c r="BO197">
        <v>45609</v>
      </c>
      <c r="BP197" t="str">
        <v>North</v>
      </c>
      <c r="BQ197" t="str">
        <v>Sneha</v>
      </c>
      <c r="BR197" t="str">
        <v>Customer_29</v>
      </c>
      <c r="BS197" t="str">
        <v>Office Supplies</v>
      </c>
      <c r="BT197" t="str">
        <v>Printer</v>
      </c>
      <c r="BU197">
        <v>19</v>
      </c>
      <c r="BV197">
        <v>28176</v>
      </c>
      <c r="BW197">
        <v>10</v>
      </c>
      <c r="BX197">
        <v>481809.6</v>
      </c>
      <c r="BY197">
        <v>270221.40999999997</v>
      </c>
      <c r="BZ197">
        <v>211588.19</v>
      </c>
      <c r="CA197" t="str">
        <v>Card</v>
      </c>
      <c r="CB197">
        <v>1</v>
      </c>
      <c r="CC197">
        <v>3.4</v>
      </c>
      <c r="CD197" t="b">
        <f>COUNTIF(Sales_Data!E:E,Sales_Data!E197)&gt;1</f>
        <v>1</v>
      </c>
      <c r="CE197">
        <f>SUM(Sales_Data!$K$2:'Sales_Data'!K197)</f>
        <v>46228752.549999982</v>
      </c>
      <c r="CF197">
        <f t="shared" si="55"/>
        <v>102677.51999999999</v>
      </c>
      <c r="CG197" t="str">
        <f>CHOOSE(MATCH(C197,{"North","West","South","East"},0),"Zone 1","Zone 2","Zone 3","Zone 4")</f>
        <v>Zone 1</v>
      </c>
      <c r="CH197" t="str" cm="1">
        <f t="array" ref="CH197">_xlfn.SWITCH(N197,"Card","Card Payment","UPI", "UPI Payment","Cash","Cash Payment","NetBanking", "NetBanking Payment", "Unknown")</f>
        <v>UPI Payment</v>
      </c>
      <c r="CI197" t="str" cm="1">
        <f t="array" ref="CI197">_xlfn.IFS(Sales_Data!J197&lt;=5,"Low",Sales_Data!J197&lt;=10,"Medium",Sales_Data!J197&gt;10,"High")</f>
        <v>Low</v>
      </c>
    </row>
    <row r="198" spans="1:87" x14ac:dyDescent="0.3">
      <c r="A198">
        <v>1198</v>
      </c>
      <c r="B198" s="1">
        <v>45299</v>
      </c>
      <c r="C198" t="s">
        <v>33</v>
      </c>
      <c r="D198" t="s">
        <v>42</v>
      </c>
      <c r="E198" t="s">
        <v>24</v>
      </c>
      <c r="F198" t="s">
        <v>19</v>
      </c>
      <c r="G198" t="s">
        <v>30</v>
      </c>
      <c r="H198">
        <v>16</v>
      </c>
      <c r="I198">
        <v>37376</v>
      </c>
      <c r="J198">
        <v>5</v>
      </c>
      <c r="K198">
        <v>568115.19999999995</v>
      </c>
      <c r="L198">
        <v>441526.9</v>
      </c>
      <c r="M198">
        <v>126588.3</v>
      </c>
      <c r="N198" t="s">
        <v>21</v>
      </c>
      <c r="O198">
        <v>3</v>
      </c>
      <c r="P198">
        <v>3.1</v>
      </c>
      <c r="Q198">
        <f t="shared" si="43"/>
        <v>36</v>
      </c>
      <c r="R198" t="str">
        <f t="shared" si="44"/>
        <v>Desk</v>
      </c>
      <c r="S198" t="e">
        <f t="shared" si="45"/>
        <v>#N/A</v>
      </c>
      <c r="AK198">
        <v>1161</v>
      </c>
      <c r="AL198">
        <v>45768</v>
      </c>
      <c r="AM198" t="str">
        <v>North</v>
      </c>
      <c r="AN198" t="str">
        <v>Rohan</v>
      </c>
      <c r="AO198" t="str">
        <v>Customer_11</v>
      </c>
      <c r="AP198" t="str">
        <v>Electronics</v>
      </c>
      <c r="AQ198" t="str">
        <v>Keyboard</v>
      </c>
      <c r="AR198">
        <v>1</v>
      </c>
      <c r="AS198">
        <v>4832</v>
      </c>
      <c r="AT198">
        <v>20</v>
      </c>
      <c r="AU198">
        <v>3865.6</v>
      </c>
      <c r="AV198">
        <v>2638.31</v>
      </c>
      <c r="AW198">
        <v>1227.29</v>
      </c>
      <c r="AX198" t="str">
        <v>NetBanking</v>
      </c>
      <c r="AY198">
        <v>4</v>
      </c>
      <c r="AZ198">
        <v>3.1</v>
      </c>
      <c r="BA198">
        <v>196</v>
      </c>
      <c r="BB198" t="str">
        <v>Keyboard</v>
      </c>
      <c r="BC198" s="6">
        <f t="shared" si="46"/>
        <v>0</v>
      </c>
      <c r="BD198" t="str">
        <f t="shared" si="47"/>
        <v>Bonus!</v>
      </c>
      <c r="BE198" s="8">
        <f t="shared" si="48"/>
        <v>0.22282153337914565</v>
      </c>
      <c r="BF198" t="str">
        <v>Customer_8</v>
      </c>
      <c r="BG198" t="str">
        <f t="shared" si="49"/>
        <v>East-Desk</v>
      </c>
      <c r="BH198">
        <f t="shared" si="50"/>
        <v>2024</v>
      </c>
      <c r="BI198" t="str">
        <f t="shared" si="51"/>
        <v>January</v>
      </c>
      <c r="BJ198">
        <f t="shared" ca="1" si="42"/>
        <v>648</v>
      </c>
      <c r="BK198" s="8">
        <f t="shared" si="52"/>
        <v>0.22282153337914565</v>
      </c>
      <c r="BL198">
        <f t="shared" si="53"/>
        <v>13233</v>
      </c>
      <c r="BM198">
        <f t="shared" si="54"/>
        <v>3</v>
      </c>
      <c r="BN198">
        <v>1197</v>
      </c>
      <c r="BO198">
        <v>45313</v>
      </c>
      <c r="BP198" t="str">
        <v>North</v>
      </c>
      <c r="BQ198" t="str">
        <v>Priya</v>
      </c>
      <c r="BR198" t="str">
        <v>Customer_13</v>
      </c>
      <c r="BS198" t="str">
        <v>Furniture</v>
      </c>
      <c r="BT198" t="str">
        <v>Phone</v>
      </c>
      <c r="BU198">
        <v>2</v>
      </c>
      <c r="BV198">
        <v>46992</v>
      </c>
      <c r="BW198">
        <v>5</v>
      </c>
      <c r="BX198">
        <v>89284.800000000003</v>
      </c>
      <c r="BY198">
        <v>70670.600000000006</v>
      </c>
      <c r="BZ198">
        <v>18614.2</v>
      </c>
      <c r="CA198" t="str">
        <v>UPI</v>
      </c>
      <c r="CB198">
        <v>8</v>
      </c>
      <c r="CC198">
        <v>4.5999999999999996</v>
      </c>
      <c r="CD198" t="b">
        <f>COUNTIF(Sales_Data!E:E,Sales_Data!E198)&gt;1</f>
        <v>1</v>
      </c>
      <c r="CE198">
        <f>SUM(Sales_Data!$K$2:'Sales_Data'!K198)</f>
        <v>46796867.749999985</v>
      </c>
      <c r="CF198">
        <f t="shared" si="55"/>
        <v>653332.47999999986</v>
      </c>
      <c r="CG198" t="str">
        <f>CHOOSE(MATCH(C198,{"North","West","South","East"},0),"Zone 1","Zone 2","Zone 3","Zone 4")</f>
        <v>Zone 4</v>
      </c>
      <c r="CH198" t="str" cm="1">
        <f t="array" ref="CH198">_xlfn.SWITCH(N198,"Card","Card Payment","UPI", "UPI Payment","Cash","Cash Payment","NetBanking", "NetBanking Payment", "Unknown")</f>
        <v>Card Payment</v>
      </c>
      <c r="CI198" t="str" cm="1">
        <f t="array" ref="CI198">_xlfn.IFS(Sales_Data!J198&lt;=5,"Low",Sales_Data!J198&lt;=10,"Medium",Sales_Data!J198&gt;10,"High")</f>
        <v>Low</v>
      </c>
    </row>
    <row r="199" spans="1:87" x14ac:dyDescent="0.3">
      <c r="A199">
        <v>1199</v>
      </c>
      <c r="B199" s="1">
        <v>45569</v>
      </c>
      <c r="C199" t="s">
        <v>33</v>
      </c>
      <c r="D199" t="s">
        <v>28</v>
      </c>
      <c r="E199" t="s">
        <v>87</v>
      </c>
      <c r="F199" t="s">
        <v>19</v>
      </c>
      <c r="G199" t="s">
        <v>26</v>
      </c>
      <c r="H199">
        <v>5</v>
      </c>
      <c r="I199">
        <v>21731</v>
      </c>
      <c r="J199">
        <v>10</v>
      </c>
      <c r="K199">
        <v>97789.5</v>
      </c>
      <c r="L199">
        <v>81610.27</v>
      </c>
      <c r="M199">
        <v>16179.23</v>
      </c>
      <c r="N199" t="s">
        <v>21</v>
      </c>
      <c r="O199">
        <v>10</v>
      </c>
      <c r="P199">
        <v>3.6</v>
      </c>
      <c r="Q199">
        <f t="shared" si="43"/>
        <v>155</v>
      </c>
      <c r="R199" t="str">
        <f t="shared" si="44"/>
        <v>Keyboard</v>
      </c>
      <c r="S199" t="e">
        <f t="shared" si="45"/>
        <v>#N/A</v>
      </c>
      <c r="AK199">
        <v>1106</v>
      </c>
      <c r="AL199">
        <v>45369</v>
      </c>
      <c r="AM199" t="str">
        <v>East</v>
      </c>
      <c r="AN199" t="str">
        <v>Neha</v>
      </c>
      <c r="AO199" t="str">
        <v>Customer_45</v>
      </c>
      <c r="AP199" t="str">
        <v>Office Supplies</v>
      </c>
      <c r="AQ199" t="str">
        <v>Keyboard</v>
      </c>
      <c r="AR199">
        <v>2</v>
      </c>
      <c r="AS199">
        <v>3302</v>
      </c>
      <c r="AT199">
        <v>0</v>
      </c>
      <c r="AU199">
        <v>6604</v>
      </c>
      <c r="AV199">
        <v>5538.38</v>
      </c>
      <c r="AW199">
        <v>1065.6199999999999</v>
      </c>
      <c r="AX199" t="str">
        <v>NetBanking</v>
      </c>
      <c r="AY199">
        <v>7</v>
      </c>
      <c r="AZ199">
        <v>3</v>
      </c>
      <c r="BA199">
        <v>197</v>
      </c>
      <c r="BB199" t="str">
        <v>Keyboard</v>
      </c>
      <c r="BC199" s="6">
        <f t="shared" si="46"/>
        <v>3</v>
      </c>
      <c r="BD199" t="str">
        <f t="shared" si="47"/>
        <v/>
      </c>
      <c r="BE199" s="8">
        <f t="shared" si="48"/>
        <v>0.16544956258084967</v>
      </c>
      <c r="BF199" t="str">
        <v>Customer_8</v>
      </c>
      <c r="BG199" t="str">
        <f t="shared" si="49"/>
        <v>East-Keyboard</v>
      </c>
      <c r="BH199">
        <f t="shared" si="50"/>
        <v>2024</v>
      </c>
      <c r="BI199" t="str">
        <f t="shared" si="51"/>
        <v>October</v>
      </c>
      <c r="BJ199">
        <f t="shared" ca="1" si="42"/>
        <v>454</v>
      </c>
      <c r="BK199" s="8">
        <f t="shared" si="52"/>
        <v>0.16544956258084967</v>
      </c>
      <c r="BL199">
        <f t="shared" si="53"/>
        <v>23829</v>
      </c>
      <c r="BM199">
        <f t="shared" si="54"/>
        <v>102</v>
      </c>
      <c r="BN199">
        <v>1198</v>
      </c>
      <c r="BO199">
        <v>45299</v>
      </c>
      <c r="BP199" t="str">
        <v>East</v>
      </c>
      <c r="BQ199" t="str">
        <v>Priya</v>
      </c>
      <c r="BR199" t="str">
        <v>Customer_49</v>
      </c>
      <c r="BS199" t="str">
        <v>Electronics</v>
      </c>
      <c r="BT199" t="str">
        <v>Desk</v>
      </c>
      <c r="BU199">
        <v>16</v>
      </c>
      <c r="BV199">
        <v>37376</v>
      </c>
      <c r="BW199">
        <v>5</v>
      </c>
      <c r="BX199">
        <v>568115.19999999995</v>
      </c>
      <c r="BY199">
        <v>441526.9</v>
      </c>
      <c r="BZ199">
        <v>126588.3</v>
      </c>
      <c r="CA199" t="str">
        <v>Card</v>
      </c>
      <c r="CB199">
        <v>3</v>
      </c>
      <c r="CC199">
        <v>3.1</v>
      </c>
      <c r="CD199" t="b">
        <f>COUNTIF(Sales_Data!E:E,Sales_Data!E199)&gt;1</f>
        <v>1</v>
      </c>
      <c r="CE199">
        <f>SUM(Sales_Data!$K$2:'Sales_Data'!K199)</f>
        <v>46894657.249999985</v>
      </c>
      <c r="CF199">
        <f t="shared" si="55"/>
        <v>112457.92499999999</v>
      </c>
      <c r="CG199" t="str">
        <f>CHOOSE(MATCH(C199,{"North","West","South","East"},0),"Zone 1","Zone 2","Zone 3","Zone 4")</f>
        <v>Zone 4</v>
      </c>
      <c r="CH199" t="str" cm="1">
        <f t="array" ref="CH199">_xlfn.SWITCH(N199,"Card","Card Payment","UPI", "UPI Payment","Cash","Cash Payment","NetBanking", "NetBanking Payment", "Unknown")</f>
        <v>Card Payment</v>
      </c>
      <c r="CI199" t="str" cm="1">
        <f t="array" ref="CI199">_xlfn.IFS(Sales_Data!J199&lt;=5,"Low",Sales_Data!J199&lt;=10,"Medium",Sales_Data!J199&gt;10,"High")</f>
        <v>Medium</v>
      </c>
    </row>
    <row r="200" spans="1:87" x14ac:dyDescent="0.3">
      <c r="A200">
        <v>1200</v>
      </c>
      <c r="B200" s="1">
        <v>45577</v>
      </c>
      <c r="C200" t="s">
        <v>22</v>
      </c>
      <c r="D200" t="s">
        <v>57</v>
      </c>
      <c r="E200" t="s">
        <v>90</v>
      </c>
      <c r="F200" t="s">
        <v>25</v>
      </c>
      <c r="G200" t="s">
        <v>65</v>
      </c>
      <c r="H200">
        <v>12</v>
      </c>
      <c r="I200">
        <v>47005</v>
      </c>
      <c r="J200">
        <v>20</v>
      </c>
      <c r="K200">
        <v>451248</v>
      </c>
      <c r="L200">
        <v>315069.61</v>
      </c>
      <c r="M200">
        <v>136178.39000000001</v>
      </c>
      <c r="N200" t="s">
        <v>21</v>
      </c>
      <c r="O200">
        <v>6</v>
      </c>
      <c r="P200">
        <v>3.9</v>
      </c>
      <c r="Q200">
        <f t="shared" si="43"/>
        <v>32</v>
      </c>
      <c r="R200" t="str">
        <f t="shared" si="44"/>
        <v>Mouse</v>
      </c>
      <c r="S200" t="e">
        <f t="shared" si="45"/>
        <v>#N/A</v>
      </c>
      <c r="AK200">
        <v>1182</v>
      </c>
      <c r="AL200">
        <v>45635</v>
      </c>
      <c r="AM200" t="str">
        <v>West</v>
      </c>
      <c r="AN200" t="str">
        <v>Priya</v>
      </c>
      <c r="AO200" t="str">
        <v>Customer_25</v>
      </c>
      <c r="AP200" t="str">
        <v>Office Supplies</v>
      </c>
      <c r="AQ200" t="str">
        <v>Mouse</v>
      </c>
      <c r="AR200">
        <v>3</v>
      </c>
      <c r="AS200">
        <v>867</v>
      </c>
      <c r="AT200">
        <v>15</v>
      </c>
      <c r="AU200">
        <v>2210.85</v>
      </c>
      <c r="AV200">
        <v>1514.03</v>
      </c>
      <c r="AW200">
        <v>696.82</v>
      </c>
      <c r="AX200" t="str">
        <v>UPI</v>
      </c>
      <c r="AY200">
        <v>8</v>
      </c>
      <c r="AZ200">
        <v>3.9</v>
      </c>
      <c r="BA200">
        <v>198</v>
      </c>
      <c r="BB200" t="str">
        <v>Mouse</v>
      </c>
      <c r="BC200" s="6">
        <f t="shared" si="46"/>
        <v>3</v>
      </c>
      <c r="BD200" t="str">
        <f t="shared" si="47"/>
        <v>Bonus!</v>
      </c>
      <c r="BE200" s="8">
        <f t="shared" si="48"/>
        <v>0.30178170318760417</v>
      </c>
      <c r="BF200" t="str">
        <v>Customer_9</v>
      </c>
      <c r="BG200" t="str">
        <f t="shared" si="49"/>
        <v>South-Mouse</v>
      </c>
      <c r="BH200">
        <f t="shared" si="50"/>
        <v>2024</v>
      </c>
      <c r="BI200" t="str">
        <f t="shared" si="51"/>
        <v>October</v>
      </c>
      <c r="BJ200">
        <f t="shared" ca="1" si="42"/>
        <v>448</v>
      </c>
      <c r="BK200" s="8">
        <f t="shared" si="52"/>
        <v>0.30178170318760417</v>
      </c>
      <c r="BL200">
        <f t="shared" si="53"/>
        <v>41775</v>
      </c>
      <c r="BM200">
        <f t="shared" si="54"/>
        <v>113</v>
      </c>
      <c r="BN200">
        <v>1199</v>
      </c>
      <c r="BO200">
        <v>45569</v>
      </c>
      <c r="BP200" t="str">
        <v>East</v>
      </c>
      <c r="BQ200" t="str">
        <v>Arjun</v>
      </c>
      <c r="BR200" t="str">
        <v>Customer_39</v>
      </c>
      <c r="BS200" t="str">
        <v>Electronics</v>
      </c>
      <c r="BT200" t="str">
        <v>Keyboard</v>
      </c>
      <c r="BU200">
        <v>5</v>
      </c>
      <c r="BV200">
        <v>21731</v>
      </c>
      <c r="BW200">
        <v>10</v>
      </c>
      <c r="BX200">
        <v>97789.5</v>
      </c>
      <c r="BY200">
        <v>81610.27</v>
      </c>
      <c r="BZ200">
        <v>16179.23</v>
      </c>
      <c r="CA200" t="str">
        <v>Card</v>
      </c>
      <c r="CB200">
        <v>10</v>
      </c>
      <c r="CC200">
        <v>3.6</v>
      </c>
      <c r="CD200" t="b">
        <f>COUNTIF(Sales_Data!E:E,Sales_Data!E200)&gt;1</f>
        <v>1</v>
      </c>
      <c r="CE200">
        <f>SUM(Sales_Data!$K$2:'Sales_Data'!K200)</f>
        <v>47345905.249999985</v>
      </c>
      <c r="CF200">
        <f t="shared" si="55"/>
        <v>518935.19999999995</v>
      </c>
      <c r="CG200" t="str">
        <f>CHOOSE(MATCH(C200,{"North","West","South","East"},0),"Zone 1","Zone 2","Zone 3","Zone 4")</f>
        <v>Zone 3</v>
      </c>
      <c r="CH200" t="str" cm="1">
        <f t="array" ref="CH200">_xlfn.SWITCH(N200,"Card","Card Payment","UPI", "UPI Payment","Cash","Cash Payment","NetBanking", "NetBanking Payment", "Unknown")</f>
        <v>Card Payment</v>
      </c>
      <c r="CI200" t="str" cm="1">
        <f t="array" ref="CI200">_xlfn.IFS(Sales_Data!J200&lt;=5,"Low",Sales_Data!J200&lt;=10,"Medium",Sales_Data!J200&gt;10,"High")</f>
        <v>High</v>
      </c>
    </row>
    <row r="201" spans="1:87" x14ac:dyDescent="0.3">
      <c r="A201">
        <v>1201</v>
      </c>
      <c r="B201" s="1">
        <v>45293</v>
      </c>
      <c r="C201" t="s">
        <v>50</v>
      </c>
      <c r="D201" t="s">
        <v>28</v>
      </c>
      <c r="E201" t="s">
        <v>55</v>
      </c>
      <c r="F201" t="s">
        <v>35</v>
      </c>
      <c r="G201" t="s">
        <v>36</v>
      </c>
      <c r="H201">
        <v>8</v>
      </c>
      <c r="I201">
        <v>44578</v>
      </c>
      <c r="J201">
        <v>5</v>
      </c>
      <c r="K201">
        <v>338792.8</v>
      </c>
      <c r="L201">
        <v>213119.97</v>
      </c>
      <c r="M201">
        <v>125672.83</v>
      </c>
      <c r="N201" t="s">
        <v>37</v>
      </c>
      <c r="O201">
        <v>2</v>
      </c>
      <c r="P201">
        <v>3.9</v>
      </c>
      <c r="Q201">
        <f t="shared" si="43"/>
        <v>38</v>
      </c>
      <c r="R201" t="str">
        <f t="shared" si="44"/>
        <v>Laptop</v>
      </c>
      <c r="S201" t="e">
        <f t="shared" si="45"/>
        <v>#N/A</v>
      </c>
      <c r="AK201">
        <v>1167</v>
      </c>
      <c r="AL201">
        <v>45601</v>
      </c>
      <c r="AM201" t="str">
        <v>North</v>
      </c>
      <c r="AN201" t="str">
        <v>Arjun</v>
      </c>
      <c r="AO201" t="str">
        <v>Customer_49</v>
      </c>
      <c r="AP201" t="str">
        <v>Electronics</v>
      </c>
      <c r="AQ201" t="str">
        <v>Mouse</v>
      </c>
      <c r="AR201">
        <v>1</v>
      </c>
      <c r="AS201">
        <v>3593</v>
      </c>
      <c r="AT201">
        <v>15</v>
      </c>
      <c r="AU201">
        <v>3054.05</v>
      </c>
      <c r="AV201">
        <v>2367.8000000000002</v>
      </c>
      <c r="AW201">
        <v>686.25</v>
      </c>
      <c r="AX201" t="str">
        <v>Card</v>
      </c>
      <c r="AY201">
        <v>5</v>
      </c>
      <c r="AZ201">
        <v>3.9</v>
      </c>
      <c r="BA201">
        <v>199</v>
      </c>
      <c r="BB201" t="str">
        <v>Mouse</v>
      </c>
      <c r="BC201" s="6">
        <f t="shared" si="46"/>
        <v>0</v>
      </c>
      <c r="BD201" t="str">
        <f t="shared" si="47"/>
        <v>Bonus!</v>
      </c>
      <c r="BE201" s="8">
        <f t="shared" si="48"/>
        <v>0.37094303656984445</v>
      </c>
      <c r="BF201" t="str">
        <v>Customer_9</v>
      </c>
      <c r="BG201" t="str">
        <f t="shared" si="49"/>
        <v>North-Laptop</v>
      </c>
      <c r="BH201">
        <f t="shared" si="50"/>
        <v>2024</v>
      </c>
      <c r="BI201" t="str">
        <f t="shared" si="51"/>
        <v>January</v>
      </c>
      <c r="BJ201">
        <f t="shared" ca="1" si="42"/>
        <v>652</v>
      </c>
      <c r="BK201" s="8">
        <f t="shared" si="52"/>
        <v>0.37094303656984445</v>
      </c>
      <c r="BL201">
        <f t="shared" si="53"/>
        <v>30283</v>
      </c>
      <c r="BM201">
        <f t="shared" si="54"/>
        <v>17</v>
      </c>
      <c r="BN201">
        <v>1200</v>
      </c>
      <c r="BO201">
        <v>45577</v>
      </c>
      <c r="BP201" t="str">
        <v>South</v>
      </c>
      <c r="BQ201" t="str">
        <v>Megha</v>
      </c>
      <c r="BR201" t="str">
        <v>Customer_27</v>
      </c>
      <c r="BS201" t="str">
        <v>Office Supplies</v>
      </c>
      <c r="BT201" t="str">
        <v>Mouse</v>
      </c>
      <c r="BU201">
        <v>12</v>
      </c>
      <c r="BV201">
        <v>47005</v>
      </c>
      <c r="BW201">
        <v>20</v>
      </c>
      <c r="BX201">
        <v>451248</v>
      </c>
      <c r="BY201">
        <v>315069.61</v>
      </c>
      <c r="BZ201">
        <v>136178.39000000001</v>
      </c>
      <c r="CA201" t="str">
        <v>Card</v>
      </c>
      <c r="CB201">
        <v>6</v>
      </c>
      <c r="CC201">
        <v>3.9</v>
      </c>
      <c r="CD201" t="b">
        <f>COUNTIF(Sales_Data!E:E,Sales_Data!E201)&gt;1</f>
        <v>1</v>
      </c>
      <c r="CE201">
        <f>SUM(Sales_Data!$K$2:'Sales_Data'!K201)</f>
        <v>47684698.049999982</v>
      </c>
      <c r="CF201">
        <f t="shared" si="55"/>
        <v>389611.72</v>
      </c>
      <c r="CG201" t="str">
        <f>CHOOSE(MATCH(C201,{"North","West","South","East"},0),"Zone 1","Zone 2","Zone 3","Zone 4")</f>
        <v>Zone 1</v>
      </c>
      <c r="CH201" t="str" cm="1">
        <f t="array" ref="CH201">_xlfn.SWITCH(N201,"Card","Card Payment","UPI", "UPI Payment","Cash","Cash Payment","NetBanking", "NetBanking Payment", "Unknown")</f>
        <v>Cash Payment</v>
      </c>
      <c r="CI201" t="str" cm="1">
        <f t="array" ref="CI201">_xlfn.IFS(Sales_Data!J201&lt;=5,"Low",Sales_Data!J201&lt;=10,"Medium",Sales_Data!J201&gt;10,"High")</f>
        <v>Low</v>
      </c>
    </row>
    <row r="202" spans="1:87" x14ac:dyDescent="0.3">
      <c r="AK202">
        <v>1069</v>
      </c>
      <c r="AL202">
        <v>45549</v>
      </c>
      <c r="AM202" t="str">
        <v>West</v>
      </c>
      <c r="AN202" t="str">
        <v>Priya</v>
      </c>
      <c r="AO202" t="str">
        <v>Customer_33</v>
      </c>
      <c r="AP202" t="str">
        <v>Furniture</v>
      </c>
      <c r="AQ202" t="str">
        <v>Mouse</v>
      </c>
      <c r="AR202">
        <v>1</v>
      </c>
      <c r="AS202">
        <v>672</v>
      </c>
      <c r="AT202">
        <v>20</v>
      </c>
      <c r="AU202">
        <v>537.6</v>
      </c>
      <c r="AV202">
        <v>316.74</v>
      </c>
      <c r="AW202">
        <v>220.86</v>
      </c>
      <c r="AX202" t="str">
        <v>NetBanking</v>
      </c>
      <c r="AY202">
        <v>6</v>
      </c>
      <c r="AZ202">
        <v>4.4000000000000004</v>
      </c>
      <c r="BA202">
        <v>200</v>
      </c>
      <c r="BB202" t="str">
        <v>Mouse</v>
      </c>
      <c r="BC202" s="6">
        <f t="shared" si="46"/>
        <v>0</v>
      </c>
      <c r="BD202" t="str">
        <f t="shared" si="47"/>
        <v/>
      </c>
      <c r="BE202" s="8" t="e">
        <f t="shared" si="48"/>
        <v>#DIV/0!</v>
      </c>
      <c r="BG202" t="str">
        <f t="shared" si="49"/>
        <v/>
      </c>
      <c r="BH202">
        <f t="shared" si="50"/>
        <v>1900</v>
      </c>
      <c r="BI202" t="str">
        <f t="shared" si="51"/>
        <v>January</v>
      </c>
      <c r="BJ202">
        <f t="shared" ca="1" si="42"/>
        <v>33003</v>
      </c>
      <c r="BK202" s="8" t="e">
        <f t="shared" si="52"/>
        <v>#DIV/0!</v>
      </c>
      <c r="BL202">
        <f t="shared" si="53"/>
        <v>0</v>
      </c>
      <c r="BM202">
        <f t="shared" si="54"/>
        <v>202</v>
      </c>
      <c r="BN202">
        <v>1201</v>
      </c>
      <c r="BO202">
        <v>45293</v>
      </c>
      <c r="BP202" t="str">
        <v>North</v>
      </c>
      <c r="BQ202" t="str">
        <v>Arjun</v>
      </c>
      <c r="BR202" t="str">
        <v>Customer_40</v>
      </c>
      <c r="BS202" t="str">
        <v>Furniture</v>
      </c>
      <c r="BT202" t="str">
        <v>Laptop</v>
      </c>
      <c r="BU202">
        <v>8</v>
      </c>
      <c r="BV202">
        <v>44578</v>
      </c>
      <c r="BW202">
        <v>5</v>
      </c>
      <c r="BX202">
        <v>338792.8</v>
      </c>
      <c r="BY202">
        <v>213119.97</v>
      </c>
      <c r="BZ202">
        <v>125672.83</v>
      </c>
      <c r="CA202" t="str">
        <v>Cash</v>
      </c>
      <c r="CB202">
        <v>2</v>
      </c>
      <c r="CC202">
        <v>3.9</v>
      </c>
      <c r="CD202" t="b">
        <f>COUNTIF(Sales_Data!E:E,Sales_Data!E202)&gt;1</f>
        <v>0</v>
      </c>
      <c r="CE202">
        <f>SUM(Sales_Data!$K$2:'Sales_Data'!K202)</f>
        <v>47684698.049999982</v>
      </c>
      <c r="CF202">
        <f t="shared" si="55"/>
        <v>0</v>
      </c>
      <c r="CG202" t="e">
        <f>CHOOSE(MATCH(C202,{"North","West","South","East"},0),"Zone 1","Zone 2","Zone 3","Zone 4")</f>
        <v>#N/A</v>
      </c>
      <c r="CH202" t="str" cm="1">
        <f t="array" ref="CH202">_xlfn.SWITCH(N202,"Card","Card Payment","UPI", "UPI Payment","Cash","Cash Payment","NetBanking", "NetBanking Payment", "Unknown")</f>
        <v>Unknown</v>
      </c>
      <c r="CI202" t="str" cm="1">
        <f t="array" ref="CI202">_xlfn.IFS(Sales_Data!J202&lt;=5,"Low",Sales_Data!J202&lt;=10,"Medium",Sales_Data!J202&gt;10,"High")</f>
        <v>Low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1"/>
  <sheetViews>
    <sheetView zoomScale="130" zoomScaleNormal="130" workbookViewId="0">
      <selection activeCell="I10" sqref="I10"/>
    </sheetView>
  </sheetViews>
  <sheetFormatPr defaultRowHeight="14.4" x14ac:dyDescent="0.3"/>
  <cols>
    <col min="7" max="7" width="11.21875" bestFit="1" customWidth="1"/>
    <col min="10" max="10" width="13.109375" bestFit="1" customWidth="1"/>
    <col min="11" max="11" width="14.88671875" customWidth="1"/>
  </cols>
  <sheetData>
    <row r="1" spans="1:11" x14ac:dyDescent="0.3">
      <c r="A1" s="2" t="s">
        <v>93</v>
      </c>
      <c r="B1" s="3"/>
      <c r="C1" s="3"/>
      <c r="J1" t="s">
        <v>144</v>
      </c>
    </row>
    <row r="2" spans="1:11" x14ac:dyDescent="0.3">
      <c r="A2" t="s">
        <v>94</v>
      </c>
      <c r="J2" t="str" cm="1">
        <f t="array" ref="J2:J7">_xlfn.UNIQUE(Sales_Data!C:C)</f>
        <v>Region</v>
      </c>
    </row>
    <row r="3" spans="1:11" x14ac:dyDescent="0.3">
      <c r="A3" t="s">
        <v>95</v>
      </c>
      <c r="J3" t="str">
        <v>West</v>
      </c>
      <c r="K3">
        <f>SUMIFS(Sales_Data!K:K,Sales_Data!C:C,J3)</f>
        <v>10267686.999999998</v>
      </c>
    </row>
    <row r="4" spans="1:11" x14ac:dyDescent="0.3">
      <c r="A4" t="s">
        <v>96</v>
      </c>
      <c r="G4">
        <f>AVERAGEIFS(Sales_Data!K:K,Sales_Data!F:F,Sales_Data!F2)</f>
        <v>235998.63230769229</v>
      </c>
      <c r="J4" t="str">
        <v>South</v>
      </c>
      <c r="K4">
        <f>SUMIFS(Sales_Data!K:K,Sales_Data!C:C,J4)</f>
        <v>11033933.750000002</v>
      </c>
    </row>
    <row r="5" spans="1:11" x14ac:dyDescent="0.3">
      <c r="A5" t="s">
        <v>97</v>
      </c>
      <c r="G5">
        <f>COUNTIFS(Sales_Data!J:J,"&gt;=10")</f>
        <v>112</v>
      </c>
      <c r="J5" t="str">
        <v>East</v>
      </c>
      <c r="K5">
        <f>SUMIFS(Sales_Data!K:K,Sales_Data!C:C,J5)</f>
        <v>12180283.999999998</v>
      </c>
    </row>
    <row r="6" spans="1:11" x14ac:dyDescent="0.3">
      <c r="A6" t="s">
        <v>98</v>
      </c>
      <c r="G6">
        <f>MAX(Sales_Data!M:M)</f>
        <v>294520.01</v>
      </c>
      <c r="J6" t="str">
        <v>North</v>
      </c>
      <c r="K6">
        <f>SUMIFS(Sales_Data!K:K,Sales_Data!C:C,J6)</f>
        <v>14202793.300000004</v>
      </c>
    </row>
    <row r="7" spans="1:11" x14ac:dyDescent="0.3">
      <c r="A7" t="s">
        <v>99</v>
      </c>
      <c r="G7">
        <f>MIN(Sales_Data!O:O)</f>
        <v>1</v>
      </c>
      <c r="J7">
        <v>0</v>
      </c>
    </row>
    <row r="8" spans="1:11" x14ac:dyDescent="0.3">
      <c r="A8" t="s">
        <v>100</v>
      </c>
      <c r="J8" t="s">
        <v>145</v>
      </c>
    </row>
    <row r="9" spans="1:11" x14ac:dyDescent="0.3">
      <c r="A9" t="s">
        <v>101</v>
      </c>
      <c r="J9" t="str" cm="1">
        <f t="array" ref="J9:J13">_xlfn.UNIQUE(Sales_Data!F:F)</f>
        <v>Category</v>
      </c>
    </row>
    <row r="10" spans="1:11" x14ac:dyDescent="0.3">
      <c r="A10" t="s">
        <v>102</v>
      </c>
      <c r="G10" s="5" t="s">
        <v>148</v>
      </c>
      <c r="J10" t="str">
        <v>Electronics</v>
      </c>
      <c r="K10">
        <f>SUMIF(Sales_Data!F:F,J10,Sales_Data!M:M)</f>
        <v>4955324.7199999988</v>
      </c>
    </row>
    <row r="11" spans="1:11" x14ac:dyDescent="0.3">
      <c r="A11" t="s">
        <v>103</v>
      </c>
      <c r="J11" t="str">
        <v>Office Supplies</v>
      </c>
      <c r="K11">
        <f>SUMIF(Sales_Data!F:F,J11,Sales_Data!M:M)</f>
        <v>4952943.0700000012</v>
      </c>
    </row>
    <row r="12" spans="1:11" x14ac:dyDescent="0.3">
      <c r="A12" t="s">
        <v>104</v>
      </c>
      <c r="J12" t="str">
        <v>Furniture</v>
      </c>
      <c r="K12">
        <f>SUMIF(Sales_Data!F:F,J12,Sales_Data!M:M)</f>
        <v>4586500.0800000019</v>
      </c>
    </row>
    <row r="13" spans="1:11" x14ac:dyDescent="0.3">
      <c r="A13" t="s">
        <v>105</v>
      </c>
      <c r="J13">
        <v>0</v>
      </c>
    </row>
    <row r="14" spans="1:11" x14ac:dyDescent="0.3">
      <c r="A14" t="s">
        <v>106</v>
      </c>
      <c r="G14" s="5" t="s">
        <v>148</v>
      </c>
      <c r="J14" t="s">
        <v>151</v>
      </c>
    </row>
    <row r="15" spans="1:11" x14ac:dyDescent="0.3">
      <c r="A15" t="s">
        <v>107</v>
      </c>
      <c r="J15" t="str" cm="1">
        <f t="array" ref="J15:J19">_xlfn.UNIQUE(Sales_Data!F:F)</f>
        <v>Category</v>
      </c>
    </row>
    <row r="16" spans="1:11" x14ac:dyDescent="0.3">
      <c r="A16" t="s">
        <v>108</v>
      </c>
      <c r="J16" t="str">
        <v>Electronics</v>
      </c>
    </row>
    <row r="17" spans="1:12" x14ac:dyDescent="0.3">
      <c r="A17" t="s">
        <v>109</v>
      </c>
      <c r="G17">
        <f>LARGE(Sales_Data!K:K,3)</f>
        <v>718080</v>
      </c>
      <c r="J17" t="str">
        <v>Office Supplies</v>
      </c>
    </row>
    <row r="18" spans="1:12" x14ac:dyDescent="0.3">
      <c r="A18" t="s">
        <v>110</v>
      </c>
      <c r="G18">
        <f>MEDIAN(Sales_Data!K:K)</f>
        <v>204176.6</v>
      </c>
      <c r="J18" t="str">
        <v>Furniture</v>
      </c>
    </row>
    <row r="19" spans="1:12" x14ac:dyDescent="0.3">
      <c r="A19" t="s">
        <v>111</v>
      </c>
      <c r="G19">
        <f>_xlfn.STDEV.S(Sales_Data!M:M)</f>
        <v>65036.936853411484</v>
      </c>
      <c r="J19">
        <v>0</v>
      </c>
    </row>
    <row r="20" spans="1:12" x14ac:dyDescent="0.3">
      <c r="A20" t="s">
        <v>112</v>
      </c>
      <c r="J20" t="s">
        <v>154</v>
      </c>
      <c r="L20" t="s">
        <v>157</v>
      </c>
    </row>
    <row r="21" spans="1:12" x14ac:dyDescent="0.3">
      <c r="A21" t="s">
        <v>113</v>
      </c>
      <c r="G21" t="s">
        <v>148</v>
      </c>
      <c r="J21" cm="1">
        <f t="array" ref="J21:J25">LARGE(Sales_Data!M:M,{1;2;3;4;5})</f>
        <v>294520.01</v>
      </c>
      <c r="L21" t="str" cm="1">
        <f t="array" ref="L21:L30">_xlfn.UNIQUE(Sales_Data!D:D)</f>
        <v>Salesperson</v>
      </c>
    </row>
    <row r="22" spans="1:12" x14ac:dyDescent="0.3">
      <c r="A22" t="s">
        <v>114</v>
      </c>
      <c r="J22">
        <v>280595.95</v>
      </c>
      <c r="L22" t="str">
        <v>Rohan</v>
      </c>
    </row>
    <row r="23" spans="1:12" x14ac:dyDescent="0.3">
      <c r="A23" t="s">
        <v>115</v>
      </c>
      <c r="J23">
        <v>279929.84999999998</v>
      </c>
      <c r="L23" t="str">
        <v>Karan</v>
      </c>
    </row>
    <row r="24" spans="1:12" x14ac:dyDescent="0.3">
      <c r="A24" t="s">
        <v>116</v>
      </c>
      <c r="J24">
        <v>265904.95</v>
      </c>
      <c r="L24" t="str">
        <v>Arjun</v>
      </c>
    </row>
    <row r="25" spans="1:12" x14ac:dyDescent="0.3">
      <c r="A25" t="s">
        <v>117</v>
      </c>
      <c r="J25">
        <v>244922.96</v>
      </c>
      <c r="L25" t="str">
        <v>Neha</v>
      </c>
    </row>
    <row r="26" spans="1:12" x14ac:dyDescent="0.3">
      <c r="A26" t="s">
        <v>118</v>
      </c>
      <c r="L26" t="str">
        <v>Sneha</v>
      </c>
    </row>
    <row r="27" spans="1:12" x14ac:dyDescent="0.3">
      <c r="A27" t="s">
        <v>119</v>
      </c>
      <c r="L27" t="str">
        <v>Priya</v>
      </c>
    </row>
    <row r="28" spans="1:12" x14ac:dyDescent="0.3">
      <c r="A28" t="s">
        <v>120</v>
      </c>
      <c r="L28" t="str">
        <v>Aman</v>
      </c>
    </row>
    <row r="29" spans="1:12" x14ac:dyDescent="0.3">
      <c r="A29" t="s">
        <v>121</v>
      </c>
      <c r="L29" t="str">
        <v>Megha</v>
      </c>
    </row>
    <row r="30" spans="1:12" x14ac:dyDescent="0.3">
      <c r="A30" t="s">
        <v>122</v>
      </c>
      <c r="G30">
        <f>COUNTIF(Sales_Data!N:N,"Card")</f>
        <v>56</v>
      </c>
      <c r="J30" t="s">
        <v>167</v>
      </c>
      <c r="L30">
        <v>0</v>
      </c>
    </row>
    <row r="31" spans="1:12" x14ac:dyDescent="0.3">
      <c r="A31" t="s">
        <v>123</v>
      </c>
      <c r="G31">
        <f>SUMIF(Sales_Data!N:N,"Cash",Sales_Data!K:K)</f>
        <v>8836507.9000000004</v>
      </c>
      <c r="J31" t="str" cm="1">
        <f t="array" ref="J31:J36">_xlfn.UNIQUE(Sales_Data!C:C)</f>
        <v>Region</v>
      </c>
    </row>
    <row r="32" spans="1:12" x14ac:dyDescent="0.3">
      <c r="A32" t="s">
        <v>124</v>
      </c>
      <c r="J32" t="str">
        <v>West</v>
      </c>
      <c r="K32">
        <f>AVERAGEIF(Sales_Data!C:C,Advanced_Formula_Questions!J32,Sales_Data!O:O)</f>
        <v>6.1739130434782608</v>
      </c>
    </row>
    <row r="33" spans="1:11" x14ac:dyDescent="0.3">
      <c r="A33" t="s">
        <v>125</v>
      </c>
      <c r="J33" t="str">
        <v>South</v>
      </c>
      <c r="K33">
        <f>AVERAGEIF(Sales_Data!C:C,Advanced_Formula_Questions!J33,Sales_Data!O:O)</f>
        <v>5.5217391304347823</v>
      </c>
    </row>
    <row r="34" spans="1:11" x14ac:dyDescent="0.3">
      <c r="A34" t="s">
        <v>126</v>
      </c>
      <c r="J34" t="str">
        <v>East</v>
      </c>
      <c r="K34">
        <f>AVERAGEIF(Sales_Data!C:C,Advanced_Formula_Questions!J34,Sales_Data!O:O)</f>
        <v>5.0612244897959187</v>
      </c>
    </row>
    <row r="35" spans="1:11" x14ac:dyDescent="0.3">
      <c r="A35" t="s">
        <v>127</v>
      </c>
      <c r="G35">
        <f>COUNTIF(Sales_Data!P:P,"&gt;4.5")</f>
        <v>44</v>
      </c>
      <c r="J35" t="str">
        <v>North</v>
      </c>
      <c r="K35">
        <f>AVERAGEIF(Sales_Data!C:C,Advanced_Formula_Questions!J35,Sales_Data!O:O)</f>
        <v>5.3220338983050848</v>
      </c>
    </row>
    <row r="36" spans="1:11" x14ac:dyDescent="0.3">
      <c r="A36" t="s">
        <v>128</v>
      </c>
      <c r="J36">
        <v>0</v>
      </c>
    </row>
    <row r="37" spans="1:11" x14ac:dyDescent="0.3">
      <c r="A37" t="s">
        <v>129</v>
      </c>
      <c r="J37" t="s">
        <v>168</v>
      </c>
    </row>
    <row r="38" spans="1:11" x14ac:dyDescent="0.3">
      <c r="A38" t="s">
        <v>130</v>
      </c>
      <c r="G38" t="str">
        <f>INDEX(Sales_Data!G:G,MATCH(MIN(Sales_Data!L:L),Sales_Data!L:L,0))</f>
        <v>Mouse</v>
      </c>
      <c r="J38" t="str" cm="1">
        <f t="array" ref="J38:J47">_xlfn.UNIQUE(Sales_Data!D:D)</f>
        <v>Salesperson</v>
      </c>
    </row>
    <row r="39" spans="1:11" x14ac:dyDescent="0.3">
      <c r="A39" t="s">
        <v>131</v>
      </c>
      <c r="G39">
        <f>_xlfn.AGGREGATE(2,6,Sales_Data!A1:P201)</f>
        <v>2000</v>
      </c>
      <c r="J39" t="str">
        <v>Rohan</v>
      </c>
      <c r="K39">
        <f>_xlfn.MAXIFS(Sales_Data!K:K,Sales_Data!D:D,Advanced_Formula_Questions!J39)</f>
        <v>674676</v>
      </c>
    </row>
    <row r="40" spans="1:11" x14ac:dyDescent="0.3">
      <c r="A40" t="s">
        <v>132</v>
      </c>
      <c r="G40">
        <f>SUBTOTAL(9,Sales_Data!K:K)</f>
        <v>47684698.049999982</v>
      </c>
      <c r="J40" t="str">
        <v>Karan</v>
      </c>
      <c r="K40">
        <f>_xlfn.MAXIFS(Sales_Data!K:K,Sales_Data!D:D,Advanced_Formula_Questions!J40)</f>
        <v>673930</v>
      </c>
    </row>
    <row r="41" spans="1:11" x14ac:dyDescent="0.3">
      <c r="A41" t="s">
        <v>133</v>
      </c>
      <c r="G41" t="s">
        <v>148</v>
      </c>
      <c r="J41" t="str">
        <v>Arjun</v>
      </c>
      <c r="K41">
        <f>_xlfn.MAXIFS(Sales_Data!K:K,Sales_Data!D:D,Advanced_Formula_Questions!J41)</f>
        <v>999520</v>
      </c>
    </row>
    <row r="42" spans="1:11" x14ac:dyDescent="0.3">
      <c r="A42" t="s">
        <v>134</v>
      </c>
      <c r="J42" t="str">
        <v>Neha</v>
      </c>
      <c r="K42">
        <f>_xlfn.MAXIFS(Sales_Data!K:K,Sales_Data!D:D,Advanced_Formula_Questions!J42)</f>
        <v>829065</v>
      </c>
    </row>
    <row r="43" spans="1:11" x14ac:dyDescent="0.3">
      <c r="A43" t="s">
        <v>135</v>
      </c>
      <c r="G43" t="s">
        <v>170</v>
      </c>
      <c r="J43" t="str">
        <v>Sneha</v>
      </c>
      <c r="K43">
        <f>_xlfn.MAXIFS(Sales_Data!K:K,Sales_Data!D:D,Advanced_Formula_Questions!J43)</f>
        <v>593612.80000000005</v>
      </c>
    </row>
    <row r="44" spans="1:11" x14ac:dyDescent="0.3">
      <c r="A44" t="s">
        <v>136</v>
      </c>
      <c r="G44">
        <f>SUM(Sales_Data!$K$2:'Sales_Data'!K2)</f>
        <v>479448</v>
      </c>
      <c r="J44" t="str">
        <v>Priya</v>
      </c>
      <c r="K44">
        <f>_xlfn.MAXIFS(Sales_Data!K:K,Sales_Data!D:D,Advanced_Formula_Questions!J44)</f>
        <v>607107</v>
      </c>
    </row>
    <row r="45" spans="1:11" x14ac:dyDescent="0.3">
      <c r="A45" t="s">
        <v>137</v>
      </c>
      <c r="J45" t="str">
        <v>Aman</v>
      </c>
      <c r="K45">
        <f>_xlfn.MAXIFS(Sales_Data!K:K,Sales_Data!D:D,Advanced_Formula_Questions!J45)</f>
        <v>631813.5</v>
      </c>
    </row>
    <row r="46" spans="1:11" x14ac:dyDescent="0.3">
      <c r="A46" t="s">
        <v>138</v>
      </c>
      <c r="J46" t="str">
        <v>Megha</v>
      </c>
      <c r="K46">
        <f>_xlfn.MAXIFS(Sales_Data!K:K,Sales_Data!D:D,Advanced_Formula_Questions!J46)</f>
        <v>718080</v>
      </c>
    </row>
    <row r="47" spans="1:11" x14ac:dyDescent="0.3">
      <c r="A47" t="s">
        <v>139</v>
      </c>
      <c r="J47">
        <v>0</v>
      </c>
      <c r="K47">
        <f>_xlfn.MAXIFS(Sales_Data!K:K,Sales_Data!D:D,Advanced_Formula_Questions!J47)</f>
        <v>0</v>
      </c>
    </row>
    <row r="48" spans="1:11" x14ac:dyDescent="0.3">
      <c r="A48" t="s">
        <v>140</v>
      </c>
    </row>
    <row r="49" spans="1:13" x14ac:dyDescent="0.3">
      <c r="A49" t="s">
        <v>141</v>
      </c>
      <c r="J49" t="s">
        <v>172</v>
      </c>
      <c r="L49" t="s">
        <v>173</v>
      </c>
    </row>
    <row r="50" spans="1:13" x14ac:dyDescent="0.3">
      <c r="A50" t="s">
        <v>142</v>
      </c>
      <c r="J50" t="str" cm="1">
        <f t="array" ref="J50:J54">_xlfn.UNIQUE(Sales_Data!F:F)</f>
        <v>Category</v>
      </c>
      <c r="L50" t="str" cm="1">
        <f t="array" ref="L50:L61">_xlfn.UNIQUE(Sales_Data!BI2:BI201)</f>
        <v>August</v>
      </c>
      <c r="M50">
        <f>COUNTIF(Sales_Data!BI:BI,Advanced_Formula_Questions!L50)</f>
        <v>13</v>
      </c>
    </row>
    <row r="51" spans="1:13" x14ac:dyDescent="0.3">
      <c r="A51" t="s">
        <v>143</v>
      </c>
      <c r="G51">
        <f>_xlfn.XLOOKUP(Sales_Data!D2,Sales_Data!D2:D201,Sales_Data!A2:A201,,,-1)</f>
        <v>1188</v>
      </c>
      <c r="J51" t="str">
        <v>Electronics</v>
      </c>
      <c r="L51" t="str">
        <v>January</v>
      </c>
      <c r="M51">
        <f>COUNTIF(Sales_Data!BI:BI,Advanced_Formula_Questions!L51)</f>
        <v>29</v>
      </c>
    </row>
    <row r="52" spans="1:13" x14ac:dyDescent="0.3">
      <c r="J52" t="str">
        <v>Office Supplies</v>
      </c>
      <c r="L52" t="str">
        <v>May</v>
      </c>
      <c r="M52">
        <f>COUNTIF(Sales_Data!BI:BI,Advanced_Formula_Questions!L52)</f>
        <v>22</v>
      </c>
    </row>
    <row r="53" spans="1:13" x14ac:dyDescent="0.3">
      <c r="J53" t="str">
        <v>Furniture</v>
      </c>
      <c r="L53" t="str">
        <v>April</v>
      </c>
      <c r="M53">
        <f>COUNTIF(Sales_Data!BI:BI,Advanced_Formula_Questions!L53)</f>
        <v>21</v>
      </c>
    </row>
    <row r="54" spans="1:13" x14ac:dyDescent="0.3">
      <c r="J54">
        <v>0</v>
      </c>
      <c r="L54" t="str">
        <v>September</v>
      </c>
      <c r="M54">
        <f>COUNTIF(Sales_Data!BI:BI,Advanced_Formula_Questions!L54)</f>
        <v>14</v>
      </c>
    </row>
    <row r="55" spans="1:13" x14ac:dyDescent="0.3">
      <c r="L55" t="str">
        <v>December</v>
      </c>
      <c r="M55">
        <f>COUNTIF(Sales_Data!BI:BI,Advanced_Formula_Questions!L55)</f>
        <v>13</v>
      </c>
    </row>
    <row r="56" spans="1:13" x14ac:dyDescent="0.3">
      <c r="L56" t="str">
        <v>June</v>
      </c>
      <c r="M56">
        <f>COUNTIF(Sales_Data!BI:BI,Advanced_Formula_Questions!L56)</f>
        <v>15</v>
      </c>
    </row>
    <row r="57" spans="1:13" x14ac:dyDescent="0.3">
      <c r="L57" t="str">
        <v>July</v>
      </c>
      <c r="M57">
        <f>COUNTIF(Sales_Data!BI:BI,Advanced_Formula_Questions!L57)</f>
        <v>17</v>
      </c>
    </row>
    <row r="58" spans="1:13" x14ac:dyDescent="0.3">
      <c r="L58" t="str">
        <v>October</v>
      </c>
      <c r="M58">
        <f>COUNTIF(Sales_Data!BI:BI,Advanced_Formula_Questions!L58)</f>
        <v>11</v>
      </c>
    </row>
    <row r="59" spans="1:13" x14ac:dyDescent="0.3">
      <c r="L59" t="str">
        <v>March</v>
      </c>
      <c r="M59">
        <f>COUNTIF(Sales_Data!BI:BI,Advanced_Formula_Questions!L59)</f>
        <v>18</v>
      </c>
    </row>
    <row r="60" spans="1:13" x14ac:dyDescent="0.3">
      <c r="L60" t="str">
        <v>November</v>
      </c>
      <c r="M60">
        <f>COUNTIF(Sales_Data!BI:BI,Advanced_Formula_Questions!L60)</f>
        <v>16</v>
      </c>
    </row>
    <row r="61" spans="1:13" x14ac:dyDescent="0.3">
      <c r="L61" t="str">
        <v>February</v>
      </c>
      <c r="M61">
        <f>COUNTIF(Sales_Data!BI:BI,Advanced_Formula_Questions!L61)</f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Advanced_Formula_Questions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2026-06-29T04:08:29Z</dcterms:created>
  <dcterms:modified xsi:type="dcterms:W3CDTF">2026-07-01T05:14:15Z</dcterms:modified>
</cp:coreProperties>
</file>