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CA5943A-1598-455D-831B-2965EFD75275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Data" sheetId="1" r:id="rId1"/>
    <sheet name="Formula_Practic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2" l="1"/>
  <c r="O2" i="1"/>
  <c r="C11" i="2"/>
  <c r="C19" i="2" a="1"/>
  <c r="C19" i="2" s="1"/>
  <c r="C10" i="2"/>
  <c r="C9" i="2"/>
  <c r="C5" i="2"/>
  <c r="E3" i="2"/>
  <c r="C3" i="2" s="1"/>
  <c r="D3" i="2"/>
  <c r="F3" i="2" s="1"/>
  <c r="E10" i="2" a="1"/>
  <c r="E10" i="2" s="1"/>
  <c r="C20" i="2" a="1"/>
  <c r="C20" i="2" s="1"/>
  <c r="C15" i="2"/>
  <c r="C22" i="2"/>
  <c r="C7" i="2"/>
  <c r="C4" i="2"/>
  <c r="C23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2" i="1"/>
  <c r="D21" i="2" a="1"/>
  <c r="D21" i="2" s="1"/>
  <c r="C21" i="2" a="1"/>
  <c r="C21" i="2" s="1"/>
  <c r="C18" i="2"/>
  <c r="C17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2" i="1"/>
  <c r="C16" i="2"/>
  <c r="C14" i="2" a="1"/>
  <c r="C14" i="2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2" i="1"/>
  <c r="C8" i="2"/>
  <c r="C6" i="2"/>
  <c r="C2" i="2" a="1"/>
  <c r="C2" i="2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F15" i="2" l="1"/>
  <c r="F11" i="2"/>
  <c r="F13" i="2"/>
  <c r="F14" i="2"/>
  <c r="F16" i="2"/>
  <c r="F1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<sst xmlns="http://schemas.openxmlformats.org/spreadsheetml/2006/main" count="892" uniqueCount="271">
  <si>
    <t>OrderID</t>
  </si>
  <si>
    <t>OrderDate</t>
  </si>
  <si>
    <t>CustomerName</t>
  </si>
  <si>
    <t>Region</t>
  </si>
  <si>
    <t>Category</t>
  </si>
  <si>
    <t>Product</t>
  </si>
  <si>
    <t>Quantity</t>
  </si>
  <si>
    <t>UnitPrice</t>
  </si>
  <si>
    <t>TotalAmount</t>
  </si>
  <si>
    <t>PaymentMethod</t>
  </si>
  <si>
    <t>ORD3001</t>
  </si>
  <si>
    <t>Riya Mehta</t>
  </si>
  <si>
    <t>North</t>
  </si>
  <si>
    <t>Grocery</t>
  </si>
  <si>
    <t>Honey Jar</t>
  </si>
  <si>
    <t>Cash on Delivery</t>
  </si>
  <si>
    <t>ORD3002</t>
  </si>
  <si>
    <t>Myra Mehta</t>
  </si>
  <si>
    <t>Central</t>
  </si>
  <si>
    <t>Electronics</t>
  </si>
  <si>
    <t>Bluetooth Speaker</t>
  </si>
  <si>
    <t>ORD3003</t>
  </si>
  <si>
    <t>Myra Patel</t>
  </si>
  <si>
    <t>Home</t>
  </si>
  <si>
    <t>Cushion Cover</t>
  </si>
  <si>
    <t>ORD3004</t>
  </si>
  <si>
    <t>Anika Nair</t>
  </si>
  <si>
    <t>East</t>
  </si>
  <si>
    <t>Stationery</t>
  </si>
  <si>
    <t>Notebook</t>
  </si>
  <si>
    <t>Debit Card</t>
  </si>
  <si>
    <t>ORD3005</t>
  </si>
  <si>
    <t>Aditya Kumar</t>
  </si>
  <si>
    <t>USB-C Cable</t>
  </si>
  <si>
    <t>ORD3006</t>
  </si>
  <si>
    <t>Vivaan Malhotra</t>
  </si>
  <si>
    <t>South</t>
  </si>
  <si>
    <t>Green Tea Pack</t>
  </si>
  <si>
    <t>ORD3007</t>
  </si>
  <si>
    <t>Anika Reddy</t>
  </si>
  <si>
    <t>ORD3008</t>
  </si>
  <si>
    <t>Arjun Patel</t>
  </si>
  <si>
    <t>Net Banking</t>
  </si>
  <si>
    <t>ORD3009</t>
  </si>
  <si>
    <t>Riya Bhatt</t>
  </si>
  <si>
    <t>Oats Pack</t>
  </si>
  <si>
    <t>ORD3010</t>
  </si>
  <si>
    <t>Pari Joshi</t>
  </si>
  <si>
    <t>ORD3011</t>
  </si>
  <si>
    <t>Aarav Kumar</t>
  </si>
  <si>
    <t>ORD3012</t>
  </si>
  <si>
    <t>Saanvi Bhatt</t>
  </si>
  <si>
    <t>ORD3013</t>
  </si>
  <si>
    <t>Meera Verma</t>
  </si>
  <si>
    <t>Apparel</t>
  </si>
  <si>
    <t>Denim Jacket</t>
  </si>
  <si>
    <t>ORD3014</t>
  </si>
  <si>
    <t>Amara Nair</t>
  </si>
  <si>
    <t>ORD3015</t>
  </si>
  <si>
    <t>Aarav Rao</t>
  </si>
  <si>
    <t>Olive Oil 1L</t>
  </si>
  <si>
    <t>ORD3016</t>
  </si>
  <si>
    <t>Highlighter Pack</t>
  </si>
  <si>
    <t>ORD3017</t>
  </si>
  <si>
    <t>Aarav Gupta</t>
  </si>
  <si>
    <t>Wireless Mouse</t>
  </si>
  <si>
    <t>Credit Card</t>
  </si>
  <si>
    <t>ORD3018</t>
  </si>
  <si>
    <t>Ananya Bhatt</t>
  </si>
  <si>
    <t>Sticky Notes</t>
  </si>
  <si>
    <t>ORD3019</t>
  </si>
  <si>
    <t>Wall Clock</t>
  </si>
  <si>
    <t>ORD3020</t>
  </si>
  <si>
    <t>Kiara Nair</t>
  </si>
  <si>
    <t>UPI</t>
  </si>
  <si>
    <t>ORD3021</t>
  </si>
  <si>
    <t>ORD3022</t>
  </si>
  <si>
    <t>Ayaan Verma</t>
  </si>
  <si>
    <t>ORD3023</t>
  </si>
  <si>
    <t>Amara Bhatt</t>
  </si>
  <si>
    <t>West</t>
  </si>
  <si>
    <t>ORD3024</t>
  </si>
  <si>
    <t>Vihaan Bhatt</t>
  </si>
  <si>
    <t>ORD3025</t>
  </si>
  <si>
    <t>ORD3026</t>
  </si>
  <si>
    <t>Reyansh Gupta</t>
  </si>
  <si>
    <t>Wool Socks</t>
  </si>
  <si>
    <t>ORD3027</t>
  </si>
  <si>
    <t>Amara Patel</t>
  </si>
  <si>
    <t>ORD3028</t>
  </si>
  <si>
    <t>Aditya Reddy</t>
  </si>
  <si>
    <t>ORD3029</t>
  </si>
  <si>
    <t>Cap</t>
  </si>
  <si>
    <t>ORD3030</t>
  </si>
  <si>
    <t>Webcam</t>
  </si>
  <si>
    <t>ORD3031</t>
  </si>
  <si>
    <t>ORD3032</t>
  </si>
  <si>
    <t>Saanvi Iyer</t>
  </si>
  <si>
    <t>Table Lamp</t>
  </si>
  <si>
    <t>ORD3033</t>
  </si>
  <si>
    <t>Reyansh Malhotra</t>
  </si>
  <si>
    <t>Desk Organizer</t>
  </si>
  <si>
    <t>ORD3034</t>
  </si>
  <si>
    <t>ORD3035</t>
  </si>
  <si>
    <t>ORD3036</t>
  </si>
  <si>
    <t>ORD3037</t>
  </si>
  <si>
    <t>ORD3038</t>
  </si>
  <si>
    <t>ORD3039</t>
  </si>
  <si>
    <t>Arjun Joshi</t>
  </si>
  <si>
    <t>ORD3040</t>
  </si>
  <si>
    <t>Navya Kapoor</t>
  </si>
  <si>
    <t>ORD3041</t>
  </si>
  <si>
    <t>ORD3042</t>
  </si>
  <si>
    <t>Sai Bhatt</t>
  </si>
  <si>
    <t>Running Shoes</t>
  </si>
  <si>
    <t>ORD3043</t>
  </si>
  <si>
    <t>ORD3044</t>
  </si>
  <si>
    <t>Riya Malhotra</t>
  </si>
  <si>
    <t>ORD3045</t>
  </si>
  <si>
    <t>ORD3046</t>
  </si>
  <si>
    <t>ORD3047</t>
  </si>
  <si>
    <t>Aadhya Joshi</t>
  </si>
  <si>
    <t>ORD3048</t>
  </si>
  <si>
    <t>Storage Box</t>
  </si>
  <si>
    <t>ORD3049</t>
  </si>
  <si>
    <t>Tanvi Joshi</t>
  </si>
  <si>
    <t>ORD3050</t>
  </si>
  <si>
    <t>ORD3051</t>
  </si>
  <si>
    <t>Laptop Stand</t>
  </si>
  <si>
    <t>ORD3052</t>
  </si>
  <si>
    <t>ORD3053</t>
  </si>
  <si>
    <t>ORD3054</t>
  </si>
  <si>
    <t>ORD3055</t>
  </si>
  <si>
    <t>ORD3056</t>
  </si>
  <si>
    <t>Amara Sharma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</si>
  <si>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</si>
  <si>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</si>
  <si>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</si>
  <si>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</si>
  <si>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</si>
  <si>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</si>
  <si>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</si>
  <si>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</si>
  <si>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</si>
  <si>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</si>
  <si>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</si>
  <si>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Rohan Rao</t>
  </si>
  <si>
    <t>ORD3068</t>
  </si>
  <si>
    <t>ORD3069</t>
  </si>
  <si>
    <t>ORD3070</t>
  </si>
  <si>
    <t>Almonds 500g</t>
  </si>
  <si>
    <t>ORD3071</t>
  </si>
  <si>
    <t>ORD3072</t>
  </si>
  <si>
    <t>Sai Joshi</t>
  </si>
  <si>
    <t>ORD3073</t>
  </si>
  <si>
    <t>ORD3074</t>
  </si>
  <si>
    <t>ORD3075</t>
  </si>
  <si>
    <t>ORD3076</t>
  </si>
  <si>
    <t>Gel Pen Set</t>
  </si>
  <si>
    <t>ORD3077</t>
  </si>
  <si>
    <t>ORD3078</t>
  </si>
  <si>
    <t>ORD3079</t>
  </si>
  <si>
    <t>ORD3080</t>
  </si>
  <si>
    <t>ORD3081</t>
  </si>
  <si>
    <t>ORD3082</t>
  </si>
  <si>
    <t>Tanvi Singh</t>
  </si>
  <si>
    <t>ORD3083</t>
  </si>
  <si>
    <t>ORD3084</t>
  </si>
  <si>
    <t>Rohan Chopra</t>
  </si>
  <si>
    <t>Photo Frame</t>
  </si>
  <si>
    <t>ORD3085</t>
  </si>
  <si>
    <t>ORD3086</t>
  </si>
  <si>
    <t>ORD3087</t>
  </si>
  <si>
    <t>ORD3088</t>
  </si>
  <si>
    <t>ORD3089</t>
  </si>
  <si>
    <t>ORD3090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</si>
  <si>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</si>
  <si>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</si>
  <si>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</si>
  <si>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</si>
  <si>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</si>
  <si>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</si>
  <si>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</si>
  <si>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</si>
  <si>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Vihaan Sharma</t>
  </si>
  <si>
    <t>ORD3099</t>
  </si>
  <si>
    <t>ORD3100</t>
  </si>
  <si>
    <t>ORD3101</t>
  </si>
  <si>
    <t>ORD3102</t>
  </si>
  <si>
    <t>ORD3103</t>
  </si>
  <si>
    <t>ORD3104</t>
  </si>
  <si>
    <t>Cotton T-Shirt</t>
  </si>
  <si>
    <t>ORD3105</t>
  </si>
  <si>
    <t>ORD3106</t>
  </si>
  <si>
    <t>ORD3107</t>
  </si>
  <si>
    <t>ORD3108</t>
  </si>
  <si>
    <t>ORD3109</t>
  </si>
  <si>
    <t>ORD3110</t>
  </si>
  <si>
    <t>ORD3111</t>
  </si>
  <si>
    <t>ORD3112</t>
  </si>
  <si>
    <t>ORD3113</t>
  </si>
  <si>
    <t>ORD3114</t>
  </si>
  <si>
    <t>ORD3115</t>
  </si>
  <si>
    <t>ORD3116</t>
  </si>
  <si>
    <t>ORD3117</t>
  </si>
  <si>
    <t>ORD3118</t>
  </si>
  <si>
    <t>ORD3119</t>
  </si>
  <si>
    <t>ORD3120</t>
  </si>
  <si>
    <t>ORD3121</t>
  </si>
  <si>
    <t>ORD3122</t>
  </si>
  <si>
    <t>ORD3123</t>
  </si>
  <si>
    <t>ORD3124</t>
  </si>
  <si>
    <t>ORD3125</t>
  </si>
  <si>
    <t>ORD3126</t>
  </si>
  <si>
    <t>ORD3127</t>
  </si>
  <si>
    <t>ORD3128</t>
  </si>
  <si>
    <t>Aryan Gupta</t>
  </si>
  <si>
    <t>ORD3129</t>
  </si>
  <si>
    <t>ORD3130</t>
  </si>
  <si>
    <t>ORD3131</t>
  </si>
  <si>
    <t>ORD3132</t>
  </si>
  <si>
    <t>ORD3133</t>
  </si>
  <si>
    <t>ORD3134</t>
  </si>
  <si>
    <t>ORD3135</t>
  </si>
  <si>
    <t>ORD3136</t>
  </si>
  <si>
    <t>ORD3137</t>
  </si>
  <si>
    <t>ORD3138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</si>
  <si>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</si>
  <si>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</si>
  <si>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</si>
  <si>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</si>
  <si>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</si>
  <si>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</si>
  <si>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</si>
  <si>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</si>
  <si>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ORD3147</t>
  </si>
  <si>
    <t>ORD3148</t>
  </si>
  <si>
    <t>ORD3149</t>
  </si>
  <si>
    <t>ORD3150</t>
  </si>
  <si>
    <t>#</t>
  </si>
  <si>
    <t>Question</t>
  </si>
  <si>
    <t>Your Formula / Answer</t>
  </si>
  <si>
    <t>The CFO wants total revenue for Q1 2025 (January–March 2025) only.</t>
  </si>
  <si>
    <t>Marketing wants to know the month-over-month growth: what % did total revenue change from May 2025 to June 2025?</t>
  </si>
  <si>
    <t>Ops flags data quality issues. Count how many orders have a missing (blank) PaymentMethod.</t>
  </si>
  <si>
    <t>Classify the first order as 'Low' if TotalAmount &lt; 2000, 'Medium' if between 2000 and 8000, or 'High' if above 8000 (nested IF).</t>
  </si>
  <si>
    <t>Combine the first order's CustomerName and Region into one string separated by a hyphen, e.g. 'Riya Singh-North' (use TEXTJOIN or &amp;).</t>
  </si>
  <si>
    <t>Extract just the first name of the customer in the first order (e.g. 'Riya' from 'Riya Singh').</t>
  </si>
  <si>
    <t>Find total revenue from all orders EXCLUDING the 'Grocery' category.</t>
  </si>
  <si>
    <t>Use IFERROR to look up OrderID 'ORD9999' (which doesn't exist) and return 'Not Found' instead of an error.</t>
  </si>
  <si>
    <t>Find the rank of the 10th order's (row 11) TotalAmount among all orders, where the highest TotalAmount gets rank 1.</t>
  </si>
  <si>
    <t>Count how many orders share the exact same OrderDate as the very first order (including itself).</t>
  </si>
  <si>
    <t>Calculate the weighted average UnitPrice, weighted by Quantity, across all orders (not a simple average).</t>
  </si>
  <si>
    <t>Identify which single Category generated the highest total revenue overall (return the category name).</t>
  </si>
  <si>
    <t>Count how many orders were placed on a weekend (Saturday or Sunday).</t>
  </si>
  <si>
    <t>Determine which quarter (Q1, Q2, Q3, or Q4) the first order's date falls into.</t>
  </si>
  <si>
    <t>Count how many orders have a UnitPrice between 1000 and 3000 (inclusive).</t>
  </si>
  <si>
    <t>Build a composite Order-Region ID for the first order, formatted as 'OrderID-Region' (e.g. 'ORD3001-North').</t>
  </si>
  <si>
    <t>Finance wants to know potential revenue at risk from very small orders. Find total revenue from orders where TotalAmount is under 500.</t>
  </si>
  <si>
    <t>Use SUMPRODUCT to find total revenue from orders where CustomerName starts with the letter 'A'.</t>
  </si>
  <si>
    <t>Count how many distinct PaymentMethod values were actually used (ignore blanks).</t>
  </si>
  <si>
    <t>Compare total revenue for H1 2025 (Jan–Jun) vs H2 2025 (Jul–Dec) and state which half performed better.</t>
  </si>
  <si>
    <t>Find total revenue from orders where Quantity is an even number (use MOD).</t>
  </si>
  <si>
    <t>Data integrity check: is there any OrderID that appears more than once in the dataset? Return the count of duplicate OrderIDs (should be 0 if clean).</t>
  </si>
  <si>
    <t>Note: All questions refer to the 'Data' sheet (range A2:J151). All order dates fall within 2025.</t>
  </si>
  <si>
    <t>month</t>
  </si>
  <si>
    <t>weekday</t>
  </si>
  <si>
    <t>quarter</t>
  </si>
  <si>
    <t>H2 performed better.</t>
  </si>
  <si>
    <t>mod</t>
  </si>
  <si>
    <t>ans11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</si>
</sst>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i/>
      <sz val="11"/>
      <name val="Cambria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  <xf numFmtId="0" fontId="2" fillId="0" borderId="0" xfId="0" applyFont="1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zoomScaleNormal="100" workbookViewId="0">
      <selection activeCell="O2" sqref="O2"/>
    </sheetView>
  </sheetViews>
  <sheetFormatPr defaultColWidth="8.6640625" defaultRowHeight="14.4" x14ac:dyDescent="0.3"/>
  <cols>
    <col min="1" max="1" width="10" customWidth="1"/>
    <col min="2" max="2" width="12" customWidth="1"/>
    <col min="3" max="3" width="18" customWidth="1"/>
    <col min="4" max="4" width="10" customWidth="1"/>
    <col min="5" max="5" width="12" customWidth="1"/>
    <col min="6" max="6" width="18" customWidth="1"/>
    <col min="7" max="7" width="10" customWidth="1"/>
    <col min="8" max="8" width="11" customWidth="1"/>
    <col min="9" max="9" width="13.5546875" bestFit="1" customWidth="1"/>
    <col min="10" max="10" width="16" customWidth="1"/>
    <col min="12" max="12" width="9.44140625" bestFit="1" customWidth="1"/>
    <col min="13" max="13" width="10.33203125" bestFit="1" customWidth="1"/>
    <col min="15" max="15" width="12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265</v>
      </c>
      <c r="L1" s="1" t="s">
        <v>266</v>
      </c>
      <c r="M1" s="1" t="s">
        <v>267</v>
      </c>
      <c r="N1" s="1" t="s">
        <v>269</v>
      </c>
      <c r="O1" s="1" t="s">
        <v>270</v>
      </c>
    </row>
    <row r="2" spans="1:15" x14ac:dyDescent="0.3">
      <c r="A2" t="s">
        <v>10</v>
      </c>
      <c r="B2" s="2">
        <v>45668</v>
      </c>
      <c r="C2" t="s">
        <v>11</v>
      </c>
      <c r="D2" t="s">
        <v>12</v>
      </c>
      <c r="E2" t="s">
        <v>13</v>
      </c>
      <c r="F2" t="s">
        <v>14</v>
      </c>
      <c r="G2">
        <v>9</v>
      </c>
      <c r="H2" s="3">
        <v>1226.8599999999999</v>
      </c>
      <c r="I2" s="3">
        <f t="shared" ref="I2:I33" si="0">G2*H2</f>
        <v>11041.74</v>
      </c>
      <c r="J2" t="s">
        <v>15</v>
      </c>
      <c r="K2">
        <f>MONTH(B2)</f>
        <v>1</v>
      </c>
      <c r="L2">
        <f>WEEKDAY(B2,2)</f>
        <v>6</v>
      </c>
      <c r="M2" s="5">
        <f>ROUNDUP(MONTH(B2)/3,0)</f>
        <v>1</v>
      </c>
      <c r="N2">
        <f>MOD(G2,2)</f>
        <v>1</v>
      </c>
      <c r="O2">
        <f>SUMPRODUCT(Data!G2:G151,Data!H2:H151)/SUM(Data!G2:G151)</f>
        <v>2474.6428354725772</v>
      </c>
    </row>
    <row r="3" spans="1:15" x14ac:dyDescent="0.3">
      <c r="A3" t="s">
        <v>16</v>
      </c>
      <c r="B3" s="2">
        <v>45821</v>
      </c>
      <c r="C3" t="s">
        <v>17</v>
      </c>
      <c r="D3" t="s">
        <v>18</v>
      </c>
      <c r="E3" t="s">
        <v>19</v>
      </c>
      <c r="F3" t="s">
        <v>20</v>
      </c>
      <c r="G3">
        <v>3</v>
      </c>
      <c r="H3" s="3">
        <v>3188.51</v>
      </c>
      <c r="I3" s="3">
        <f t="shared" si="0"/>
        <v>9565.5300000000007</v>
      </c>
      <c r="K3">
        <f t="shared" ref="K3:K66" si="1">MONTH(B3)</f>
        <v>6</v>
      </c>
      <c r="L3">
        <f t="shared" ref="L3:L66" si="2">WEEKDAY(B3,2)</f>
        <v>5</v>
      </c>
      <c r="M3" s="5">
        <f t="shared" ref="M3:M66" si="3">ROUNDUP(MONTH(B3)/3,0)</f>
        <v>2</v>
      </c>
      <c r="N3">
        <f t="shared" ref="N3:N66" si="4">MOD(G3,2)</f>
        <v>1</v>
      </c>
    </row>
    <row r="4" spans="1:15" x14ac:dyDescent="0.3">
      <c r="A4" t="s">
        <v>21</v>
      </c>
      <c r="B4" s="2">
        <v>45828</v>
      </c>
      <c r="C4" t="s">
        <v>22</v>
      </c>
      <c r="D4" t="s">
        <v>18</v>
      </c>
      <c r="E4" t="s">
        <v>23</v>
      </c>
      <c r="F4" t="s">
        <v>24</v>
      </c>
      <c r="G4">
        <v>2</v>
      </c>
      <c r="H4" s="3">
        <v>968.16</v>
      </c>
      <c r="I4" s="3">
        <f t="shared" si="0"/>
        <v>1936.32</v>
      </c>
      <c r="K4">
        <f t="shared" si="1"/>
        <v>6</v>
      </c>
      <c r="L4">
        <f t="shared" si="2"/>
        <v>5</v>
      </c>
      <c r="M4" s="5">
        <f t="shared" si="3"/>
        <v>2</v>
      </c>
      <c r="N4">
        <f t="shared" si="4"/>
        <v>0</v>
      </c>
    </row>
    <row r="5" spans="1:15" x14ac:dyDescent="0.3">
      <c r="A5" t="s">
        <v>25</v>
      </c>
      <c r="B5" s="2">
        <v>45668</v>
      </c>
      <c r="C5" t="s">
        <v>26</v>
      </c>
      <c r="D5" t="s">
        <v>27</v>
      </c>
      <c r="E5" t="s">
        <v>28</v>
      </c>
      <c r="F5" t="s">
        <v>29</v>
      </c>
      <c r="G5">
        <v>9</v>
      </c>
      <c r="H5" s="3">
        <v>4508.68</v>
      </c>
      <c r="I5" s="3">
        <f t="shared" si="0"/>
        <v>40578.120000000003</v>
      </c>
      <c r="J5" t="s">
        <v>30</v>
      </c>
      <c r="K5">
        <f t="shared" si="1"/>
        <v>1</v>
      </c>
      <c r="L5">
        <f t="shared" si="2"/>
        <v>6</v>
      </c>
      <c r="M5" s="5">
        <f t="shared" si="3"/>
        <v>1</v>
      </c>
      <c r="N5">
        <f t="shared" si="4"/>
        <v>1</v>
      </c>
    </row>
    <row r="6" spans="1:15" x14ac:dyDescent="0.3">
      <c r="A6" t="s">
        <v>31</v>
      </c>
      <c r="B6" s="2">
        <v>45866</v>
      </c>
      <c r="C6" t="s">
        <v>32</v>
      </c>
      <c r="D6" t="s">
        <v>18</v>
      </c>
      <c r="E6" t="s">
        <v>19</v>
      </c>
      <c r="F6" t="s">
        <v>33</v>
      </c>
      <c r="G6">
        <v>8</v>
      </c>
      <c r="H6" s="3">
        <v>2604.75</v>
      </c>
      <c r="I6" s="3">
        <f t="shared" si="0"/>
        <v>20838</v>
      </c>
      <c r="K6">
        <f t="shared" si="1"/>
        <v>7</v>
      </c>
      <c r="L6">
        <f t="shared" si="2"/>
        <v>1</v>
      </c>
      <c r="M6" s="5">
        <f t="shared" si="3"/>
        <v>3</v>
      </c>
      <c r="N6">
        <f t="shared" si="4"/>
        <v>0</v>
      </c>
    </row>
    <row r="7" spans="1:15" x14ac:dyDescent="0.3">
      <c r="A7" t="s">
        <v>34</v>
      </c>
      <c r="B7" s="2">
        <v>45784</v>
      </c>
      <c r="C7" t="s">
        <v>35</v>
      </c>
      <c r="D7" t="s">
        <v>36</v>
      </c>
      <c r="E7" t="s">
        <v>13</v>
      </c>
      <c r="F7" t="s">
        <v>37</v>
      </c>
      <c r="G7">
        <v>8</v>
      </c>
      <c r="H7" s="3">
        <v>4055.62</v>
      </c>
      <c r="I7" s="3">
        <f t="shared" si="0"/>
        <v>32444.959999999999</v>
      </c>
      <c r="K7">
        <f t="shared" si="1"/>
        <v>5</v>
      </c>
      <c r="L7">
        <f t="shared" si="2"/>
        <v>3</v>
      </c>
      <c r="M7" s="5">
        <f t="shared" si="3"/>
        <v>2</v>
      </c>
      <c r="N7">
        <f t="shared" si="4"/>
        <v>0</v>
      </c>
    </row>
    <row r="8" spans="1:15" x14ac:dyDescent="0.3">
      <c r="A8" t="s">
        <v>38</v>
      </c>
      <c r="B8" s="2">
        <v>45905</v>
      </c>
      <c r="C8" t="s">
        <v>39</v>
      </c>
      <c r="D8" t="s">
        <v>27</v>
      </c>
      <c r="E8" t="s">
        <v>19</v>
      </c>
      <c r="F8" t="s">
        <v>33</v>
      </c>
      <c r="G8">
        <v>5</v>
      </c>
      <c r="H8" s="3">
        <v>318.58999999999997</v>
      </c>
      <c r="I8" s="3">
        <f t="shared" si="0"/>
        <v>1592.9499999999998</v>
      </c>
      <c r="J8" t="s">
        <v>30</v>
      </c>
      <c r="K8">
        <f t="shared" si="1"/>
        <v>9</v>
      </c>
      <c r="L8">
        <f t="shared" si="2"/>
        <v>5</v>
      </c>
      <c r="M8" s="5">
        <f t="shared" si="3"/>
        <v>3</v>
      </c>
      <c r="N8">
        <f t="shared" si="4"/>
        <v>1</v>
      </c>
    </row>
    <row r="9" spans="1:15" x14ac:dyDescent="0.3">
      <c r="A9" t="s">
        <v>40</v>
      </c>
      <c r="B9" s="2">
        <v>45745</v>
      </c>
      <c r="C9" t="s">
        <v>41</v>
      </c>
      <c r="D9" t="s">
        <v>12</v>
      </c>
      <c r="E9" t="s">
        <v>23</v>
      </c>
      <c r="F9" t="s">
        <v>24</v>
      </c>
      <c r="G9">
        <v>3</v>
      </c>
      <c r="H9" s="3">
        <v>3767.36</v>
      </c>
      <c r="I9" s="3">
        <f t="shared" si="0"/>
        <v>11302.08</v>
      </c>
      <c r="J9" t="s">
        <v>42</v>
      </c>
      <c r="K9">
        <f t="shared" si="1"/>
        <v>3</v>
      </c>
      <c r="L9">
        <f t="shared" si="2"/>
        <v>6</v>
      </c>
      <c r="M9" s="5">
        <f t="shared" si="3"/>
        <v>1</v>
      </c>
      <c r="N9">
        <f t="shared" si="4"/>
        <v>1</v>
      </c>
    </row>
    <row r="10" spans="1:15" x14ac:dyDescent="0.3">
      <c r="A10" t="s">
        <v>43</v>
      </c>
      <c r="B10" s="2">
        <v>45683</v>
      </c>
      <c r="C10" t="s">
        <v>44</v>
      </c>
      <c r="D10" t="s">
        <v>36</v>
      </c>
      <c r="E10" t="s">
        <v>13</v>
      </c>
      <c r="F10" t="s">
        <v>45</v>
      </c>
      <c r="G10">
        <v>1</v>
      </c>
      <c r="H10" s="3">
        <v>4771.22</v>
      </c>
      <c r="I10" s="3">
        <f t="shared" si="0"/>
        <v>4771.22</v>
      </c>
      <c r="K10">
        <f t="shared" si="1"/>
        <v>1</v>
      </c>
      <c r="L10">
        <f t="shared" si="2"/>
        <v>7</v>
      </c>
      <c r="M10" s="5">
        <f t="shared" si="3"/>
        <v>1</v>
      </c>
      <c r="N10">
        <f t="shared" si="4"/>
        <v>1</v>
      </c>
    </row>
    <row r="11" spans="1:15" x14ac:dyDescent="0.3">
      <c r="A11" t="s">
        <v>46</v>
      </c>
      <c r="B11" s="2">
        <v>45845</v>
      </c>
      <c r="C11" t="s">
        <v>47</v>
      </c>
      <c r="D11" t="s">
        <v>27</v>
      </c>
      <c r="E11" t="s">
        <v>13</v>
      </c>
      <c r="F11" t="s">
        <v>45</v>
      </c>
      <c r="G11">
        <v>8</v>
      </c>
      <c r="H11" s="3">
        <v>2968.53</v>
      </c>
      <c r="I11" s="3">
        <f t="shared" si="0"/>
        <v>23748.240000000002</v>
      </c>
      <c r="K11">
        <f t="shared" si="1"/>
        <v>7</v>
      </c>
      <c r="L11">
        <f t="shared" si="2"/>
        <v>1</v>
      </c>
      <c r="M11" s="5">
        <f t="shared" si="3"/>
        <v>3</v>
      </c>
      <c r="N11">
        <f t="shared" si="4"/>
        <v>0</v>
      </c>
    </row>
    <row r="12" spans="1:15" x14ac:dyDescent="0.3">
      <c r="A12" t="s">
        <v>48</v>
      </c>
      <c r="B12" s="2">
        <v>45902</v>
      </c>
      <c r="C12" t="s">
        <v>49</v>
      </c>
      <c r="D12" t="s">
        <v>36</v>
      </c>
      <c r="E12" t="s">
        <v>13</v>
      </c>
      <c r="F12" t="s">
        <v>14</v>
      </c>
      <c r="G12">
        <v>5</v>
      </c>
      <c r="H12" s="3">
        <v>825.66</v>
      </c>
      <c r="I12" s="3">
        <f t="shared" si="0"/>
        <v>4128.3</v>
      </c>
      <c r="K12">
        <f t="shared" si="1"/>
        <v>9</v>
      </c>
      <c r="L12">
        <f t="shared" si="2"/>
        <v>2</v>
      </c>
      <c r="M12" s="5">
        <f t="shared" si="3"/>
        <v>3</v>
      </c>
      <c r="N12">
        <f t="shared" si="4"/>
        <v>1</v>
      </c>
    </row>
    <row r="13" spans="1:15" x14ac:dyDescent="0.3">
      <c r="A13" t="s">
        <v>50</v>
      </c>
      <c r="B13" s="2">
        <v>45663</v>
      </c>
      <c r="C13" t="s">
        <v>51</v>
      </c>
      <c r="D13" t="s">
        <v>36</v>
      </c>
      <c r="E13" t="s">
        <v>19</v>
      </c>
      <c r="F13" t="s">
        <v>33</v>
      </c>
      <c r="G13">
        <v>10</v>
      </c>
      <c r="H13" s="3">
        <v>1731.92</v>
      </c>
      <c r="I13" s="3">
        <f t="shared" si="0"/>
        <v>17319.2</v>
      </c>
      <c r="J13" t="s">
        <v>30</v>
      </c>
      <c r="K13">
        <f t="shared" si="1"/>
        <v>1</v>
      </c>
      <c r="L13">
        <f t="shared" si="2"/>
        <v>1</v>
      </c>
      <c r="M13" s="5">
        <f t="shared" si="3"/>
        <v>1</v>
      </c>
      <c r="N13">
        <f t="shared" si="4"/>
        <v>0</v>
      </c>
    </row>
    <row r="14" spans="1:15" x14ac:dyDescent="0.3">
      <c r="A14" t="s">
        <v>52</v>
      </c>
      <c r="B14" s="2">
        <v>45957</v>
      </c>
      <c r="C14" t="s">
        <v>53</v>
      </c>
      <c r="D14" t="s">
        <v>27</v>
      </c>
      <c r="E14" t="s">
        <v>54</v>
      </c>
      <c r="F14" t="s">
        <v>55</v>
      </c>
      <c r="G14">
        <v>3</v>
      </c>
      <c r="H14" s="3">
        <v>838.54</v>
      </c>
      <c r="I14" s="3">
        <f t="shared" si="0"/>
        <v>2515.62</v>
      </c>
      <c r="J14" t="s">
        <v>42</v>
      </c>
      <c r="K14">
        <f t="shared" si="1"/>
        <v>10</v>
      </c>
      <c r="L14">
        <f t="shared" si="2"/>
        <v>1</v>
      </c>
      <c r="M14" s="5">
        <f t="shared" si="3"/>
        <v>4</v>
      </c>
      <c r="N14">
        <f t="shared" si="4"/>
        <v>1</v>
      </c>
    </row>
    <row r="15" spans="1:15" x14ac:dyDescent="0.3">
      <c r="A15" t="s">
        <v>56</v>
      </c>
      <c r="B15" s="2">
        <v>45706</v>
      </c>
      <c r="C15" t="s">
        <v>57</v>
      </c>
      <c r="D15" t="s">
        <v>12</v>
      </c>
      <c r="E15" t="s">
        <v>54</v>
      </c>
      <c r="F15" t="s">
        <v>55</v>
      </c>
      <c r="G15">
        <v>2</v>
      </c>
      <c r="H15" s="3">
        <v>4356.58</v>
      </c>
      <c r="I15" s="3">
        <f t="shared" si="0"/>
        <v>8713.16</v>
      </c>
      <c r="K15">
        <f t="shared" si="1"/>
        <v>2</v>
      </c>
      <c r="L15">
        <f t="shared" si="2"/>
        <v>2</v>
      </c>
      <c r="M15" s="5">
        <f t="shared" si="3"/>
        <v>1</v>
      </c>
      <c r="N15">
        <f t="shared" si="4"/>
        <v>0</v>
      </c>
    </row>
    <row r="16" spans="1:15" x14ac:dyDescent="0.3">
      <c r="A16" t="s">
        <v>58</v>
      </c>
      <c r="B16" s="2">
        <v>45802</v>
      </c>
      <c r="C16" t="s">
        <v>59</v>
      </c>
      <c r="D16" t="s">
        <v>27</v>
      </c>
      <c r="E16" t="s">
        <v>13</v>
      </c>
      <c r="F16" t="s">
        <v>60</v>
      </c>
      <c r="G16">
        <v>7</v>
      </c>
      <c r="H16" s="3">
        <v>2545.25</v>
      </c>
      <c r="I16" s="3">
        <f t="shared" si="0"/>
        <v>17816.75</v>
      </c>
      <c r="J16" t="s">
        <v>30</v>
      </c>
      <c r="K16">
        <f t="shared" si="1"/>
        <v>5</v>
      </c>
      <c r="L16">
        <f t="shared" si="2"/>
        <v>7</v>
      </c>
      <c r="M16" s="5">
        <f t="shared" si="3"/>
        <v>2</v>
      </c>
      <c r="N16">
        <f t="shared" si="4"/>
        <v>1</v>
      </c>
    </row>
    <row r="17" spans="1:14" x14ac:dyDescent="0.3">
      <c r="A17" t="s">
        <v>61</v>
      </c>
      <c r="B17" s="2">
        <v>45976</v>
      </c>
      <c r="C17" t="s">
        <v>32</v>
      </c>
      <c r="D17" t="s">
        <v>36</v>
      </c>
      <c r="E17" t="s">
        <v>28</v>
      </c>
      <c r="F17" t="s">
        <v>62</v>
      </c>
      <c r="G17">
        <v>4</v>
      </c>
      <c r="H17" s="3">
        <v>3593.38</v>
      </c>
      <c r="I17" s="3">
        <f t="shared" si="0"/>
        <v>14373.52</v>
      </c>
      <c r="J17" t="s">
        <v>15</v>
      </c>
      <c r="K17">
        <f t="shared" si="1"/>
        <v>11</v>
      </c>
      <c r="L17">
        <f t="shared" si="2"/>
        <v>6</v>
      </c>
      <c r="M17" s="5">
        <f t="shared" si="3"/>
        <v>4</v>
      </c>
      <c r="N17">
        <f t="shared" si="4"/>
        <v>0</v>
      </c>
    </row>
    <row r="18" spans="1:14" x14ac:dyDescent="0.3">
      <c r="A18" t="s">
        <v>63</v>
      </c>
      <c r="B18" s="2">
        <v>45681</v>
      </c>
      <c r="C18" t="s">
        <v>64</v>
      </c>
      <c r="D18" t="s">
        <v>18</v>
      </c>
      <c r="E18" t="s">
        <v>19</v>
      </c>
      <c r="F18" t="s">
        <v>65</v>
      </c>
      <c r="G18">
        <v>7</v>
      </c>
      <c r="H18" s="3">
        <v>2399.8200000000002</v>
      </c>
      <c r="I18" s="3">
        <f t="shared" si="0"/>
        <v>16798.740000000002</v>
      </c>
      <c r="J18" t="s">
        <v>66</v>
      </c>
      <c r="K18">
        <f t="shared" si="1"/>
        <v>1</v>
      </c>
      <c r="L18">
        <f t="shared" si="2"/>
        <v>5</v>
      </c>
      <c r="M18" s="5">
        <f t="shared" si="3"/>
        <v>1</v>
      </c>
      <c r="N18">
        <f t="shared" si="4"/>
        <v>1</v>
      </c>
    </row>
    <row r="19" spans="1:14" x14ac:dyDescent="0.3">
      <c r="A19" t="s">
        <v>67</v>
      </c>
      <c r="B19" s="2">
        <v>45861</v>
      </c>
      <c r="C19" t="s">
        <v>68</v>
      </c>
      <c r="D19" t="s">
        <v>36</v>
      </c>
      <c r="E19" t="s">
        <v>28</v>
      </c>
      <c r="F19" t="s">
        <v>69</v>
      </c>
      <c r="G19">
        <v>10</v>
      </c>
      <c r="H19" s="3">
        <v>1671.04</v>
      </c>
      <c r="I19" s="3">
        <f t="shared" si="0"/>
        <v>16710.400000000001</v>
      </c>
      <c r="J19" t="s">
        <v>66</v>
      </c>
      <c r="K19">
        <f t="shared" si="1"/>
        <v>7</v>
      </c>
      <c r="L19">
        <f t="shared" si="2"/>
        <v>3</v>
      </c>
      <c r="M19" s="5">
        <f t="shared" si="3"/>
        <v>3</v>
      </c>
      <c r="N19">
        <f t="shared" si="4"/>
        <v>0</v>
      </c>
    </row>
    <row r="20" spans="1:14" x14ac:dyDescent="0.3">
      <c r="A20" t="s">
        <v>70</v>
      </c>
      <c r="B20" s="2">
        <v>45783</v>
      </c>
      <c r="C20" t="s">
        <v>51</v>
      </c>
      <c r="D20" t="s">
        <v>36</v>
      </c>
      <c r="E20" t="s">
        <v>23</v>
      </c>
      <c r="F20" t="s">
        <v>71</v>
      </c>
      <c r="G20">
        <v>9</v>
      </c>
      <c r="H20" s="3">
        <v>4044.91</v>
      </c>
      <c r="I20" s="3">
        <f t="shared" si="0"/>
        <v>36404.19</v>
      </c>
      <c r="J20" t="s">
        <v>42</v>
      </c>
      <c r="K20">
        <f t="shared" si="1"/>
        <v>5</v>
      </c>
      <c r="L20">
        <f t="shared" si="2"/>
        <v>2</v>
      </c>
      <c r="M20" s="5">
        <f t="shared" si="3"/>
        <v>2</v>
      </c>
      <c r="N20">
        <f t="shared" si="4"/>
        <v>1</v>
      </c>
    </row>
    <row r="21" spans="1:14" x14ac:dyDescent="0.3">
      <c r="A21" t="s">
        <v>72</v>
      </c>
      <c r="B21" s="2">
        <v>45951</v>
      </c>
      <c r="C21" t="s">
        <v>73</v>
      </c>
      <c r="D21" t="s">
        <v>18</v>
      </c>
      <c r="E21" t="s">
        <v>13</v>
      </c>
      <c r="F21" t="s">
        <v>37</v>
      </c>
      <c r="G21">
        <v>9</v>
      </c>
      <c r="H21" s="3">
        <v>3034.61</v>
      </c>
      <c r="I21" s="3">
        <f t="shared" si="0"/>
        <v>27311.49</v>
      </c>
      <c r="J21" t="s">
        <v>74</v>
      </c>
      <c r="K21">
        <f t="shared" si="1"/>
        <v>10</v>
      </c>
      <c r="L21">
        <f t="shared" si="2"/>
        <v>2</v>
      </c>
      <c r="M21" s="5">
        <f t="shared" si="3"/>
        <v>4</v>
      </c>
      <c r="N21">
        <f t="shared" si="4"/>
        <v>1</v>
      </c>
    </row>
    <row r="22" spans="1:14" x14ac:dyDescent="0.3">
      <c r="A22" t="s">
        <v>75</v>
      </c>
      <c r="B22" s="2">
        <v>45922</v>
      </c>
      <c r="C22" t="s">
        <v>49</v>
      </c>
      <c r="D22" t="s">
        <v>27</v>
      </c>
      <c r="E22" t="s">
        <v>13</v>
      </c>
      <c r="F22" t="s">
        <v>14</v>
      </c>
      <c r="G22">
        <v>9</v>
      </c>
      <c r="H22" s="3">
        <v>1069.33</v>
      </c>
      <c r="I22" s="3">
        <f t="shared" si="0"/>
        <v>9623.9699999999993</v>
      </c>
      <c r="J22" t="s">
        <v>15</v>
      </c>
      <c r="K22">
        <f t="shared" si="1"/>
        <v>9</v>
      </c>
      <c r="L22">
        <f t="shared" si="2"/>
        <v>1</v>
      </c>
      <c r="M22" s="5">
        <f t="shared" si="3"/>
        <v>3</v>
      </c>
      <c r="N22">
        <f t="shared" si="4"/>
        <v>1</v>
      </c>
    </row>
    <row r="23" spans="1:14" x14ac:dyDescent="0.3">
      <c r="A23" t="s">
        <v>76</v>
      </c>
      <c r="B23" s="2">
        <v>45824</v>
      </c>
      <c r="C23" t="s">
        <v>77</v>
      </c>
      <c r="D23" t="s">
        <v>27</v>
      </c>
      <c r="E23" t="s">
        <v>19</v>
      </c>
      <c r="F23" t="s">
        <v>33</v>
      </c>
      <c r="G23">
        <v>7</v>
      </c>
      <c r="H23" s="3">
        <v>671.89</v>
      </c>
      <c r="I23" s="3">
        <f t="shared" si="0"/>
        <v>4703.2299999999996</v>
      </c>
      <c r="J23" t="s">
        <v>66</v>
      </c>
      <c r="K23">
        <f t="shared" si="1"/>
        <v>6</v>
      </c>
      <c r="L23">
        <f t="shared" si="2"/>
        <v>1</v>
      </c>
      <c r="M23" s="5">
        <f t="shared" si="3"/>
        <v>2</v>
      </c>
      <c r="N23">
        <f t="shared" si="4"/>
        <v>1</v>
      </c>
    </row>
    <row r="24" spans="1:14" x14ac:dyDescent="0.3">
      <c r="A24" t="s">
        <v>78</v>
      </c>
      <c r="B24" s="2">
        <v>45991</v>
      </c>
      <c r="C24" t="s">
        <v>79</v>
      </c>
      <c r="D24" t="s">
        <v>80</v>
      </c>
      <c r="E24" t="s">
        <v>13</v>
      </c>
      <c r="F24" t="s">
        <v>14</v>
      </c>
      <c r="G24">
        <v>1</v>
      </c>
      <c r="H24" s="3">
        <v>3447.49</v>
      </c>
      <c r="I24" s="3">
        <f t="shared" si="0"/>
        <v>3447.49</v>
      </c>
      <c r="K24">
        <f t="shared" si="1"/>
        <v>11</v>
      </c>
      <c r="L24">
        <f t="shared" si="2"/>
        <v>7</v>
      </c>
      <c r="M24" s="5">
        <f t="shared" si="3"/>
        <v>4</v>
      </c>
      <c r="N24">
        <f t="shared" si="4"/>
        <v>1</v>
      </c>
    </row>
    <row r="25" spans="1:14" x14ac:dyDescent="0.3">
      <c r="A25" t="s">
        <v>81</v>
      </c>
      <c r="B25" s="2">
        <v>45884</v>
      </c>
      <c r="C25" t="s">
        <v>82</v>
      </c>
      <c r="D25" t="s">
        <v>18</v>
      </c>
      <c r="E25" t="s">
        <v>13</v>
      </c>
      <c r="F25" t="s">
        <v>45</v>
      </c>
      <c r="G25">
        <v>7</v>
      </c>
      <c r="H25" s="3">
        <v>491.22</v>
      </c>
      <c r="I25" s="3">
        <f t="shared" si="0"/>
        <v>3438.54</v>
      </c>
      <c r="J25" t="s">
        <v>66</v>
      </c>
      <c r="K25">
        <f t="shared" si="1"/>
        <v>8</v>
      </c>
      <c r="L25">
        <f t="shared" si="2"/>
        <v>5</v>
      </c>
      <c r="M25" s="5">
        <f t="shared" si="3"/>
        <v>3</v>
      </c>
      <c r="N25">
        <f t="shared" si="4"/>
        <v>1</v>
      </c>
    </row>
    <row r="26" spans="1:14" x14ac:dyDescent="0.3">
      <c r="A26" t="s">
        <v>83</v>
      </c>
      <c r="B26" s="2">
        <v>45682</v>
      </c>
      <c r="C26" t="s">
        <v>26</v>
      </c>
      <c r="D26" t="s">
        <v>12</v>
      </c>
      <c r="E26" t="s">
        <v>28</v>
      </c>
      <c r="F26" t="s">
        <v>69</v>
      </c>
      <c r="G26">
        <v>10</v>
      </c>
      <c r="H26" s="3">
        <v>4113.8900000000003</v>
      </c>
      <c r="I26" s="3">
        <f t="shared" si="0"/>
        <v>41138.9</v>
      </c>
      <c r="K26">
        <f t="shared" si="1"/>
        <v>1</v>
      </c>
      <c r="L26">
        <f t="shared" si="2"/>
        <v>6</v>
      </c>
      <c r="M26" s="5">
        <f t="shared" si="3"/>
        <v>1</v>
      </c>
      <c r="N26">
        <f t="shared" si="4"/>
        <v>0</v>
      </c>
    </row>
    <row r="27" spans="1:14" x14ac:dyDescent="0.3">
      <c r="A27" t="s">
        <v>84</v>
      </c>
      <c r="B27" s="2">
        <v>45876</v>
      </c>
      <c r="C27" t="s">
        <v>85</v>
      </c>
      <c r="D27" t="s">
        <v>36</v>
      </c>
      <c r="E27" t="s">
        <v>54</v>
      </c>
      <c r="F27" t="s">
        <v>86</v>
      </c>
      <c r="G27">
        <v>6</v>
      </c>
      <c r="H27" s="3">
        <v>2510.91</v>
      </c>
      <c r="I27" s="3">
        <f t="shared" si="0"/>
        <v>15065.46</v>
      </c>
      <c r="K27">
        <f t="shared" si="1"/>
        <v>8</v>
      </c>
      <c r="L27">
        <f t="shared" si="2"/>
        <v>4</v>
      </c>
      <c r="M27" s="5">
        <f t="shared" si="3"/>
        <v>3</v>
      </c>
      <c r="N27">
        <f t="shared" si="4"/>
        <v>0</v>
      </c>
    </row>
    <row r="28" spans="1:14" x14ac:dyDescent="0.3">
      <c r="A28" t="s">
        <v>87</v>
      </c>
      <c r="B28" s="2">
        <v>45993</v>
      </c>
      <c r="C28" t="s">
        <v>88</v>
      </c>
      <c r="D28" t="s">
        <v>12</v>
      </c>
      <c r="E28" t="s">
        <v>54</v>
      </c>
      <c r="F28" t="s">
        <v>55</v>
      </c>
      <c r="G28">
        <v>8</v>
      </c>
      <c r="H28" s="3">
        <v>1959.18</v>
      </c>
      <c r="I28" s="3">
        <f t="shared" si="0"/>
        <v>15673.44</v>
      </c>
      <c r="J28" t="s">
        <v>15</v>
      </c>
      <c r="K28">
        <f t="shared" si="1"/>
        <v>12</v>
      </c>
      <c r="L28">
        <f t="shared" si="2"/>
        <v>2</v>
      </c>
      <c r="M28" s="5">
        <f t="shared" si="3"/>
        <v>4</v>
      </c>
      <c r="N28">
        <f t="shared" si="4"/>
        <v>0</v>
      </c>
    </row>
    <row r="29" spans="1:14" x14ac:dyDescent="0.3">
      <c r="A29" t="s">
        <v>89</v>
      </c>
      <c r="B29" s="2">
        <v>45768</v>
      </c>
      <c r="C29" t="s">
        <v>90</v>
      </c>
      <c r="D29" t="s">
        <v>18</v>
      </c>
      <c r="E29" t="s">
        <v>13</v>
      </c>
      <c r="F29" t="s">
        <v>60</v>
      </c>
      <c r="G29">
        <v>4</v>
      </c>
      <c r="H29" s="3">
        <v>2483.8200000000002</v>
      </c>
      <c r="I29" s="3">
        <f t="shared" si="0"/>
        <v>9935.2800000000007</v>
      </c>
      <c r="J29" t="s">
        <v>42</v>
      </c>
      <c r="K29">
        <f t="shared" si="1"/>
        <v>4</v>
      </c>
      <c r="L29">
        <f t="shared" si="2"/>
        <v>1</v>
      </c>
      <c r="M29" s="5">
        <f t="shared" si="3"/>
        <v>2</v>
      </c>
      <c r="N29">
        <f t="shared" si="4"/>
        <v>0</v>
      </c>
    </row>
    <row r="30" spans="1:14" x14ac:dyDescent="0.3">
      <c r="A30" t="s">
        <v>91</v>
      </c>
      <c r="B30" s="2">
        <v>45855</v>
      </c>
      <c r="C30" t="s">
        <v>49</v>
      </c>
      <c r="D30" t="s">
        <v>18</v>
      </c>
      <c r="E30" t="s">
        <v>54</v>
      </c>
      <c r="F30" t="s">
        <v>92</v>
      </c>
      <c r="G30">
        <v>1</v>
      </c>
      <c r="H30" s="3">
        <v>935.08</v>
      </c>
      <c r="I30" s="3">
        <f t="shared" si="0"/>
        <v>935.08</v>
      </c>
      <c r="J30" t="s">
        <v>30</v>
      </c>
      <c r="K30">
        <f t="shared" si="1"/>
        <v>7</v>
      </c>
      <c r="L30">
        <f t="shared" si="2"/>
        <v>4</v>
      </c>
      <c r="M30" s="5">
        <f t="shared" si="3"/>
        <v>3</v>
      </c>
      <c r="N30">
        <f t="shared" si="4"/>
        <v>1</v>
      </c>
    </row>
    <row r="31" spans="1:14" x14ac:dyDescent="0.3">
      <c r="A31" t="s">
        <v>93</v>
      </c>
      <c r="B31" s="2">
        <v>45817</v>
      </c>
      <c r="C31" t="s">
        <v>41</v>
      </c>
      <c r="D31" t="s">
        <v>36</v>
      </c>
      <c r="E31" t="s">
        <v>19</v>
      </c>
      <c r="F31" t="s">
        <v>94</v>
      </c>
      <c r="G31">
        <v>3</v>
      </c>
      <c r="H31" s="3">
        <v>535.66</v>
      </c>
      <c r="I31" s="3">
        <f t="shared" si="0"/>
        <v>1606.98</v>
      </c>
      <c r="J31" t="s">
        <v>74</v>
      </c>
      <c r="K31">
        <f t="shared" si="1"/>
        <v>6</v>
      </c>
      <c r="L31">
        <f t="shared" si="2"/>
        <v>1</v>
      </c>
      <c r="M31" s="5">
        <f t="shared" si="3"/>
        <v>2</v>
      </c>
      <c r="N31">
        <f t="shared" si="4"/>
        <v>1</v>
      </c>
    </row>
    <row r="32" spans="1:14" x14ac:dyDescent="0.3">
      <c r="A32" t="s">
        <v>95</v>
      </c>
      <c r="B32" s="2">
        <v>45975</v>
      </c>
      <c r="C32" t="s">
        <v>51</v>
      </c>
      <c r="D32" t="s">
        <v>80</v>
      </c>
      <c r="E32" t="s">
        <v>19</v>
      </c>
      <c r="F32" t="s">
        <v>20</v>
      </c>
      <c r="G32">
        <v>7</v>
      </c>
      <c r="H32" s="3">
        <v>1148.22</v>
      </c>
      <c r="I32" s="3">
        <f t="shared" si="0"/>
        <v>8037.54</v>
      </c>
      <c r="J32" t="s">
        <v>74</v>
      </c>
      <c r="K32">
        <f t="shared" si="1"/>
        <v>11</v>
      </c>
      <c r="L32">
        <f t="shared" si="2"/>
        <v>5</v>
      </c>
      <c r="M32" s="5">
        <f t="shared" si="3"/>
        <v>4</v>
      </c>
      <c r="N32">
        <f t="shared" si="4"/>
        <v>1</v>
      </c>
    </row>
    <row r="33" spans="1:14" x14ac:dyDescent="0.3">
      <c r="A33" t="s">
        <v>96</v>
      </c>
      <c r="B33" s="2">
        <v>45848</v>
      </c>
      <c r="C33" t="s">
        <v>97</v>
      </c>
      <c r="D33" t="s">
        <v>36</v>
      </c>
      <c r="E33" t="s">
        <v>23</v>
      </c>
      <c r="F33" t="s">
        <v>98</v>
      </c>
      <c r="G33">
        <v>1</v>
      </c>
      <c r="H33" s="3">
        <v>1712.24</v>
      </c>
      <c r="I33" s="3">
        <f t="shared" si="0"/>
        <v>1712.24</v>
      </c>
      <c r="J33" t="s">
        <v>74</v>
      </c>
      <c r="K33">
        <f t="shared" si="1"/>
        <v>7</v>
      </c>
      <c r="L33">
        <f t="shared" si="2"/>
        <v>4</v>
      </c>
      <c r="M33" s="5">
        <f t="shared" si="3"/>
        <v>3</v>
      </c>
      <c r="N33">
        <f t="shared" si="4"/>
        <v>1</v>
      </c>
    </row>
    <row r="34" spans="1:14" x14ac:dyDescent="0.3">
      <c r="A34" t="s">
        <v>99</v>
      </c>
      <c r="B34" s="2">
        <v>45736</v>
      </c>
      <c r="C34" t="s">
        <v>100</v>
      </c>
      <c r="D34" t="s">
        <v>36</v>
      </c>
      <c r="E34" t="s">
        <v>28</v>
      </c>
      <c r="F34" t="s">
        <v>101</v>
      </c>
      <c r="G34">
        <v>5</v>
      </c>
      <c r="H34" s="3">
        <v>3623.52</v>
      </c>
      <c r="I34" s="3">
        <f t="shared" ref="I34:I65" si="5">G34*H34</f>
        <v>18117.599999999999</v>
      </c>
      <c r="J34" t="s">
        <v>30</v>
      </c>
      <c r="K34">
        <f t="shared" si="1"/>
        <v>3</v>
      </c>
      <c r="L34">
        <f t="shared" si="2"/>
        <v>4</v>
      </c>
      <c r="M34" s="5">
        <f t="shared" si="3"/>
        <v>1</v>
      </c>
      <c r="N34">
        <f t="shared" si="4"/>
        <v>1</v>
      </c>
    </row>
    <row r="35" spans="1:14" x14ac:dyDescent="0.3">
      <c r="A35" t="s">
        <v>102</v>
      </c>
      <c r="B35" s="2">
        <v>45859</v>
      </c>
      <c r="C35" t="s">
        <v>85</v>
      </c>
      <c r="D35" t="s">
        <v>80</v>
      </c>
      <c r="E35" t="s">
        <v>54</v>
      </c>
      <c r="F35" t="s">
        <v>86</v>
      </c>
      <c r="G35">
        <v>10</v>
      </c>
      <c r="H35" s="3">
        <v>3378.91</v>
      </c>
      <c r="I35" s="3">
        <f t="shared" si="5"/>
        <v>33789.1</v>
      </c>
      <c r="K35">
        <f t="shared" si="1"/>
        <v>7</v>
      </c>
      <c r="L35">
        <f t="shared" si="2"/>
        <v>1</v>
      </c>
      <c r="M35" s="5">
        <f t="shared" si="3"/>
        <v>3</v>
      </c>
      <c r="N35">
        <f t="shared" si="4"/>
        <v>0</v>
      </c>
    </row>
    <row r="36" spans="1:14" x14ac:dyDescent="0.3">
      <c r="A36" t="s">
        <v>103</v>
      </c>
      <c r="B36" s="2">
        <v>45747</v>
      </c>
      <c r="C36" t="s">
        <v>51</v>
      </c>
      <c r="D36" t="s">
        <v>18</v>
      </c>
      <c r="E36" t="s">
        <v>23</v>
      </c>
      <c r="F36" t="s">
        <v>98</v>
      </c>
      <c r="G36">
        <v>4</v>
      </c>
      <c r="H36" s="3">
        <v>4879.59</v>
      </c>
      <c r="I36" s="3">
        <f t="shared" si="5"/>
        <v>19518.36</v>
      </c>
      <c r="J36" t="s">
        <v>30</v>
      </c>
      <c r="K36">
        <f t="shared" si="1"/>
        <v>3</v>
      </c>
      <c r="L36">
        <f t="shared" si="2"/>
        <v>1</v>
      </c>
      <c r="M36" s="5">
        <f t="shared" si="3"/>
        <v>1</v>
      </c>
      <c r="N36">
        <f t="shared" si="4"/>
        <v>0</v>
      </c>
    </row>
    <row r="37" spans="1:14" x14ac:dyDescent="0.3">
      <c r="A37" t="s">
        <v>104</v>
      </c>
      <c r="B37" s="2">
        <v>45675</v>
      </c>
      <c r="C37" t="s">
        <v>22</v>
      </c>
      <c r="D37" t="s">
        <v>27</v>
      </c>
      <c r="E37" t="s">
        <v>19</v>
      </c>
      <c r="F37" t="s">
        <v>65</v>
      </c>
      <c r="G37">
        <v>9</v>
      </c>
      <c r="H37" s="3">
        <v>2963.09</v>
      </c>
      <c r="I37" s="3">
        <f t="shared" si="5"/>
        <v>26667.81</v>
      </c>
      <c r="J37" t="s">
        <v>42</v>
      </c>
      <c r="K37">
        <f t="shared" si="1"/>
        <v>1</v>
      </c>
      <c r="L37">
        <f t="shared" si="2"/>
        <v>6</v>
      </c>
      <c r="M37" s="5">
        <f t="shared" si="3"/>
        <v>1</v>
      </c>
      <c r="N37">
        <f t="shared" si="4"/>
        <v>1</v>
      </c>
    </row>
    <row r="38" spans="1:14" x14ac:dyDescent="0.3">
      <c r="A38" t="s">
        <v>105</v>
      </c>
      <c r="B38" s="2">
        <v>45969</v>
      </c>
      <c r="C38" t="s">
        <v>90</v>
      </c>
      <c r="D38" t="s">
        <v>80</v>
      </c>
      <c r="E38" t="s">
        <v>28</v>
      </c>
      <c r="F38" t="s">
        <v>29</v>
      </c>
      <c r="G38">
        <v>9</v>
      </c>
      <c r="H38" s="3">
        <v>867.23</v>
      </c>
      <c r="I38" s="3">
        <f t="shared" si="5"/>
        <v>7805.07</v>
      </c>
      <c r="J38" t="s">
        <v>74</v>
      </c>
      <c r="K38">
        <f t="shared" si="1"/>
        <v>11</v>
      </c>
      <c r="L38">
        <f t="shared" si="2"/>
        <v>6</v>
      </c>
      <c r="M38" s="5">
        <f t="shared" si="3"/>
        <v>4</v>
      </c>
      <c r="N38">
        <f t="shared" si="4"/>
        <v>1</v>
      </c>
    </row>
    <row r="39" spans="1:14" x14ac:dyDescent="0.3">
      <c r="A39" t="s">
        <v>106</v>
      </c>
      <c r="B39" s="2">
        <v>45755</v>
      </c>
      <c r="C39" t="s">
        <v>85</v>
      </c>
      <c r="D39" t="s">
        <v>27</v>
      </c>
      <c r="E39" t="s">
        <v>19</v>
      </c>
      <c r="F39" t="s">
        <v>33</v>
      </c>
      <c r="G39">
        <v>3</v>
      </c>
      <c r="H39" s="3">
        <v>804.52</v>
      </c>
      <c r="I39" s="3">
        <f t="shared" si="5"/>
        <v>2413.56</v>
      </c>
      <c r="K39">
        <f t="shared" si="1"/>
        <v>4</v>
      </c>
      <c r="L39">
        <f t="shared" si="2"/>
        <v>2</v>
      </c>
      <c r="M39" s="5">
        <f t="shared" si="3"/>
        <v>2</v>
      </c>
      <c r="N39">
        <f t="shared" si="4"/>
        <v>1</v>
      </c>
    </row>
    <row r="40" spans="1:14" x14ac:dyDescent="0.3">
      <c r="A40" t="s">
        <v>107</v>
      </c>
      <c r="B40" s="2">
        <v>45879</v>
      </c>
      <c r="C40" t="s">
        <v>108</v>
      </c>
      <c r="D40" t="s">
        <v>12</v>
      </c>
      <c r="E40" t="s">
        <v>23</v>
      </c>
      <c r="F40" t="s">
        <v>24</v>
      </c>
      <c r="G40">
        <v>7</v>
      </c>
      <c r="H40" s="3">
        <v>2104.41</v>
      </c>
      <c r="I40" s="3">
        <f t="shared" si="5"/>
        <v>14730.869999999999</v>
      </c>
      <c r="J40" t="s">
        <v>15</v>
      </c>
      <c r="K40">
        <f t="shared" si="1"/>
        <v>8</v>
      </c>
      <c r="L40">
        <f t="shared" si="2"/>
        <v>7</v>
      </c>
      <c r="M40" s="5">
        <f t="shared" si="3"/>
        <v>3</v>
      </c>
      <c r="N40">
        <f t="shared" si="4"/>
        <v>1</v>
      </c>
    </row>
    <row r="41" spans="1:14" x14ac:dyDescent="0.3">
      <c r="A41" t="s">
        <v>109</v>
      </c>
      <c r="B41" s="2">
        <v>45783</v>
      </c>
      <c r="C41" t="s">
        <v>110</v>
      </c>
      <c r="D41" t="s">
        <v>18</v>
      </c>
      <c r="E41" t="s">
        <v>13</v>
      </c>
      <c r="F41" t="s">
        <v>45</v>
      </c>
      <c r="G41">
        <v>1</v>
      </c>
      <c r="H41" s="3">
        <v>3344.76</v>
      </c>
      <c r="I41" s="3">
        <f t="shared" si="5"/>
        <v>3344.76</v>
      </c>
      <c r="J41" t="s">
        <v>66</v>
      </c>
      <c r="K41">
        <f t="shared" si="1"/>
        <v>5</v>
      </c>
      <c r="L41">
        <f t="shared" si="2"/>
        <v>2</v>
      </c>
      <c r="M41" s="5">
        <f t="shared" si="3"/>
        <v>2</v>
      </c>
      <c r="N41">
        <f t="shared" si="4"/>
        <v>1</v>
      </c>
    </row>
    <row r="42" spans="1:14" x14ac:dyDescent="0.3">
      <c r="A42" t="s">
        <v>111</v>
      </c>
      <c r="B42" s="2">
        <v>45699</v>
      </c>
      <c r="C42" t="s">
        <v>26</v>
      </c>
      <c r="D42" t="s">
        <v>36</v>
      </c>
      <c r="E42" t="s">
        <v>28</v>
      </c>
      <c r="F42" t="s">
        <v>29</v>
      </c>
      <c r="G42">
        <v>8</v>
      </c>
      <c r="H42" s="3">
        <v>4103.7299999999996</v>
      </c>
      <c r="I42" s="3">
        <f t="shared" si="5"/>
        <v>32829.839999999997</v>
      </c>
      <c r="J42" t="s">
        <v>15</v>
      </c>
      <c r="K42">
        <f t="shared" si="1"/>
        <v>2</v>
      </c>
      <c r="L42">
        <f t="shared" si="2"/>
        <v>2</v>
      </c>
      <c r="M42" s="5">
        <f t="shared" si="3"/>
        <v>1</v>
      </c>
      <c r="N42">
        <f t="shared" si="4"/>
        <v>0</v>
      </c>
    </row>
    <row r="43" spans="1:14" x14ac:dyDescent="0.3">
      <c r="A43" t="s">
        <v>112</v>
      </c>
      <c r="B43" s="2">
        <v>45932</v>
      </c>
      <c r="C43" t="s">
        <v>113</v>
      </c>
      <c r="D43" t="s">
        <v>80</v>
      </c>
      <c r="E43" t="s">
        <v>54</v>
      </c>
      <c r="F43" t="s">
        <v>114</v>
      </c>
      <c r="G43">
        <v>3</v>
      </c>
      <c r="H43" s="3">
        <v>1458.18</v>
      </c>
      <c r="I43" s="3">
        <f t="shared" si="5"/>
        <v>4374.54</v>
      </c>
      <c r="J43" t="s">
        <v>74</v>
      </c>
      <c r="K43">
        <f t="shared" si="1"/>
        <v>10</v>
      </c>
      <c r="L43">
        <f t="shared" si="2"/>
        <v>4</v>
      </c>
      <c r="M43" s="5">
        <f t="shared" si="3"/>
        <v>4</v>
      </c>
      <c r="N43">
        <f t="shared" si="4"/>
        <v>1</v>
      </c>
    </row>
    <row r="44" spans="1:14" x14ac:dyDescent="0.3">
      <c r="A44" t="s">
        <v>115</v>
      </c>
      <c r="B44" s="2">
        <v>45805</v>
      </c>
      <c r="C44" t="s">
        <v>49</v>
      </c>
      <c r="D44" t="s">
        <v>12</v>
      </c>
      <c r="E44" t="s">
        <v>19</v>
      </c>
      <c r="F44" t="s">
        <v>65</v>
      </c>
      <c r="G44">
        <v>3</v>
      </c>
      <c r="H44" s="3">
        <v>2632.01</v>
      </c>
      <c r="I44" s="3">
        <f t="shared" si="5"/>
        <v>7896.0300000000007</v>
      </c>
      <c r="K44">
        <f t="shared" si="1"/>
        <v>5</v>
      </c>
      <c r="L44">
        <f t="shared" si="2"/>
        <v>3</v>
      </c>
      <c r="M44" s="5">
        <f t="shared" si="3"/>
        <v>2</v>
      </c>
      <c r="N44">
        <f t="shared" si="4"/>
        <v>1</v>
      </c>
    </row>
    <row r="45" spans="1:14" x14ac:dyDescent="0.3">
      <c r="A45" t="s">
        <v>116</v>
      </c>
      <c r="B45" s="2">
        <v>45755</v>
      </c>
      <c r="C45" t="s">
        <v>117</v>
      </c>
      <c r="D45" t="s">
        <v>27</v>
      </c>
      <c r="E45" t="s">
        <v>23</v>
      </c>
      <c r="F45" t="s">
        <v>98</v>
      </c>
      <c r="G45">
        <v>3</v>
      </c>
      <c r="H45" s="3">
        <v>330.17</v>
      </c>
      <c r="I45" s="3">
        <f t="shared" si="5"/>
        <v>990.51</v>
      </c>
      <c r="J45" t="s">
        <v>42</v>
      </c>
      <c r="K45">
        <f t="shared" si="1"/>
        <v>4</v>
      </c>
      <c r="L45">
        <f t="shared" si="2"/>
        <v>2</v>
      </c>
      <c r="M45" s="5">
        <f t="shared" si="3"/>
        <v>2</v>
      </c>
      <c r="N45">
        <f t="shared" si="4"/>
        <v>1</v>
      </c>
    </row>
    <row r="46" spans="1:14" x14ac:dyDescent="0.3">
      <c r="A46" t="s">
        <v>118</v>
      </c>
      <c r="B46" s="2">
        <v>45798</v>
      </c>
      <c r="C46" t="s">
        <v>41</v>
      </c>
      <c r="D46" t="s">
        <v>36</v>
      </c>
      <c r="E46" t="s">
        <v>19</v>
      </c>
      <c r="F46" t="s">
        <v>65</v>
      </c>
      <c r="G46">
        <v>4</v>
      </c>
      <c r="H46" s="3">
        <v>4664.7</v>
      </c>
      <c r="I46" s="3">
        <f t="shared" si="5"/>
        <v>18658.8</v>
      </c>
      <c r="J46" t="s">
        <v>15</v>
      </c>
      <c r="K46">
        <f t="shared" si="1"/>
        <v>5</v>
      </c>
      <c r="L46">
        <f t="shared" si="2"/>
        <v>3</v>
      </c>
      <c r="M46" s="5">
        <f t="shared" si="3"/>
        <v>2</v>
      </c>
      <c r="N46">
        <f t="shared" si="4"/>
        <v>0</v>
      </c>
    </row>
    <row r="47" spans="1:14" x14ac:dyDescent="0.3">
      <c r="A47" t="s">
        <v>119</v>
      </c>
      <c r="B47" s="2">
        <v>45786</v>
      </c>
      <c r="C47" t="s">
        <v>53</v>
      </c>
      <c r="D47" t="s">
        <v>36</v>
      </c>
      <c r="E47" t="s">
        <v>28</v>
      </c>
      <c r="F47" t="s">
        <v>101</v>
      </c>
      <c r="G47">
        <v>7</v>
      </c>
      <c r="H47" s="3">
        <v>529.80999999999995</v>
      </c>
      <c r="I47" s="3">
        <f t="shared" si="5"/>
        <v>3708.6699999999996</v>
      </c>
      <c r="K47">
        <f t="shared" si="1"/>
        <v>5</v>
      </c>
      <c r="L47">
        <f t="shared" si="2"/>
        <v>5</v>
      </c>
      <c r="M47" s="5">
        <f t="shared" si="3"/>
        <v>2</v>
      </c>
      <c r="N47">
        <f t="shared" si="4"/>
        <v>1</v>
      </c>
    </row>
    <row r="48" spans="1:14" x14ac:dyDescent="0.3">
      <c r="A48" t="s">
        <v>120</v>
      </c>
      <c r="B48" s="2">
        <v>45770</v>
      </c>
      <c r="C48" t="s">
        <v>121</v>
      </c>
      <c r="D48" t="s">
        <v>18</v>
      </c>
      <c r="E48" t="s">
        <v>19</v>
      </c>
      <c r="F48" t="s">
        <v>33</v>
      </c>
      <c r="G48">
        <v>10</v>
      </c>
      <c r="H48" s="3">
        <v>2732.87</v>
      </c>
      <c r="I48" s="3">
        <f t="shared" si="5"/>
        <v>27328.699999999997</v>
      </c>
      <c r="K48">
        <f t="shared" si="1"/>
        <v>4</v>
      </c>
      <c r="L48">
        <f t="shared" si="2"/>
        <v>3</v>
      </c>
      <c r="M48" s="5">
        <f t="shared" si="3"/>
        <v>2</v>
      </c>
      <c r="N48">
        <f t="shared" si="4"/>
        <v>0</v>
      </c>
    </row>
    <row r="49" spans="1:14" x14ac:dyDescent="0.3">
      <c r="A49" t="s">
        <v>122</v>
      </c>
      <c r="B49" s="2">
        <v>45987</v>
      </c>
      <c r="C49" t="s">
        <v>57</v>
      </c>
      <c r="D49" t="s">
        <v>12</v>
      </c>
      <c r="E49" t="s">
        <v>23</v>
      </c>
      <c r="F49" t="s">
        <v>123</v>
      </c>
      <c r="G49">
        <v>8</v>
      </c>
      <c r="H49" s="3">
        <v>935.75</v>
      </c>
      <c r="I49" s="3">
        <f t="shared" si="5"/>
        <v>7486</v>
      </c>
      <c r="K49">
        <f t="shared" si="1"/>
        <v>11</v>
      </c>
      <c r="L49">
        <f t="shared" si="2"/>
        <v>3</v>
      </c>
      <c r="M49" s="5">
        <f t="shared" si="3"/>
        <v>4</v>
      </c>
      <c r="N49">
        <f t="shared" si="4"/>
        <v>0</v>
      </c>
    </row>
    <row r="50" spans="1:14" x14ac:dyDescent="0.3">
      <c r="A50" t="s">
        <v>124</v>
      </c>
      <c r="B50" s="2">
        <v>45884</v>
      </c>
      <c r="C50" t="s">
        <v>125</v>
      </c>
      <c r="D50" t="s">
        <v>27</v>
      </c>
      <c r="E50" t="s">
        <v>19</v>
      </c>
      <c r="F50" t="s">
        <v>20</v>
      </c>
      <c r="G50">
        <v>10</v>
      </c>
      <c r="H50" s="3">
        <v>2736.29</v>
      </c>
      <c r="I50" s="3">
        <f t="shared" si="5"/>
        <v>27362.9</v>
      </c>
      <c r="J50" t="s">
        <v>66</v>
      </c>
      <c r="K50">
        <f t="shared" si="1"/>
        <v>8</v>
      </c>
      <c r="L50">
        <f t="shared" si="2"/>
        <v>5</v>
      </c>
      <c r="M50" s="5">
        <f t="shared" si="3"/>
        <v>3</v>
      </c>
      <c r="N50">
        <f t="shared" si="4"/>
        <v>0</v>
      </c>
    </row>
    <row r="51" spans="1:14" x14ac:dyDescent="0.3">
      <c r="A51" t="s">
        <v>126</v>
      </c>
      <c r="B51" s="2">
        <v>45816</v>
      </c>
      <c r="C51" t="s">
        <v>51</v>
      </c>
      <c r="D51" t="s">
        <v>36</v>
      </c>
      <c r="E51" t="s">
        <v>54</v>
      </c>
      <c r="F51" t="s">
        <v>114</v>
      </c>
      <c r="G51">
        <v>1</v>
      </c>
      <c r="H51" s="3">
        <v>4579.05</v>
      </c>
      <c r="I51" s="3">
        <f t="shared" si="5"/>
        <v>4579.05</v>
      </c>
      <c r="J51" t="s">
        <v>30</v>
      </c>
      <c r="K51">
        <f t="shared" si="1"/>
        <v>6</v>
      </c>
      <c r="L51">
        <f t="shared" si="2"/>
        <v>7</v>
      </c>
      <c r="M51" s="5">
        <f t="shared" si="3"/>
        <v>2</v>
      </c>
      <c r="N51">
        <f t="shared" si="4"/>
        <v>1</v>
      </c>
    </row>
    <row r="52" spans="1:14" x14ac:dyDescent="0.3">
      <c r="A52" t="s">
        <v>127</v>
      </c>
      <c r="B52" s="2">
        <v>45972</v>
      </c>
      <c r="C52" t="s">
        <v>44</v>
      </c>
      <c r="D52" t="s">
        <v>18</v>
      </c>
      <c r="E52" t="s">
        <v>19</v>
      </c>
      <c r="F52" t="s">
        <v>128</v>
      </c>
      <c r="G52">
        <v>3</v>
      </c>
      <c r="H52" s="3">
        <v>1034.3</v>
      </c>
      <c r="I52" s="3">
        <f t="shared" si="5"/>
        <v>3102.8999999999996</v>
      </c>
      <c r="J52" t="s">
        <v>15</v>
      </c>
      <c r="K52">
        <f t="shared" si="1"/>
        <v>11</v>
      </c>
      <c r="L52">
        <f t="shared" si="2"/>
        <v>2</v>
      </c>
      <c r="M52" s="5">
        <f t="shared" si="3"/>
        <v>4</v>
      </c>
      <c r="N52">
        <f t="shared" si="4"/>
        <v>1</v>
      </c>
    </row>
    <row r="53" spans="1:14" x14ac:dyDescent="0.3">
      <c r="A53" t="s">
        <v>129</v>
      </c>
      <c r="B53" s="2">
        <v>45914</v>
      </c>
      <c r="C53" t="s">
        <v>53</v>
      </c>
      <c r="D53" t="s">
        <v>36</v>
      </c>
      <c r="E53" t="s">
        <v>28</v>
      </c>
      <c r="F53" t="s">
        <v>101</v>
      </c>
      <c r="G53">
        <v>9</v>
      </c>
      <c r="H53" s="3">
        <v>1536.9</v>
      </c>
      <c r="I53" s="3">
        <f t="shared" si="5"/>
        <v>13832.1</v>
      </c>
      <c r="J53" t="s">
        <v>42</v>
      </c>
      <c r="K53">
        <f t="shared" si="1"/>
        <v>9</v>
      </c>
      <c r="L53">
        <f t="shared" si="2"/>
        <v>7</v>
      </c>
      <c r="M53" s="5">
        <f t="shared" si="3"/>
        <v>3</v>
      </c>
      <c r="N53">
        <f t="shared" si="4"/>
        <v>1</v>
      </c>
    </row>
    <row r="54" spans="1:14" x14ac:dyDescent="0.3">
      <c r="A54" t="s">
        <v>130</v>
      </c>
      <c r="B54" s="2">
        <v>45843</v>
      </c>
      <c r="C54" t="s">
        <v>88</v>
      </c>
      <c r="D54" t="s">
        <v>36</v>
      </c>
      <c r="E54" t="s">
        <v>54</v>
      </c>
      <c r="F54" t="s">
        <v>92</v>
      </c>
      <c r="G54">
        <v>3</v>
      </c>
      <c r="H54" s="3">
        <v>1856.67</v>
      </c>
      <c r="I54" s="3">
        <f t="shared" si="5"/>
        <v>5570.01</v>
      </c>
      <c r="K54">
        <f t="shared" si="1"/>
        <v>7</v>
      </c>
      <c r="L54">
        <f t="shared" si="2"/>
        <v>6</v>
      </c>
      <c r="M54" s="5">
        <f t="shared" si="3"/>
        <v>3</v>
      </c>
      <c r="N54">
        <f t="shared" si="4"/>
        <v>1</v>
      </c>
    </row>
    <row r="55" spans="1:14" x14ac:dyDescent="0.3">
      <c r="A55" t="s">
        <v>131</v>
      </c>
      <c r="B55" s="2">
        <v>45843</v>
      </c>
      <c r="C55" t="s">
        <v>68</v>
      </c>
      <c r="D55" t="s">
        <v>36</v>
      </c>
      <c r="E55" t="s">
        <v>19</v>
      </c>
      <c r="F55" t="s">
        <v>128</v>
      </c>
      <c r="G55">
        <v>10</v>
      </c>
      <c r="H55" s="3">
        <v>3812.59</v>
      </c>
      <c r="I55" s="3">
        <f t="shared" si="5"/>
        <v>38125.9</v>
      </c>
      <c r="K55">
        <f t="shared" si="1"/>
        <v>7</v>
      </c>
      <c r="L55">
        <f t="shared" si="2"/>
        <v>6</v>
      </c>
      <c r="M55" s="5">
        <f t="shared" si="3"/>
        <v>3</v>
      </c>
      <c r="N55">
        <f t="shared" si="4"/>
        <v>0</v>
      </c>
    </row>
    <row r="56" spans="1:14" x14ac:dyDescent="0.3">
      <c r="A56" t="s">
        <v>132</v>
      </c>
      <c r="B56" s="2">
        <v>45765</v>
      </c>
      <c r="C56" t="s">
        <v>73</v>
      </c>
      <c r="D56" t="s">
        <v>36</v>
      </c>
      <c r="E56" t="s">
        <v>13</v>
      </c>
      <c r="F56" t="s">
        <v>14</v>
      </c>
      <c r="G56">
        <v>6</v>
      </c>
      <c r="H56" s="3">
        <v>4491.1099999999997</v>
      </c>
      <c r="I56" s="3">
        <f t="shared" si="5"/>
        <v>26946.659999999996</v>
      </c>
      <c r="J56" t="s">
        <v>15</v>
      </c>
      <c r="K56">
        <f t="shared" si="1"/>
        <v>4</v>
      </c>
      <c r="L56">
        <f t="shared" si="2"/>
        <v>5</v>
      </c>
      <c r="M56" s="5">
        <f t="shared" si="3"/>
        <v>2</v>
      </c>
      <c r="N56">
        <f t="shared" si="4"/>
        <v>0</v>
      </c>
    </row>
    <row r="57" spans="1:14" x14ac:dyDescent="0.3">
      <c r="A57" t="s">
        <v>133</v>
      </c>
      <c r="B57" s="2">
        <v>45809</v>
      </c>
      <c r="C57" t="s">
        <v>134</v>
      </c>
      <c r="D57" t="s">
        <v>36</v>
      </c>
      <c r="E57" t="s">
        <v>28</v>
      </c>
      <c r="F57" t="s">
        <v>62</v>
      </c>
      <c r="G57">
        <v>10</v>
      </c>
      <c r="H57" s="3">
        <v>3258.21</v>
      </c>
      <c r="I57" s="3">
        <f t="shared" si="5"/>
        <v>32582.1</v>
      </c>
      <c r="K57">
        <f t="shared" si="1"/>
        <v>6</v>
      </c>
      <c r="L57">
        <f t="shared" si="2"/>
        <v>7</v>
      </c>
      <c r="M57" s="5">
        <f t="shared" si="3"/>
        <v>2</v>
      </c>
      <c r="N57">
        <f t="shared" si="4"/>
        <v>0</v>
      </c>
    </row>
    <row r="58" spans="1:14" x14ac:dyDescent="0.3">
      <c r="A58" t="s">
        <v>135</v>
      </c>
      <c r="B58" s="2">
        <v>45911</v>
      </c>
      <c r="C58" t="s">
        <v>77</v>
      </c>
      <c r="D58" t="s">
        <v>36</v>
      </c>
      <c r="E58" t="s">
        <v>23</v>
      </c>
      <c r="F58" t="s">
        <v>24</v>
      </c>
      <c r="G58">
        <v>7</v>
      </c>
      <c r="H58" s="3">
        <v>4161.3599999999997</v>
      </c>
      <c r="I58" s="3">
        <f t="shared" si="5"/>
        <v>29129.519999999997</v>
      </c>
      <c r="J58" t="s">
        <v>30</v>
      </c>
      <c r="K58">
        <f t="shared" si="1"/>
        <v>9</v>
      </c>
      <c r="L58">
        <f t="shared" si="2"/>
        <v>4</v>
      </c>
      <c r="M58" s="5">
        <f t="shared" si="3"/>
        <v>3</v>
      </c>
      <c r="N58">
        <f t="shared" si="4"/>
        <v>1</v>
      </c>
    </row>
    <row r="59" spans="1:14" x14ac:dyDescent="0.3">
      <c r="A59" t="s">
        <v>136</v>
      </c>
      <c r="B59" s="2">
        <v>45908</v>
      </c>
      <c r="C59" t="s">
        <v>82</v>
      </c>
      <c r="D59" t="s">
        <v>27</v>
      </c>
      <c r="E59" t="s">
        <v>19</v>
      </c>
      <c r="F59" t="s">
        <v>94</v>
      </c>
      <c r="G59">
        <v>8</v>
      </c>
      <c r="H59" s="3">
        <v>1148.19</v>
      </c>
      <c r="I59" s="3">
        <f t="shared" si="5"/>
        <v>9185.52</v>
      </c>
      <c r="K59">
        <f t="shared" si="1"/>
        <v>9</v>
      </c>
      <c r="L59">
        <f t="shared" si="2"/>
        <v>1</v>
      </c>
      <c r="M59" s="5">
        <f t="shared" si="3"/>
        <v>3</v>
      </c>
      <c r="N59">
        <f t="shared" si="4"/>
        <v>0</v>
      </c>
    </row>
    <row r="60" spans="1:14" x14ac:dyDescent="0.3">
      <c r="A60" t="s">
        <v>137</v>
      </c>
      <c r="B60" s="2">
        <v>45830</v>
      </c>
      <c r="C60" t="s">
        <v>97</v>
      </c>
      <c r="D60" t="s">
        <v>80</v>
      </c>
      <c r="E60" t="s">
        <v>23</v>
      </c>
      <c r="F60" t="s">
        <v>24</v>
      </c>
      <c r="G60">
        <v>4</v>
      </c>
      <c r="H60" s="3">
        <v>4968.2700000000004</v>
      </c>
      <c r="I60" s="3">
        <f t="shared" si="5"/>
        <v>19873.080000000002</v>
      </c>
      <c r="J60" t="s">
        <v>42</v>
      </c>
      <c r="K60">
        <f t="shared" si="1"/>
        <v>6</v>
      </c>
      <c r="L60">
        <f t="shared" si="2"/>
        <v>7</v>
      </c>
      <c r="M60" s="5">
        <f t="shared" si="3"/>
        <v>2</v>
      </c>
      <c r="N60">
        <f t="shared" si="4"/>
        <v>0</v>
      </c>
    </row>
    <row r="61" spans="1:14" x14ac:dyDescent="0.3">
      <c r="A61" t="s">
        <v>138</v>
      </c>
      <c r="B61" s="2">
        <v>45730</v>
      </c>
      <c r="C61" t="s">
        <v>41</v>
      </c>
      <c r="D61" t="s">
        <v>12</v>
      </c>
      <c r="E61" t="s">
        <v>19</v>
      </c>
      <c r="F61" t="s">
        <v>94</v>
      </c>
      <c r="G61">
        <v>5</v>
      </c>
      <c r="H61" s="3">
        <v>2945.72</v>
      </c>
      <c r="I61" s="3">
        <f t="shared" si="5"/>
        <v>14728.599999999999</v>
      </c>
      <c r="J61" t="s">
        <v>42</v>
      </c>
      <c r="K61">
        <f t="shared" si="1"/>
        <v>3</v>
      </c>
      <c r="L61">
        <f t="shared" si="2"/>
        <v>5</v>
      </c>
      <c r="M61" s="5">
        <f t="shared" si="3"/>
        <v>1</v>
      </c>
      <c r="N61">
        <f t="shared" si="4"/>
        <v>1</v>
      </c>
    </row>
    <row r="62" spans="1:14" x14ac:dyDescent="0.3">
      <c r="A62" t="s">
        <v>139</v>
      </c>
      <c r="B62" s="2">
        <v>45758</v>
      </c>
      <c r="C62" t="s">
        <v>11</v>
      </c>
      <c r="D62" t="s">
        <v>36</v>
      </c>
      <c r="E62" t="s">
        <v>13</v>
      </c>
      <c r="F62" t="s">
        <v>45</v>
      </c>
      <c r="G62">
        <v>1</v>
      </c>
      <c r="H62" s="3">
        <v>281.38</v>
      </c>
      <c r="I62" s="3">
        <f t="shared" si="5"/>
        <v>281.38</v>
      </c>
      <c r="K62">
        <f t="shared" si="1"/>
        <v>4</v>
      </c>
      <c r="L62">
        <f t="shared" si="2"/>
        <v>5</v>
      </c>
      <c r="M62" s="5">
        <f t="shared" si="3"/>
        <v>2</v>
      </c>
      <c r="N62">
        <f t="shared" si="4"/>
        <v>1</v>
      </c>
    </row>
    <row r="63" spans="1:14" x14ac:dyDescent="0.3">
      <c r="A63" t="s">
        <v>140</v>
      </c>
      <c r="B63" s="2">
        <v>45725</v>
      </c>
      <c r="C63" t="s">
        <v>11</v>
      </c>
      <c r="D63" t="s">
        <v>27</v>
      </c>
      <c r="E63" t="s">
        <v>54</v>
      </c>
      <c r="F63" t="s">
        <v>114</v>
      </c>
      <c r="G63">
        <v>7</v>
      </c>
      <c r="H63" s="3">
        <v>2878.66</v>
      </c>
      <c r="I63" s="3">
        <f t="shared" si="5"/>
        <v>20150.62</v>
      </c>
      <c r="J63" t="s">
        <v>42</v>
      </c>
      <c r="K63">
        <f t="shared" si="1"/>
        <v>3</v>
      </c>
      <c r="L63">
        <f t="shared" si="2"/>
        <v>7</v>
      </c>
      <c r="M63" s="5">
        <f t="shared" si="3"/>
        <v>1</v>
      </c>
      <c r="N63">
        <f t="shared" si="4"/>
        <v>1</v>
      </c>
    </row>
    <row r="64" spans="1:14" x14ac:dyDescent="0.3">
      <c r="A64" t="s">
        <v>141</v>
      </c>
      <c r="B64" s="2">
        <v>45964</v>
      </c>
      <c r="C64" t="s">
        <v>79</v>
      </c>
      <c r="D64" t="s">
        <v>27</v>
      </c>
      <c r="E64" t="s">
        <v>19</v>
      </c>
      <c r="F64" t="s">
        <v>33</v>
      </c>
      <c r="G64">
        <v>5</v>
      </c>
      <c r="H64" s="3">
        <v>3711.15</v>
      </c>
      <c r="I64" s="3">
        <f t="shared" si="5"/>
        <v>18555.75</v>
      </c>
      <c r="J64" t="s">
        <v>42</v>
      </c>
      <c r="K64">
        <f t="shared" si="1"/>
        <v>11</v>
      </c>
      <c r="L64">
        <f t="shared" si="2"/>
        <v>1</v>
      </c>
      <c r="M64" s="5">
        <f t="shared" si="3"/>
        <v>4</v>
      </c>
      <c r="N64">
        <f t="shared" si="4"/>
        <v>1</v>
      </c>
    </row>
    <row r="65" spans="1:14" x14ac:dyDescent="0.3">
      <c r="A65" t="s">
        <v>142</v>
      </c>
      <c r="B65" s="2">
        <v>45721</v>
      </c>
      <c r="C65" t="s">
        <v>77</v>
      </c>
      <c r="D65" t="s">
        <v>18</v>
      </c>
      <c r="E65" t="s">
        <v>23</v>
      </c>
      <c r="F65" t="s">
        <v>98</v>
      </c>
      <c r="G65">
        <v>5</v>
      </c>
      <c r="H65" s="3">
        <v>1356.25</v>
      </c>
      <c r="I65" s="3">
        <f t="shared" si="5"/>
        <v>6781.25</v>
      </c>
      <c r="J65" t="s">
        <v>30</v>
      </c>
      <c r="K65">
        <f t="shared" si="1"/>
        <v>3</v>
      </c>
      <c r="L65">
        <f t="shared" si="2"/>
        <v>3</v>
      </c>
      <c r="M65" s="5">
        <f t="shared" si="3"/>
        <v>1</v>
      </c>
      <c r="N65">
        <f t="shared" si="4"/>
        <v>1</v>
      </c>
    </row>
    <row r="66" spans="1:14" x14ac:dyDescent="0.3">
      <c r="A66" t="s">
        <v>143</v>
      </c>
      <c r="B66" s="2">
        <v>45732</v>
      </c>
      <c r="C66" t="s">
        <v>44</v>
      </c>
      <c r="D66" t="s">
        <v>12</v>
      </c>
      <c r="E66" t="s">
        <v>13</v>
      </c>
      <c r="F66" t="s">
        <v>60</v>
      </c>
      <c r="G66">
        <v>4</v>
      </c>
      <c r="H66" s="3">
        <v>2642.71</v>
      </c>
      <c r="I66" s="3">
        <f t="shared" ref="I66:I97" si="6">G66*H66</f>
        <v>10570.84</v>
      </c>
      <c r="J66" t="s">
        <v>30</v>
      </c>
      <c r="K66">
        <f t="shared" si="1"/>
        <v>3</v>
      </c>
      <c r="L66">
        <f t="shared" si="2"/>
        <v>7</v>
      </c>
      <c r="M66" s="5">
        <f t="shared" si="3"/>
        <v>1</v>
      </c>
      <c r="N66">
        <f t="shared" si="4"/>
        <v>0</v>
      </c>
    </row>
    <row r="67" spans="1:14" x14ac:dyDescent="0.3">
      <c r="A67" t="s">
        <v>144</v>
      </c>
      <c r="B67" s="2">
        <v>45912</v>
      </c>
      <c r="C67" t="s">
        <v>11</v>
      </c>
      <c r="D67" t="s">
        <v>36</v>
      </c>
      <c r="E67" t="s">
        <v>19</v>
      </c>
      <c r="F67" t="s">
        <v>33</v>
      </c>
      <c r="G67">
        <v>9</v>
      </c>
      <c r="H67" s="3">
        <v>1935.71</v>
      </c>
      <c r="I67" s="3">
        <f t="shared" si="6"/>
        <v>17421.39</v>
      </c>
      <c r="J67" t="s">
        <v>30</v>
      </c>
      <c r="K67">
        <f t="shared" ref="K67:K130" si="7">MONTH(B67)</f>
        <v>9</v>
      </c>
      <c r="L67">
        <f t="shared" ref="L67:L130" si="8">WEEKDAY(B67,2)</f>
        <v>5</v>
      </c>
      <c r="M67" s="5">
        <f t="shared" ref="M67:M130" si="9">ROUNDUP(MONTH(B67)/3,0)</f>
        <v>3</v>
      </c>
      <c r="N67">
        <f t="shared" ref="N67:N130" si="10">MOD(G67,2)</f>
        <v>1</v>
      </c>
    </row>
    <row r="68" spans="1:14" x14ac:dyDescent="0.3">
      <c r="A68" t="s">
        <v>145</v>
      </c>
      <c r="B68" s="2">
        <v>45730</v>
      </c>
      <c r="C68" t="s">
        <v>146</v>
      </c>
      <c r="D68" t="s">
        <v>12</v>
      </c>
      <c r="E68" t="s">
        <v>23</v>
      </c>
      <c r="F68" t="s">
        <v>123</v>
      </c>
      <c r="G68">
        <v>1</v>
      </c>
      <c r="H68" s="3">
        <v>747.73</v>
      </c>
      <c r="I68" s="3">
        <f t="shared" si="6"/>
        <v>747.73</v>
      </c>
      <c r="J68" t="s">
        <v>15</v>
      </c>
      <c r="K68">
        <f t="shared" si="7"/>
        <v>3</v>
      </c>
      <c r="L68">
        <f t="shared" si="8"/>
        <v>5</v>
      </c>
      <c r="M68" s="5">
        <f t="shared" si="9"/>
        <v>1</v>
      </c>
      <c r="N68">
        <f t="shared" si="10"/>
        <v>1</v>
      </c>
    </row>
    <row r="69" spans="1:14" x14ac:dyDescent="0.3">
      <c r="A69" t="s">
        <v>147</v>
      </c>
      <c r="B69" s="2">
        <v>45993</v>
      </c>
      <c r="C69" t="s">
        <v>100</v>
      </c>
      <c r="D69" t="s">
        <v>12</v>
      </c>
      <c r="E69" t="s">
        <v>28</v>
      </c>
      <c r="F69" t="s">
        <v>101</v>
      </c>
      <c r="G69">
        <v>8</v>
      </c>
      <c r="H69" s="3">
        <v>2516.42</v>
      </c>
      <c r="I69" s="3">
        <f t="shared" si="6"/>
        <v>20131.36</v>
      </c>
      <c r="J69" t="s">
        <v>15</v>
      </c>
      <c r="K69">
        <f t="shared" si="7"/>
        <v>12</v>
      </c>
      <c r="L69">
        <f t="shared" si="8"/>
        <v>2</v>
      </c>
      <c r="M69" s="5">
        <f t="shared" si="9"/>
        <v>4</v>
      </c>
      <c r="N69">
        <f t="shared" si="10"/>
        <v>0</v>
      </c>
    </row>
    <row r="70" spans="1:14" x14ac:dyDescent="0.3">
      <c r="A70" t="s">
        <v>148</v>
      </c>
      <c r="B70" s="2">
        <v>45938</v>
      </c>
      <c r="C70" t="s">
        <v>117</v>
      </c>
      <c r="D70" t="s">
        <v>80</v>
      </c>
      <c r="E70" t="s">
        <v>19</v>
      </c>
      <c r="F70" t="s">
        <v>33</v>
      </c>
      <c r="G70">
        <v>3</v>
      </c>
      <c r="H70" s="3">
        <v>1829.93</v>
      </c>
      <c r="I70" s="3">
        <f t="shared" si="6"/>
        <v>5489.79</v>
      </c>
      <c r="K70">
        <f t="shared" si="7"/>
        <v>10</v>
      </c>
      <c r="L70">
        <f t="shared" si="8"/>
        <v>3</v>
      </c>
      <c r="M70" s="5">
        <f t="shared" si="9"/>
        <v>4</v>
      </c>
      <c r="N70">
        <f t="shared" si="10"/>
        <v>1</v>
      </c>
    </row>
    <row r="71" spans="1:14" x14ac:dyDescent="0.3">
      <c r="A71" t="s">
        <v>149</v>
      </c>
      <c r="B71" s="2">
        <v>45885</v>
      </c>
      <c r="C71" t="s">
        <v>85</v>
      </c>
      <c r="D71" t="s">
        <v>18</v>
      </c>
      <c r="E71" t="s">
        <v>13</v>
      </c>
      <c r="F71" t="s">
        <v>150</v>
      </c>
      <c r="G71">
        <v>8</v>
      </c>
      <c r="H71" s="3">
        <v>3978.63</v>
      </c>
      <c r="I71" s="3">
        <f t="shared" si="6"/>
        <v>31829.040000000001</v>
      </c>
      <c r="J71" t="s">
        <v>66</v>
      </c>
      <c r="K71">
        <f t="shared" si="7"/>
        <v>8</v>
      </c>
      <c r="L71">
        <f t="shared" si="8"/>
        <v>6</v>
      </c>
      <c r="M71" s="5">
        <f t="shared" si="9"/>
        <v>3</v>
      </c>
      <c r="N71">
        <f t="shared" si="10"/>
        <v>0</v>
      </c>
    </row>
    <row r="72" spans="1:14" x14ac:dyDescent="0.3">
      <c r="A72" t="s">
        <v>151</v>
      </c>
      <c r="B72" s="2">
        <v>45987</v>
      </c>
      <c r="C72" t="s">
        <v>85</v>
      </c>
      <c r="D72" t="s">
        <v>36</v>
      </c>
      <c r="E72" t="s">
        <v>13</v>
      </c>
      <c r="F72" t="s">
        <v>14</v>
      </c>
      <c r="G72">
        <v>2</v>
      </c>
      <c r="H72" s="3">
        <v>1822.53</v>
      </c>
      <c r="I72" s="3">
        <f t="shared" si="6"/>
        <v>3645.06</v>
      </c>
      <c r="J72" t="s">
        <v>30</v>
      </c>
      <c r="K72">
        <f t="shared" si="7"/>
        <v>11</v>
      </c>
      <c r="L72">
        <f t="shared" si="8"/>
        <v>3</v>
      </c>
      <c r="M72" s="5">
        <f t="shared" si="9"/>
        <v>4</v>
      </c>
      <c r="N72">
        <f t="shared" si="10"/>
        <v>0</v>
      </c>
    </row>
    <row r="73" spans="1:14" x14ac:dyDescent="0.3">
      <c r="A73" t="s">
        <v>152</v>
      </c>
      <c r="B73" s="2">
        <v>45742</v>
      </c>
      <c r="C73" t="s">
        <v>153</v>
      </c>
      <c r="D73" t="s">
        <v>27</v>
      </c>
      <c r="E73" t="s">
        <v>23</v>
      </c>
      <c r="F73" t="s">
        <v>71</v>
      </c>
      <c r="G73">
        <v>5</v>
      </c>
      <c r="H73" s="3">
        <v>1194.6600000000001</v>
      </c>
      <c r="I73" s="3">
        <f t="shared" si="6"/>
        <v>5973.3</v>
      </c>
      <c r="J73" t="s">
        <v>66</v>
      </c>
      <c r="K73">
        <f t="shared" si="7"/>
        <v>3</v>
      </c>
      <c r="L73">
        <f t="shared" si="8"/>
        <v>3</v>
      </c>
      <c r="M73" s="5">
        <f t="shared" si="9"/>
        <v>1</v>
      </c>
      <c r="N73">
        <f t="shared" si="10"/>
        <v>1</v>
      </c>
    </row>
    <row r="74" spans="1:14" x14ac:dyDescent="0.3">
      <c r="A74" t="s">
        <v>154</v>
      </c>
      <c r="B74" s="2">
        <v>45891</v>
      </c>
      <c r="C74" t="s">
        <v>57</v>
      </c>
      <c r="D74" t="s">
        <v>36</v>
      </c>
      <c r="E74" t="s">
        <v>28</v>
      </c>
      <c r="F74" t="s">
        <v>29</v>
      </c>
      <c r="G74">
        <v>10</v>
      </c>
      <c r="H74" s="3">
        <v>916.62</v>
      </c>
      <c r="I74" s="3">
        <f t="shared" si="6"/>
        <v>9166.2000000000007</v>
      </c>
      <c r="J74" t="s">
        <v>30</v>
      </c>
      <c r="K74">
        <f t="shared" si="7"/>
        <v>8</v>
      </c>
      <c r="L74">
        <f t="shared" si="8"/>
        <v>5</v>
      </c>
      <c r="M74" s="5">
        <f t="shared" si="9"/>
        <v>3</v>
      </c>
      <c r="N74">
        <f t="shared" si="10"/>
        <v>0</v>
      </c>
    </row>
    <row r="75" spans="1:14" x14ac:dyDescent="0.3">
      <c r="A75" t="s">
        <v>155</v>
      </c>
      <c r="B75" s="2">
        <v>45771</v>
      </c>
      <c r="C75" t="s">
        <v>17</v>
      </c>
      <c r="D75" t="s">
        <v>12</v>
      </c>
      <c r="E75" t="s">
        <v>28</v>
      </c>
      <c r="F75" t="s">
        <v>101</v>
      </c>
      <c r="G75">
        <v>2</v>
      </c>
      <c r="H75" s="3">
        <v>3198.34</v>
      </c>
      <c r="I75" s="3">
        <f t="shared" si="6"/>
        <v>6396.68</v>
      </c>
      <c r="J75" t="s">
        <v>66</v>
      </c>
      <c r="K75">
        <f t="shared" si="7"/>
        <v>4</v>
      </c>
      <c r="L75">
        <f t="shared" si="8"/>
        <v>4</v>
      </c>
      <c r="M75" s="5">
        <f t="shared" si="9"/>
        <v>2</v>
      </c>
      <c r="N75">
        <f t="shared" si="10"/>
        <v>0</v>
      </c>
    </row>
    <row r="76" spans="1:14" x14ac:dyDescent="0.3">
      <c r="A76" t="s">
        <v>156</v>
      </c>
      <c r="B76" s="2">
        <v>45721</v>
      </c>
      <c r="C76" t="s">
        <v>121</v>
      </c>
      <c r="D76" t="s">
        <v>36</v>
      </c>
      <c r="E76" t="s">
        <v>13</v>
      </c>
      <c r="F76" t="s">
        <v>37</v>
      </c>
      <c r="G76">
        <v>2</v>
      </c>
      <c r="H76" s="3">
        <v>3932.61</v>
      </c>
      <c r="I76" s="3">
        <f t="shared" si="6"/>
        <v>7865.22</v>
      </c>
      <c r="J76" t="s">
        <v>30</v>
      </c>
      <c r="K76">
        <f t="shared" si="7"/>
        <v>3</v>
      </c>
      <c r="L76">
        <f t="shared" si="8"/>
        <v>3</v>
      </c>
      <c r="M76" s="5">
        <f t="shared" si="9"/>
        <v>1</v>
      </c>
      <c r="N76">
        <f t="shared" si="10"/>
        <v>0</v>
      </c>
    </row>
    <row r="77" spans="1:14" x14ac:dyDescent="0.3">
      <c r="A77" t="s">
        <v>157</v>
      </c>
      <c r="B77" s="2">
        <v>45964</v>
      </c>
      <c r="C77" t="s">
        <v>68</v>
      </c>
      <c r="D77" t="s">
        <v>12</v>
      </c>
      <c r="E77" t="s">
        <v>28</v>
      </c>
      <c r="F77" t="s">
        <v>158</v>
      </c>
      <c r="G77">
        <v>7</v>
      </c>
      <c r="H77" s="3">
        <v>2947.14</v>
      </c>
      <c r="I77" s="3">
        <f t="shared" si="6"/>
        <v>20629.98</v>
      </c>
      <c r="K77">
        <f t="shared" si="7"/>
        <v>11</v>
      </c>
      <c r="L77">
        <f t="shared" si="8"/>
        <v>1</v>
      </c>
      <c r="M77" s="5">
        <f t="shared" si="9"/>
        <v>4</v>
      </c>
      <c r="N77">
        <f t="shared" si="10"/>
        <v>1</v>
      </c>
    </row>
    <row r="78" spans="1:14" x14ac:dyDescent="0.3">
      <c r="A78" t="s">
        <v>159</v>
      </c>
      <c r="B78" s="2">
        <v>45924</v>
      </c>
      <c r="C78" t="s">
        <v>153</v>
      </c>
      <c r="D78" t="s">
        <v>80</v>
      </c>
      <c r="E78" t="s">
        <v>23</v>
      </c>
      <c r="F78" t="s">
        <v>71</v>
      </c>
      <c r="G78">
        <v>6</v>
      </c>
      <c r="H78" s="3">
        <v>4439.7700000000004</v>
      </c>
      <c r="I78" s="3">
        <f t="shared" si="6"/>
        <v>26638.620000000003</v>
      </c>
      <c r="J78" t="s">
        <v>42</v>
      </c>
      <c r="K78">
        <f t="shared" si="7"/>
        <v>9</v>
      </c>
      <c r="L78">
        <f t="shared" si="8"/>
        <v>3</v>
      </c>
      <c r="M78" s="5">
        <f t="shared" si="9"/>
        <v>3</v>
      </c>
      <c r="N78">
        <f t="shared" si="10"/>
        <v>0</v>
      </c>
    </row>
    <row r="79" spans="1:14" x14ac:dyDescent="0.3">
      <c r="A79" t="s">
        <v>160</v>
      </c>
      <c r="B79" s="2">
        <v>45675</v>
      </c>
      <c r="C79" t="s">
        <v>68</v>
      </c>
      <c r="D79" t="s">
        <v>80</v>
      </c>
      <c r="E79" t="s">
        <v>19</v>
      </c>
      <c r="F79" t="s">
        <v>128</v>
      </c>
      <c r="G79">
        <v>10</v>
      </c>
      <c r="H79" s="3">
        <v>2488.46</v>
      </c>
      <c r="I79" s="3">
        <f t="shared" si="6"/>
        <v>24884.6</v>
      </c>
      <c r="J79" t="s">
        <v>66</v>
      </c>
      <c r="K79">
        <f t="shared" si="7"/>
        <v>1</v>
      </c>
      <c r="L79">
        <f t="shared" si="8"/>
        <v>6</v>
      </c>
      <c r="M79" s="5">
        <f t="shared" si="9"/>
        <v>1</v>
      </c>
      <c r="N79">
        <f t="shared" si="10"/>
        <v>0</v>
      </c>
    </row>
    <row r="80" spans="1:14" x14ac:dyDescent="0.3">
      <c r="A80" t="s">
        <v>161</v>
      </c>
      <c r="B80" s="2">
        <v>45985</v>
      </c>
      <c r="C80" t="s">
        <v>88</v>
      </c>
      <c r="D80" t="s">
        <v>27</v>
      </c>
      <c r="E80" t="s">
        <v>54</v>
      </c>
      <c r="F80" t="s">
        <v>114</v>
      </c>
      <c r="G80">
        <v>9</v>
      </c>
      <c r="H80" s="3">
        <v>4151.1400000000003</v>
      </c>
      <c r="I80" s="3">
        <f t="shared" si="6"/>
        <v>37360.26</v>
      </c>
      <c r="J80" t="s">
        <v>74</v>
      </c>
      <c r="K80">
        <f t="shared" si="7"/>
        <v>11</v>
      </c>
      <c r="L80">
        <f t="shared" si="8"/>
        <v>1</v>
      </c>
      <c r="M80" s="5">
        <f t="shared" si="9"/>
        <v>4</v>
      </c>
      <c r="N80">
        <f t="shared" si="10"/>
        <v>1</v>
      </c>
    </row>
    <row r="81" spans="1:14" x14ac:dyDescent="0.3">
      <c r="A81" t="s">
        <v>162</v>
      </c>
      <c r="B81" s="2">
        <v>45832</v>
      </c>
      <c r="C81" t="s">
        <v>117</v>
      </c>
      <c r="D81" t="s">
        <v>80</v>
      </c>
      <c r="E81" t="s">
        <v>23</v>
      </c>
      <c r="F81" t="s">
        <v>123</v>
      </c>
      <c r="G81">
        <v>5</v>
      </c>
      <c r="H81" s="3">
        <v>409.06</v>
      </c>
      <c r="I81" s="3">
        <f t="shared" si="6"/>
        <v>2045.3</v>
      </c>
      <c r="J81" t="s">
        <v>74</v>
      </c>
      <c r="K81">
        <f t="shared" si="7"/>
        <v>6</v>
      </c>
      <c r="L81">
        <f t="shared" si="8"/>
        <v>2</v>
      </c>
      <c r="M81" s="5">
        <f t="shared" si="9"/>
        <v>2</v>
      </c>
      <c r="N81">
        <f t="shared" si="10"/>
        <v>1</v>
      </c>
    </row>
    <row r="82" spans="1:14" x14ac:dyDescent="0.3">
      <c r="A82" t="s">
        <v>163</v>
      </c>
      <c r="B82" s="2">
        <v>45957</v>
      </c>
      <c r="C82" t="s">
        <v>88</v>
      </c>
      <c r="D82" t="s">
        <v>80</v>
      </c>
      <c r="E82" t="s">
        <v>23</v>
      </c>
      <c r="F82" t="s">
        <v>24</v>
      </c>
      <c r="G82">
        <v>3</v>
      </c>
      <c r="H82" s="3">
        <v>1662.18</v>
      </c>
      <c r="I82" s="3">
        <f t="shared" si="6"/>
        <v>4986.54</v>
      </c>
      <c r="J82" t="s">
        <v>42</v>
      </c>
      <c r="K82">
        <f t="shared" si="7"/>
        <v>10</v>
      </c>
      <c r="L82">
        <f t="shared" si="8"/>
        <v>1</v>
      </c>
      <c r="M82" s="5">
        <f t="shared" si="9"/>
        <v>4</v>
      </c>
      <c r="N82">
        <f t="shared" si="10"/>
        <v>1</v>
      </c>
    </row>
    <row r="83" spans="1:14" x14ac:dyDescent="0.3">
      <c r="A83" t="s">
        <v>164</v>
      </c>
      <c r="B83" s="2">
        <v>45715</v>
      </c>
      <c r="C83" t="s">
        <v>165</v>
      </c>
      <c r="D83" t="s">
        <v>80</v>
      </c>
      <c r="E83" t="s">
        <v>28</v>
      </c>
      <c r="F83" t="s">
        <v>29</v>
      </c>
      <c r="G83">
        <v>6</v>
      </c>
      <c r="H83" s="3">
        <v>3766.86</v>
      </c>
      <c r="I83" s="3">
        <f t="shared" si="6"/>
        <v>22601.16</v>
      </c>
      <c r="K83">
        <f t="shared" si="7"/>
        <v>2</v>
      </c>
      <c r="L83">
        <f t="shared" si="8"/>
        <v>4</v>
      </c>
      <c r="M83" s="5">
        <f t="shared" si="9"/>
        <v>1</v>
      </c>
      <c r="N83">
        <f t="shared" si="10"/>
        <v>0</v>
      </c>
    </row>
    <row r="84" spans="1:14" x14ac:dyDescent="0.3">
      <c r="A84" t="s">
        <v>166</v>
      </c>
      <c r="B84" s="2">
        <v>45875</v>
      </c>
      <c r="C84" t="s">
        <v>100</v>
      </c>
      <c r="D84" t="s">
        <v>12</v>
      </c>
      <c r="E84" t="s">
        <v>54</v>
      </c>
      <c r="F84" t="s">
        <v>55</v>
      </c>
      <c r="G84">
        <v>9</v>
      </c>
      <c r="H84" s="3">
        <v>4433.5</v>
      </c>
      <c r="I84" s="3">
        <f t="shared" si="6"/>
        <v>39901.5</v>
      </c>
      <c r="K84">
        <f t="shared" si="7"/>
        <v>8</v>
      </c>
      <c r="L84">
        <f t="shared" si="8"/>
        <v>3</v>
      </c>
      <c r="M84" s="5">
        <f t="shared" si="9"/>
        <v>3</v>
      </c>
      <c r="N84">
        <f t="shared" si="10"/>
        <v>1</v>
      </c>
    </row>
    <row r="85" spans="1:14" x14ac:dyDescent="0.3">
      <c r="A85" t="s">
        <v>167</v>
      </c>
      <c r="B85" s="2">
        <v>45759</v>
      </c>
      <c r="C85" t="s">
        <v>168</v>
      </c>
      <c r="D85" t="s">
        <v>80</v>
      </c>
      <c r="E85" t="s">
        <v>23</v>
      </c>
      <c r="F85" t="s">
        <v>169</v>
      </c>
      <c r="G85">
        <v>6</v>
      </c>
      <c r="H85" s="3">
        <v>2259.19</v>
      </c>
      <c r="I85" s="3">
        <f t="shared" si="6"/>
        <v>13555.14</v>
      </c>
      <c r="K85">
        <f t="shared" si="7"/>
        <v>4</v>
      </c>
      <c r="L85">
        <f t="shared" si="8"/>
        <v>6</v>
      </c>
      <c r="M85" s="5">
        <f t="shared" si="9"/>
        <v>2</v>
      </c>
      <c r="N85">
        <f t="shared" si="10"/>
        <v>0</v>
      </c>
    </row>
    <row r="86" spans="1:14" x14ac:dyDescent="0.3">
      <c r="A86" t="s">
        <v>170</v>
      </c>
      <c r="B86" s="2">
        <v>45667</v>
      </c>
      <c r="C86" t="s">
        <v>26</v>
      </c>
      <c r="D86" t="s">
        <v>18</v>
      </c>
      <c r="E86" t="s">
        <v>28</v>
      </c>
      <c r="F86" t="s">
        <v>158</v>
      </c>
      <c r="G86">
        <v>1</v>
      </c>
      <c r="H86" s="3">
        <v>1205.6500000000001</v>
      </c>
      <c r="I86" s="3">
        <f t="shared" si="6"/>
        <v>1205.6500000000001</v>
      </c>
      <c r="J86" t="s">
        <v>30</v>
      </c>
      <c r="K86">
        <f t="shared" si="7"/>
        <v>1</v>
      </c>
      <c r="L86">
        <f t="shared" si="8"/>
        <v>5</v>
      </c>
      <c r="M86" s="5">
        <f t="shared" si="9"/>
        <v>1</v>
      </c>
      <c r="N86">
        <f t="shared" si="10"/>
        <v>1</v>
      </c>
    </row>
    <row r="87" spans="1:14" x14ac:dyDescent="0.3">
      <c r="A87" t="s">
        <v>171</v>
      </c>
      <c r="B87" s="2">
        <v>45830</v>
      </c>
      <c r="C87" t="s">
        <v>153</v>
      </c>
      <c r="D87" t="s">
        <v>36</v>
      </c>
      <c r="E87" t="s">
        <v>54</v>
      </c>
      <c r="F87" t="s">
        <v>55</v>
      </c>
      <c r="G87">
        <v>6</v>
      </c>
      <c r="H87" s="3">
        <v>2712.96</v>
      </c>
      <c r="I87" s="3">
        <f t="shared" si="6"/>
        <v>16277.76</v>
      </c>
      <c r="J87" t="s">
        <v>42</v>
      </c>
      <c r="K87">
        <f t="shared" si="7"/>
        <v>6</v>
      </c>
      <c r="L87">
        <f t="shared" si="8"/>
        <v>7</v>
      </c>
      <c r="M87" s="5">
        <f t="shared" si="9"/>
        <v>2</v>
      </c>
      <c r="N87">
        <f t="shared" si="10"/>
        <v>0</v>
      </c>
    </row>
    <row r="88" spans="1:14" x14ac:dyDescent="0.3">
      <c r="A88" t="s">
        <v>172</v>
      </c>
      <c r="B88" s="2">
        <v>45755</v>
      </c>
      <c r="C88" t="s">
        <v>165</v>
      </c>
      <c r="D88" t="s">
        <v>18</v>
      </c>
      <c r="E88" t="s">
        <v>28</v>
      </c>
      <c r="F88" t="s">
        <v>69</v>
      </c>
      <c r="G88">
        <v>8</v>
      </c>
      <c r="H88" s="3">
        <v>845.1</v>
      </c>
      <c r="I88" s="3">
        <f t="shared" si="6"/>
        <v>6760.8</v>
      </c>
      <c r="J88" t="s">
        <v>74</v>
      </c>
      <c r="K88">
        <f t="shared" si="7"/>
        <v>4</v>
      </c>
      <c r="L88">
        <f t="shared" si="8"/>
        <v>2</v>
      </c>
      <c r="M88" s="5">
        <f t="shared" si="9"/>
        <v>2</v>
      </c>
      <c r="N88">
        <f t="shared" si="10"/>
        <v>0</v>
      </c>
    </row>
    <row r="89" spans="1:14" x14ac:dyDescent="0.3">
      <c r="A89" t="s">
        <v>173</v>
      </c>
      <c r="B89" s="2">
        <v>45991</v>
      </c>
      <c r="C89" t="s">
        <v>47</v>
      </c>
      <c r="D89" t="s">
        <v>27</v>
      </c>
      <c r="E89" t="s">
        <v>19</v>
      </c>
      <c r="F89" t="s">
        <v>65</v>
      </c>
      <c r="G89">
        <v>4</v>
      </c>
      <c r="H89" s="3">
        <v>3637.42</v>
      </c>
      <c r="I89" s="3">
        <f t="shared" si="6"/>
        <v>14549.68</v>
      </c>
      <c r="J89" t="s">
        <v>74</v>
      </c>
      <c r="K89">
        <f t="shared" si="7"/>
        <v>11</v>
      </c>
      <c r="L89">
        <f t="shared" si="8"/>
        <v>7</v>
      </c>
      <c r="M89" s="5">
        <f t="shared" si="9"/>
        <v>4</v>
      </c>
      <c r="N89">
        <f t="shared" si="10"/>
        <v>0</v>
      </c>
    </row>
    <row r="90" spans="1:14" x14ac:dyDescent="0.3">
      <c r="A90" t="s">
        <v>174</v>
      </c>
      <c r="B90" s="2">
        <v>45825</v>
      </c>
      <c r="C90" t="s">
        <v>17</v>
      </c>
      <c r="D90" t="s">
        <v>80</v>
      </c>
      <c r="E90" t="s">
        <v>28</v>
      </c>
      <c r="F90" t="s">
        <v>62</v>
      </c>
      <c r="G90">
        <v>1</v>
      </c>
      <c r="H90" s="3">
        <v>3185.69</v>
      </c>
      <c r="I90" s="3">
        <f t="shared" si="6"/>
        <v>3185.69</v>
      </c>
      <c r="J90" t="s">
        <v>74</v>
      </c>
      <c r="K90">
        <f t="shared" si="7"/>
        <v>6</v>
      </c>
      <c r="L90">
        <f t="shared" si="8"/>
        <v>2</v>
      </c>
      <c r="M90" s="5">
        <f t="shared" si="9"/>
        <v>2</v>
      </c>
      <c r="N90">
        <f t="shared" si="10"/>
        <v>1</v>
      </c>
    </row>
    <row r="91" spans="1:14" x14ac:dyDescent="0.3">
      <c r="A91" t="s">
        <v>175</v>
      </c>
      <c r="B91" s="2">
        <v>45794</v>
      </c>
      <c r="C91" t="s">
        <v>121</v>
      </c>
      <c r="D91" t="s">
        <v>18</v>
      </c>
      <c r="E91" t="s">
        <v>28</v>
      </c>
      <c r="F91" t="s">
        <v>29</v>
      </c>
      <c r="G91">
        <v>1</v>
      </c>
      <c r="H91" s="3">
        <v>4483.8999999999996</v>
      </c>
      <c r="I91" s="3">
        <f t="shared" si="6"/>
        <v>4483.8999999999996</v>
      </c>
      <c r="K91">
        <f t="shared" si="7"/>
        <v>5</v>
      </c>
      <c r="L91">
        <f t="shared" si="8"/>
        <v>6</v>
      </c>
      <c r="M91" s="5">
        <f t="shared" si="9"/>
        <v>2</v>
      </c>
      <c r="N91">
        <f t="shared" si="10"/>
        <v>1</v>
      </c>
    </row>
    <row r="92" spans="1:14" x14ac:dyDescent="0.3">
      <c r="A92" t="s">
        <v>176</v>
      </c>
      <c r="B92" s="2">
        <v>45851</v>
      </c>
      <c r="C92" t="s">
        <v>77</v>
      </c>
      <c r="D92" t="s">
        <v>80</v>
      </c>
      <c r="E92" t="s">
        <v>13</v>
      </c>
      <c r="F92" t="s">
        <v>150</v>
      </c>
      <c r="G92">
        <v>3</v>
      </c>
      <c r="H92" s="3">
        <v>3326.92</v>
      </c>
      <c r="I92" s="3">
        <f t="shared" si="6"/>
        <v>9980.76</v>
      </c>
      <c r="J92" t="s">
        <v>42</v>
      </c>
      <c r="K92">
        <f t="shared" si="7"/>
        <v>7</v>
      </c>
      <c r="L92">
        <f t="shared" si="8"/>
        <v>7</v>
      </c>
      <c r="M92" s="5">
        <f t="shared" si="9"/>
        <v>3</v>
      </c>
      <c r="N92">
        <f t="shared" si="10"/>
        <v>1</v>
      </c>
    </row>
    <row r="93" spans="1:14" x14ac:dyDescent="0.3">
      <c r="A93" t="s">
        <v>177</v>
      </c>
      <c r="B93" s="2">
        <v>45852</v>
      </c>
      <c r="C93" t="s">
        <v>146</v>
      </c>
      <c r="D93" t="s">
        <v>36</v>
      </c>
      <c r="E93" t="s">
        <v>13</v>
      </c>
      <c r="F93" t="s">
        <v>45</v>
      </c>
      <c r="G93">
        <v>1</v>
      </c>
      <c r="H93" s="3">
        <v>813.88</v>
      </c>
      <c r="I93" s="3">
        <f t="shared" si="6"/>
        <v>813.88</v>
      </c>
      <c r="J93" t="s">
        <v>66</v>
      </c>
      <c r="K93">
        <f t="shared" si="7"/>
        <v>7</v>
      </c>
      <c r="L93">
        <f t="shared" si="8"/>
        <v>1</v>
      </c>
      <c r="M93" s="5">
        <f t="shared" si="9"/>
        <v>3</v>
      </c>
      <c r="N93">
        <f t="shared" si="10"/>
        <v>1</v>
      </c>
    </row>
    <row r="94" spans="1:14" x14ac:dyDescent="0.3">
      <c r="A94" t="s">
        <v>178</v>
      </c>
      <c r="B94" s="2">
        <v>45705</v>
      </c>
      <c r="C94" t="s">
        <v>32</v>
      </c>
      <c r="D94" t="s">
        <v>80</v>
      </c>
      <c r="E94" t="s">
        <v>19</v>
      </c>
      <c r="F94" t="s">
        <v>128</v>
      </c>
      <c r="G94">
        <v>1</v>
      </c>
      <c r="H94" s="3">
        <v>511.28</v>
      </c>
      <c r="I94" s="3">
        <f t="shared" si="6"/>
        <v>511.28</v>
      </c>
      <c r="J94" t="s">
        <v>74</v>
      </c>
      <c r="K94">
        <f t="shared" si="7"/>
        <v>2</v>
      </c>
      <c r="L94">
        <f t="shared" si="8"/>
        <v>1</v>
      </c>
      <c r="M94" s="5">
        <f t="shared" si="9"/>
        <v>1</v>
      </c>
      <c r="N94">
        <f t="shared" si="10"/>
        <v>1</v>
      </c>
    </row>
    <row r="95" spans="1:14" x14ac:dyDescent="0.3">
      <c r="A95" t="s">
        <v>179</v>
      </c>
      <c r="B95" s="2">
        <v>45714</v>
      </c>
      <c r="C95" t="s">
        <v>57</v>
      </c>
      <c r="D95" t="s">
        <v>18</v>
      </c>
      <c r="E95" t="s">
        <v>13</v>
      </c>
      <c r="F95" t="s">
        <v>60</v>
      </c>
      <c r="G95">
        <v>8</v>
      </c>
      <c r="H95" s="3">
        <v>4380.3100000000004</v>
      </c>
      <c r="I95" s="3">
        <f t="shared" si="6"/>
        <v>35042.480000000003</v>
      </c>
      <c r="J95" t="s">
        <v>74</v>
      </c>
      <c r="K95">
        <f t="shared" si="7"/>
        <v>2</v>
      </c>
      <c r="L95">
        <f t="shared" si="8"/>
        <v>3</v>
      </c>
      <c r="M95" s="5">
        <f t="shared" si="9"/>
        <v>1</v>
      </c>
      <c r="N95">
        <f t="shared" si="10"/>
        <v>0</v>
      </c>
    </row>
    <row r="96" spans="1:14" x14ac:dyDescent="0.3">
      <c r="A96" t="s">
        <v>180</v>
      </c>
      <c r="B96" s="2">
        <v>45869</v>
      </c>
      <c r="C96" t="s">
        <v>41</v>
      </c>
      <c r="D96" t="s">
        <v>18</v>
      </c>
      <c r="E96" t="s">
        <v>19</v>
      </c>
      <c r="F96" t="s">
        <v>33</v>
      </c>
      <c r="G96">
        <v>6</v>
      </c>
      <c r="H96" s="3">
        <v>176.81</v>
      </c>
      <c r="I96" s="3">
        <f t="shared" si="6"/>
        <v>1060.8600000000001</v>
      </c>
      <c r="J96" t="s">
        <v>42</v>
      </c>
      <c r="K96">
        <f t="shared" si="7"/>
        <v>7</v>
      </c>
      <c r="L96">
        <f t="shared" si="8"/>
        <v>4</v>
      </c>
      <c r="M96" s="5">
        <f t="shared" si="9"/>
        <v>3</v>
      </c>
      <c r="N96">
        <f t="shared" si="10"/>
        <v>0</v>
      </c>
    </row>
    <row r="97" spans="1:14" x14ac:dyDescent="0.3">
      <c r="A97" t="s">
        <v>181</v>
      </c>
      <c r="B97" s="2">
        <v>45789</v>
      </c>
      <c r="C97" t="s">
        <v>85</v>
      </c>
      <c r="D97" t="s">
        <v>27</v>
      </c>
      <c r="E97" t="s">
        <v>23</v>
      </c>
      <c r="F97" t="s">
        <v>71</v>
      </c>
      <c r="G97">
        <v>3</v>
      </c>
      <c r="H97" s="3">
        <v>2720.09</v>
      </c>
      <c r="I97" s="3">
        <f t="shared" si="6"/>
        <v>8160.27</v>
      </c>
      <c r="K97">
        <f t="shared" si="7"/>
        <v>5</v>
      </c>
      <c r="L97">
        <f t="shared" si="8"/>
        <v>1</v>
      </c>
      <c r="M97" s="5">
        <f t="shared" si="9"/>
        <v>2</v>
      </c>
      <c r="N97">
        <f t="shared" si="10"/>
        <v>1</v>
      </c>
    </row>
    <row r="98" spans="1:14" x14ac:dyDescent="0.3">
      <c r="A98" t="s">
        <v>182</v>
      </c>
      <c r="B98" s="2">
        <v>45980</v>
      </c>
      <c r="C98" t="s">
        <v>22</v>
      </c>
      <c r="D98" t="s">
        <v>36</v>
      </c>
      <c r="E98" t="s">
        <v>28</v>
      </c>
      <c r="F98" t="s">
        <v>29</v>
      </c>
      <c r="G98">
        <v>5</v>
      </c>
      <c r="H98" s="3">
        <v>4002.83</v>
      </c>
      <c r="I98" s="3">
        <f t="shared" ref="I98:I129" si="11">G98*H98</f>
        <v>20014.150000000001</v>
      </c>
      <c r="J98" t="s">
        <v>30</v>
      </c>
      <c r="K98">
        <f t="shared" si="7"/>
        <v>11</v>
      </c>
      <c r="L98">
        <f t="shared" si="8"/>
        <v>3</v>
      </c>
      <c r="M98" s="5">
        <f t="shared" si="9"/>
        <v>4</v>
      </c>
      <c r="N98">
        <f t="shared" si="10"/>
        <v>1</v>
      </c>
    </row>
    <row r="99" spans="1:14" x14ac:dyDescent="0.3">
      <c r="A99" t="s">
        <v>183</v>
      </c>
      <c r="B99" s="2">
        <v>45659</v>
      </c>
      <c r="C99" t="s">
        <v>184</v>
      </c>
      <c r="D99" t="s">
        <v>12</v>
      </c>
      <c r="E99" t="s">
        <v>28</v>
      </c>
      <c r="F99" t="s">
        <v>69</v>
      </c>
      <c r="G99">
        <v>4</v>
      </c>
      <c r="H99" s="3">
        <v>2597.4299999999998</v>
      </c>
      <c r="I99" s="3">
        <f t="shared" si="11"/>
        <v>10389.719999999999</v>
      </c>
      <c r="J99" t="s">
        <v>66</v>
      </c>
      <c r="K99">
        <f t="shared" si="7"/>
        <v>1</v>
      </c>
      <c r="L99">
        <f t="shared" si="8"/>
        <v>4</v>
      </c>
      <c r="M99" s="5">
        <f t="shared" si="9"/>
        <v>1</v>
      </c>
      <c r="N99">
        <f t="shared" si="10"/>
        <v>0</v>
      </c>
    </row>
    <row r="100" spans="1:14" x14ac:dyDescent="0.3">
      <c r="A100" t="s">
        <v>185</v>
      </c>
      <c r="B100" s="2">
        <v>45672</v>
      </c>
      <c r="C100" t="s">
        <v>57</v>
      </c>
      <c r="D100" t="s">
        <v>27</v>
      </c>
      <c r="E100" t="s">
        <v>13</v>
      </c>
      <c r="F100" t="s">
        <v>14</v>
      </c>
      <c r="G100">
        <v>4</v>
      </c>
      <c r="H100" s="3">
        <v>4270.0200000000004</v>
      </c>
      <c r="I100" s="3">
        <f t="shared" si="11"/>
        <v>17080.080000000002</v>
      </c>
      <c r="K100">
        <f t="shared" si="7"/>
        <v>1</v>
      </c>
      <c r="L100">
        <f t="shared" si="8"/>
        <v>3</v>
      </c>
      <c r="M100" s="5">
        <f t="shared" si="9"/>
        <v>1</v>
      </c>
      <c r="N100">
        <f t="shared" si="10"/>
        <v>0</v>
      </c>
    </row>
    <row r="101" spans="1:14" x14ac:dyDescent="0.3">
      <c r="A101" t="s">
        <v>186</v>
      </c>
      <c r="B101" s="2">
        <v>45823</v>
      </c>
      <c r="C101" t="s">
        <v>113</v>
      </c>
      <c r="D101" t="s">
        <v>36</v>
      </c>
      <c r="E101" t="s">
        <v>13</v>
      </c>
      <c r="F101" t="s">
        <v>150</v>
      </c>
      <c r="G101">
        <v>2</v>
      </c>
      <c r="H101" s="3">
        <v>992.98</v>
      </c>
      <c r="I101" s="3">
        <f t="shared" si="11"/>
        <v>1985.96</v>
      </c>
      <c r="K101">
        <f t="shared" si="7"/>
        <v>6</v>
      </c>
      <c r="L101">
        <f t="shared" si="8"/>
        <v>7</v>
      </c>
      <c r="M101" s="5">
        <f t="shared" si="9"/>
        <v>2</v>
      </c>
      <c r="N101">
        <f t="shared" si="10"/>
        <v>0</v>
      </c>
    </row>
    <row r="102" spans="1:14" x14ac:dyDescent="0.3">
      <c r="A102" t="s">
        <v>187</v>
      </c>
      <c r="B102" s="2">
        <v>45815</v>
      </c>
      <c r="C102" t="s">
        <v>53</v>
      </c>
      <c r="D102" t="s">
        <v>27</v>
      </c>
      <c r="E102" t="s">
        <v>23</v>
      </c>
      <c r="F102" t="s">
        <v>24</v>
      </c>
      <c r="G102">
        <v>7</v>
      </c>
      <c r="H102" s="3">
        <v>2012.55</v>
      </c>
      <c r="I102" s="3">
        <f t="shared" si="11"/>
        <v>14087.85</v>
      </c>
      <c r="K102">
        <f t="shared" si="7"/>
        <v>6</v>
      </c>
      <c r="L102">
        <f t="shared" si="8"/>
        <v>6</v>
      </c>
      <c r="M102" s="5">
        <f t="shared" si="9"/>
        <v>2</v>
      </c>
      <c r="N102">
        <f t="shared" si="10"/>
        <v>1</v>
      </c>
    </row>
    <row r="103" spans="1:14" x14ac:dyDescent="0.3">
      <c r="A103" t="s">
        <v>188</v>
      </c>
      <c r="B103" s="2">
        <v>45809</v>
      </c>
      <c r="C103" t="s">
        <v>168</v>
      </c>
      <c r="D103" t="s">
        <v>36</v>
      </c>
      <c r="E103" t="s">
        <v>23</v>
      </c>
      <c r="F103" t="s">
        <v>71</v>
      </c>
      <c r="G103">
        <v>4</v>
      </c>
      <c r="H103" s="3">
        <v>1625.48</v>
      </c>
      <c r="I103" s="3">
        <f t="shared" si="11"/>
        <v>6501.92</v>
      </c>
      <c r="J103" t="s">
        <v>42</v>
      </c>
      <c r="K103">
        <f t="shared" si="7"/>
        <v>6</v>
      </c>
      <c r="L103">
        <f t="shared" si="8"/>
        <v>7</v>
      </c>
      <c r="M103" s="5">
        <f t="shared" si="9"/>
        <v>2</v>
      </c>
      <c r="N103">
        <f t="shared" si="10"/>
        <v>0</v>
      </c>
    </row>
    <row r="104" spans="1:14" x14ac:dyDescent="0.3">
      <c r="A104" t="s">
        <v>189</v>
      </c>
      <c r="B104" s="2">
        <v>45754</v>
      </c>
      <c r="C104" t="s">
        <v>88</v>
      </c>
      <c r="D104" t="s">
        <v>18</v>
      </c>
      <c r="E104" t="s">
        <v>54</v>
      </c>
      <c r="F104" t="s">
        <v>86</v>
      </c>
      <c r="G104">
        <v>3</v>
      </c>
      <c r="H104" s="3">
        <v>1056.29</v>
      </c>
      <c r="I104" s="3">
        <f t="shared" si="11"/>
        <v>3168.87</v>
      </c>
      <c r="J104" t="s">
        <v>15</v>
      </c>
      <c r="K104">
        <f t="shared" si="7"/>
        <v>4</v>
      </c>
      <c r="L104">
        <f t="shared" si="8"/>
        <v>1</v>
      </c>
      <c r="M104" s="5">
        <f t="shared" si="9"/>
        <v>2</v>
      </c>
      <c r="N104">
        <f t="shared" si="10"/>
        <v>1</v>
      </c>
    </row>
    <row r="105" spans="1:14" x14ac:dyDescent="0.3">
      <c r="A105" t="s">
        <v>190</v>
      </c>
      <c r="B105" s="2">
        <v>45882</v>
      </c>
      <c r="C105" t="s">
        <v>39</v>
      </c>
      <c r="D105" t="s">
        <v>80</v>
      </c>
      <c r="E105" t="s">
        <v>54</v>
      </c>
      <c r="F105" t="s">
        <v>191</v>
      </c>
      <c r="G105">
        <v>9</v>
      </c>
      <c r="H105" s="3">
        <v>2509.63</v>
      </c>
      <c r="I105" s="3">
        <f t="shared" si="11"/>
        <v>22586.670000000002</v>
      </c>
      <c r="J105" t="s">
        <v>30</v>
      </c>
      <c r="K105">
        <f t="shared" si="7"/>
        <v>8</v>
      </c>
      <c r="L105">
        <f t="shared" si="8"/>
        <v>3</v>
      </c>
      <c r="M105" s="5">
        <f t="shared" si="9"/>
        <v>3</v>
      </c>
      <c r="N105">
        <f t="shared" si="10"/>
        <v>1</v>
      </c>
    </row>
    <row r="106" spans="1:14" x14ac:dyDescent="0.3">
      <c r="A106" t="s">
        <v>192</v>
      </c>
      <c r="B106" s="2">
        <v>45938</v>
      </c>
      <c r="C106" t="s">
        <v>134</v>
      </c>
      <c r="D106" t="s">
        <v>18</v>
      </c>
      <c r="E106" t="s">
        <v>19</v>
      </c>
      <c r="F106" t="s">
        <v>65</v>
      </c>
      <c r="G106">
        <v>5</v>
      </c>
      <c r="H106" s="3">
        <v>2676.95</v>
      </c>
      <c r="I106" s="3">
        <f t="shared" si="11"/>
        <v>13384.75</v>
      </c>
      <c r="K106">
        <f t="shared" si="7"/>
        <v>10</v>
      </c>
      <c r="L106">
        <f t="shared" si="8"/>
        <v>3</v>
      </c>
      <c r="M106" s="5">
        <f t="shared" si="9"/>
        <v>4</v>
      </c>
      <c r="N106">
        <f t="shared" si="10"/>
        <v>1</v>
      </c>
    </row>
    <row r="107" spans="1:14" x14ac:dyDescent="0.3">
      <c r="A107" t="s">
        <v>193</v>
      </c>
      <c r="B107" s="2">
        <v>45983</v>
      </c>
      <c r="C107" t="s">
        <v>153</v>
      </c>
      <c r="D107" t="s">
        <v>12</v>
      </c>
      <c r="E107" t="s">
        <v>54</v>
      </c>
      <c r="F107" t="s">
        <v>191</v>
      </c>
      <c r="G107">
        <v>10</v>
      </c>
      <c r="H107" s="3">
        <v>2126.2199999999998</v>
      </c>
      <c r="I107" s="3">
        <f t="shared" si="11"/>
        <v>21262.199999999997</v>
      </c>
      <c r="J107" t="s">
        <v>15</v>
      </c>
      <c r="K107">
        <f t="shared" si="7"/>
        <v>11</v>
      </c>
      <c r="L107">
        <f t="shared" si="8"/>
        <v>6</v>
      </c>
      <c r="M107" s="5">
        <f t="shared" si="9"/>
        <v>4</v>
      </c>
      <c r="N107">
        <f t="shared" si="10"/>
        <v>0</v>
      </c>
    </row>
    <row r="108" spans="1:14" x14ac:dyDescent="0.3">
      <c r="A108" t="s">
        <v>194</v>
      </c>
      <c r="B108" s="2">
        <v>45861</v>
      </c>
      <c r="C108" t="s">
        <v>90</v>
      </c>
      <c r="D108" t="s">
        <v>80</v>
      </c>
      <c r="E108" t="s">
        <v>23</v>
      </c>
      <c r="F108" t="s">
        <v>24</v>
      </c>
      <c r="G108">
        <v>10</v>
      </c>
      <c r="H108" s="3">
        <v>1596.67</v>
      </c>
      <c r="I108" s="3">
        <f t="shared" si="11"/>
        <v>15966.7</v>
      </c>
      <c r="K108">
        <f t="shared" si="7"/>
        <v>7</v>
      </c>
      <c r="L108">
        <f t="shared" si="8"/>
        <v>3</v>
      </c>
      <c r="M108" s="5">
        <f t="shared" si="9"/>
        <v>3</v>
      </c>
      <c r="N108">
        <f t="shared" si="10"/>
        <v>0</v>
      </c>
    </row>
    <row r="109" spans="1:14" x14ac:dyDescent="0.3">
      <c r="A109" t="s">
        <v>195</v>
      </c>
      <c r="B109" s="2">
        <v>45773</v>
      </c>
      <c r="C109" t="s">
        <v>49</v>
      </c>
      <c r="D109" t="s">
        <v>12</v>
      </c>
      <c r="E109" t="s">
        <v>28</v>
      </c>
      <c r="F109" t="s">
        <v>158</v>
      </c>
      <c r="G109">
        <v>7</v>
      </c>
      <c r="H109" s="3">
        <v>3320.7</v>
      </c>
      <c r="I109" s="3">
        <f t="shared" si="11"/>
        <v>23244.899999999998</v>
      </c>
      <c r="J109" t="s">
        <v>15</v>
      </c>
      <c r="K109">
        <f t="shared" si="7"/>
        <v>4</v>
      </c>
      <c r="L109">
        <f t="shared" si="8"/>
        <v>6</v>
      </c>
      <c r="M109" s="5">
        <f t="shared" si="9"/>
        <v>2</v>
      </c>
      <c r="N109">
        <f t="shared" si="10"/>
        <v>1</v>
      </c>
    </row>
    <row r="110" spans="1:14" x14ac:dyDescent="0.3">
      <c r="A110" t="s">
        <v>196</v>
      </c>
      <c r="B110" s="2">
        <v>45791</v>
      </c>
      <c r="C110" t="s">
        <v>22</v>
      </c>
      <c r="D110" t="s">
        <v>80</v>
      </c>
      <c r="E110" t="s">
        <v>13</v>
      </c>
      <c r="F110" t="s">
        <v>37</v>
      </c>
      <c r="G110">
        <v>6</v>
      </c>
      <c r="H110" s="3">
        <v>2736.23</v>
      </c>
      <c r="I110" s="3">
        <f t="shared" si="11"/>
        <v>16417.38</v>
      </c>
      <c r="J110" t="s">
        <v>66</v>
      </c>
      <c r="K110">
        <f t="shared" si="7"/>
        <v>5</v>
      </c>
      <c r="L110">
        <f t="shared" si="8"/>
        <v>3</v>
      </c>
      <c r="M110" s="5">
        <f t="shared" si="9"/>
        <v>2</v>
      </c>
      <c r="N110">
        <f t="shared" si="10"/>
        <v>0</v>
      </c>
    </row>
    <row r="111" spans="1:14" x14ac:dyDescent="0.3">
      <c r="A111" t="s">
        <v>197</v>
      </c>
      <c r="B111" s="2">
        <v>45698</v>
      </c>
      <c r="C111" t="s">
        <v>77</v>
      </c>
      <c r="D111" t="s">
        <v>36</v>
      </c>
      <c r="E111" t="s">
        <v>54</v>
      </c>
      <c r="F111" t="s">
        <v>114</v>
      </c>
      <c r="G111">
        <v>8</v>
      </c>
      <c r="H111" s="3">
        <v>1562.61</v>
      </c>
      <c r="I111" s="3">
        <f t="shared" si="11"/>
        <v>12500.88</v>
      </c>
      <c r="K111">
        <f t="shared" si="7"/>
        <v>2</v>
      </c>
      <c r="L111">
        <f t="shared" si="8"/>
        <v>1</v>
      </c>
      <c r="M111" s="5">
        <f t="shared" si="9"/>
        <v>1</v>
      </c>
      <c r="N111">
        <f t="shared" si="10"/>
        <v>0</v>
      </c>
    </row>
    <row r="112" spans="1:14" x14ac:dyDescent="0.3">
      <c r="A112" t="s">
        <v>198</v>
      </c>
      <c r="B112" s="2">
        <v>45781</v>
      </c>
      <c r="C112" t="s">
        <v>17</v>
      </c>
      <c r="D112" t="s">
        <v>80</v>
      </c>
      <c r="E112" t="s">
        <v>23</v>
      </c>
      <c r="F112" t="s">
        <v>24</v>
      </c>
      <c r="G112">
        <v>10</v>
      </c>
      <c r="H112" s="3">
        <v>1679.59</v>
      </c>
      <c r="I112" s="3">
        <f t="shared" si="11"/>
        <v>16795.899999999998</v>
      </c>
      <c r="J112" t="s">
        <v>15</v>
      </c>
      <c r="K112">
        <f t="shared" si="7"/>
        <v>5</v>
      </c>
      <c r="L112">
        <f t="shared" si="8"/>
        <v>7</v>
      </c>
      <c r="M112" s="5">
        <f t="shared" si="9"/>
        <v>2</v>
      </c>
      <c r="N112">
        <f t="shared" si="10"/>
        <v>0</v>
      </c>
    </row>
    <row r="113" spans="1:14" x14ac:dyDescent="0.3">
      <c r="A113" t="s">
        <v>199</v>
      </c>
      <c r="B113" s="2">
        <v>45959</v>
      </c>
      <c r="C113" t="s">
        <v>82</v>
      </c>
      <c r="D113" t="s">
        <v>18</v>
      </c>
      <c r="E113" t="s">
        <v>54</v>
      </c>
      <c r="F113" t="s">
        <v>55</v>
      </c>
      <c r="G113">
        <v>5</v>
      </c>
      <c r="H113" s="3">
        <v>1137.46</v>
      </c>
      <c r="I113" s="3">
        <f t="shared" si="11"/>
        <v>5687.3</v>
      </c>
      <c r="J113" t="s">
        <v>30</v>
      </c>
      <c r="K113">
        <f t="shared" si="7"/>
        <v>10</v>
      </c>
      <c r="L113">
        <f t="shared" si="8"/>
        <v>3</v>
      </c>
      <c r="M113" s="5">
        <f t="shared" si="9"/>
        <v>4</v>
      </c>
      <c r="N113">
        <f t="shared" si="10"/>
        <v>1</v>
      </c>
    </row>
    <row r="114" spans="1:14" x14ac:dyDescent="0.3">
      <c r="A114" t="s">
        <v>200</v>
      </c>
      <c r="B114" s="2">
        <v>45934</v>
      </c>
      <c r="C114" t="s">
        <v>108</v>
      </c>
      <c r="D114" t="s">
        <v>36</v>
      </c>
      <c r="E114" t="s">
        <v>19</v>
      </c>
      <c r="F114" t="s">
        <v>20</v>
      </c>
      <c r="G114">
        <v>5</v>
      </c>
      <c r="H114" s="3">
        <v>4187.99</v>
      </c>
      <c r="I114" s="3">
        <f t="shared" si="11"/>
        <v>20939.949999999997</v>
      </c>
      <c r="J114" t="s">
        <v>42</v>
      </c>
      <c r="K114">
        <f t="shared" si="7"/>
        <v>10</v>
      </c>
      <c r="L114">
        <f t="shared" si="8"/>
        <v>6</v>
      </c>
      <c r="M114" s="5">
        <f t="shared" si="9"/>
        <v>4</v>
      </c>
      <c r="N114">
        <f t="shared" si="10"/>
        <v>1</v>
      </c>
    </row>
    <row r="115" spans="1:14" x14ac:dyDescent="0.3">
      <c r="A115" t="s">
        <v>201</v>
      </c>
      <c r="B115" s="2">
        <v>45874</v>
      </c>
      <c r="C115" t="s">
        <v>64</v>
      </c>
      <c r="D115" t="s">
        <v>18</v>
      </c>
      <c r="E115" t="s">
        <v>23</v>
      </c>
      <c r="F115" t="s">
        <v>24</v>
      </c>
      <c r="G115">
        <v>9</v>
      </c>
      <c r="H115" s="3">
        <v>1396.65</v>
      </c>
      <c r="I115" s="3">
        <f t="shared" si="11"/>
        <v>12569.85</v>
      </c>
      <c r="K115">
        <f t="shared" si="7"/>
        <v>8</v>
      </c>
      <c r="L115">
        <f t="shared" si="8"/>
        <v>2</v>
      </c>
      <c r="M115" s="5">
        <f t="shared" si="9"/>
        <v>3</v>
      </c>
      <c r="N115">
        <f t="shared" si="10"/>
        <v>1</v>
      </c>
    </row>
    <row r="116" spans="1:14" x14ac:dyDescent="0.3">
      <c r="A116" t="s">
        <v>202</v>
      </c>
      <c r="B116" s="2">
        <v>45967</v>
      </c>
      <c r="C116" t="s">
        <v>134</v>
      </c>
      <c r="D116" t="s">
        <v>27</v>
      </c>
      <c r="E116" t="s">
        <v>13</v>
      </c>
      <c r="F116" t="s">
        <v>37</v>
      </c>
      <c r="G116">
        <v>4</v>
      </c>
      <c r="H116" s="3">
        <v>4968.7299999999996</v>
      </c>
      <c r="I116" s="3">
        <f t="shared" si="11"/>
        <v>19874.919999999998</v>
      </c>
      <c r="J116" t="s">
        <v>30</v>
      </c>
      <c r="K116">
        <f t="shared" si="7"/>
        <v>11</v>
      </c>
      <c r="L116">
        <f t="shared" si="8"/>
        <v>4</v>
      </c>
      <c r="M116" s="5">
        <f t="shared" si="9"/>
        <v>4</v>
      </c>
      <c r="N116">
        <f t="shared" si="10"/>
        <v>0</v>
      </c>
    </row>
    <row r="117" spans="1:14" x14ac:dyDescent="0.3">
      <c r="A117" t="s">
        <v>203</v>
      </c>
      <c r="B117" s="2">
        <v>46014</v>
      </c>
      <c r="C117" t="s">
        <v>153</v>
      </c>
      <c r="D117" t="s">
        <v>18</v>
      </c>
      <c r="E117" t="s">
        <v>13</v>
      </c>
      <c r="F117" t="s">
        <v>14</v>
      </c>
      <c r="G117">
        <v>4</v>
      </c>
      <c r="H117" s="3">
        <v>3256.29</v>
      </c>
      <c r="I117" s="3">
        <f t="shared" si="11"/>
        <v>13025.16</v>
      </c>
      <c r="K117">
        <f t="shared" si="7"/>
        <v>12</v>
      </c>
      <c r="L117">
        <f t="shared" si="8"/>
        <v>2</v>
      </c>
      <c r="M117" s="5">
        <f t="shared" si="9"/>
        <v>4</v>
      </c>
      <c r="N117">
        <f t="shared" si="10"/>
        <v>0</v>
      </c>
    </row>
    <row r="118" spans="1:14" x14ac:dyDescent="0.3">
      <c r="A118" t="s">
        <v>204</v>
      </c>
      <c r="B118" s="2">
        <v>45872</v>
      </c>
      <c r="C118" t="s">
        <v>41</v>
      </c>
      <c r="D118" t="s">
        <v>27</v>
      </c>
      <c r="E118" t="s">
        <v>13</v>
      </c>
      <c r="F118" t="s">
        <v>150</v>
      </c>
      <c r="G118">
        <v>7</v>
      </c>
      <c r="H118" s="3">
        <v>1082.0899999999999</v>
      </c>
      <c r="I118" s="3">
        <f t="shared" si="11"/>
        <v>7574.6299999999992</v>
      </c>
      <c r="K118">
        <f t="shared" si="7"/>
        <v>8</v>
      </c>
      <c r="L118">
        <f t="shared" si="8"/>
        <v>7</v>
      </c>
      <c r="M118" s="5">
        <f t="shared" si="9"/>
        <v>3</v>
      </c>
      <c r="N118">
        <f t="shared" si="10"/>
        <v>1</v>
      </c>
    </row>
    <row r="119" spans="1:14" x14ac:dyDescent="0.3">
      <c r="A119" t="s">
        <v>205</v>
      </c>
      <c r="B119" s="2">
        <v>45807</v>
      </c>
      <c r="C119" t="s">
        <v>51</v>
      </c>
      <c r="D119" t="s">
        <v>80</v>
      </c>
      <c r="E119" t="s">
        <v>28</v>
      </c>
      <c r="F119" t="s">
        <v>69</v>
      </c>
      <c r="G119">
        <v>7</v>
      </c>
      <c r="H119" s="3">
        <v>2534.5300000000002</v>
      </c>
      <c r="I119" s="3">
        <f t="shared" si="11"/>
        <v>17741.710000000003</v>
      </c>
      <c r="J119" t="s">
        <v>15</v>
      </c>
      <c r="K119">
        <f t="shared" si="7"/>
        <v>5</v>
      </c>
      <c r="L119">
        <f t="shared" si="8"/>
        <v>5</v>
      </c>
      <c r="M119" s="5">
        <f t="shared" si="9"/>
        <v>2</v>
      </c>
      <c r="N119">
        <f t="shared" si="10"/>
        <v>1</v>
      </c>
    </row>
    <row r="120" spans="1:14" x14ac:dyDescent="0.3">
      <c r="A120" t="s">
        <v>206</v>
      </c>
      <c r="B120" s="2">
        <v>45776</v>
      </c>
      <c r="C120" t="s">
        <v>39</v>
      </c>
      <c r="D120" t="s">
        <v>27</v>
      </c>
      <c r="E120" t="s">
        <v>23</v>
      </c>
      <c r="F120" t="s">
        <v>71</v>
      </c>
      <c r="G120">
        <v>6</v>
      </c>
      <c r="H120" s="3">
        <v>2718.63</v>
      </c>
      <c r="I120" s="3">
        <f t="shared" si="11"/>
        <v>16311.78</v>
      </c>
      <c r="J120" t="s">
        <v>15</v>
      </c>
      <c r="K120">
        <f t="shared" si="7"/>
        <v>4</v>
      </c>
      <c r="L120">
        <f t="shared" si="8"/>
        <v>2</v>
      </c>
      <c r="M120" s="5">
        <f t="shared" si="9"/>
        <v>2</v>
      </c>
      <c r="N120">
        <f t="shared" si="10"/>
        <v>0</v>
      </c>
    </row>
    <row r="121" spans="1:14" x14ac:dyDescent="0.3">
      <c r="A121" t="s">
        <v>207</v>
      </c>
      <c r="B121" s="2">
        <v>45687</v>
      </c>
      <c r="C121" t="s">
        <v>44</v>
      </c>
      <c r="D121" t="s">
        <v>36</v>
      </c>
      <c r="E121" t="s">
        <v>28</v>
      </c>
      <c r="F121" t="s">
        <v>158</v>
      </c>
      <c r="G121">
        <v>2</v>
      </c>
      <c r="H121" s="3">
        <v>1773.12</v>
      </c>
      <c r="I121" s="3">
        <f t="shared" si="11"/>
        <v>3546.24</v>
      </c>
      <c r="K121">
        <f t="shared" si="7"/>
        <v>1</v>
      </c>
      <c r="L121">
        <f t="shared" si="8"/>
        <v>4</v>
      </c>
      <c r="M121" s="5">
        <f t="shared" si="9"/>
        <v>1</v>
      </c>
      <c r="N121">
        <f t="shared" si="10"/>
        <v>0</v>
      </c>
    </row>
    <row r="122" spans="1:14" x14ac:dyDescent="0.3">
      <c r="A122" t="s">
        <v>208</v>
      </c>
      <c r="B122" s="2">
        <v>45773</v>
      </c>
      <c r="C122" t="s">
        <v>32</v>
      </c>
      <c r="D122" t="s">
        <v>18</v>
      </c>
      <c r="E122" t="s">
        <v>28</v>
      </c>
      <c r="F122" t="s">
        <v>69</v>
      </c>
      <c r="G122">
        <v>10</v>
      </c>
      <c r="H122" s="3">
        <v>2703.34</v>
      </c>
      <c r="I122" s="3">
        <f t="shared" si="11"/>
        <v>27033.4</v>
      </c>
      <c r="K122">
        <f t="shared" si="7"/>
        <v>4</v>
      </c>
      <c r="L122">
        <f t="shared" si="8"/>
        <v>6</v>
      </c>
      <c r="M122" s="5">
        <f t="shared" si="9"/>
        <v>2</v>
      </c>
      <c r="N122">
        <f t="shared" si="10"/>
        <v>0</v>
      </c>
    </row>
    <row r="123" spans="1:14" x14ac:dyDescent="0.3">
      <c r="A123" t="s">
        <v>209</v>
      </c>
      <c r="B123" s="2">
        <v>45967</v>
      </c>
      <c r="C123" t="s">
        <v>88</v>
      </c>
      <c r="D123" t="s">
        <v>12</v>
      </c>
      <c r="E123" t="s">
        <v>19</v>
      </c>
      <c r="F123" t="s">
        <v>128</v>
      </c>
      <c r="G123">
        <v>10</v>
      </c>
      <c r="H123" s="3">
        <v>3064.77</v>
      </c>
      <c r="I123" s="3">
        <f t="shared" si="11"/>
        <v>30647.7</v>
      </c>
      <c r="J123" t="s">
        <v>30</v>
      </c>
      <c r="K123">
        <f t="shared" si="7"/>
        <v>11</v>
      </c>
      <c r="L123">
        <f t="shared" si="8"/>
        <v>4</v>
      </c>
      <c r="M123" s="5">
        <f t="shared" si="9"/>
        <v>4</v>
      </c>
      <c r="N123">
        <f t="shared" si="10"/>
        <v>0</v>
      </c>
    </row>
    <row r="124" spans="1:14" x14ac:dyDescent="0.3">
      <c r="A124" t="s">
        <v>210</v>
      </c>
      <c r="B124" s="2">
        <v>45861</v>
      </c>
      <c r="C124" t="s">
        <v>51</v>
      </c>
      <c r="D124" t="s">
        <v>27</v>
      </c>
      <c r="E124" t="s">
        <v>54</v>
      </c>
      <c r="F124" t="s">
        <v>191</v>
      </c>
      <c r="G124">
        <v>3</v>
      </c>
      <c r="H124" s="3">
        <v>858.24</v>
      </c>
      <c r="I124" s="3">
        <f t="shared" si="11"/>
        <v>2574.7200000000003</v>
      </c>
      <c r="J124" t="s">
        <v>15</v>
      </c>
      <c r="K124">
        <f t="shared" si="7"/>
        <v>7</v>
      </c>
      <c r="L124">
        <f t="shared" si="8"/>
        <v>3</v>
      </c>
      <c r="M124" s="5">
        <f t="shared" si="9"/>
        <v>3</v>
      </c>
      <c r="N124">
        <f t="shared" si="10"/>
        <v>1</v>
      </c>
    </row>
    <row r="125" spans="1:14" x14ac:dyDescent="0.3">
      <c r="A125" t="s">
        <v>211</v>
      </c>
      <c r="B125" s="2">
        <v>45852</v>
      </c>
      <c r="C125" t="s">
        <v>90</v>
      </c>
      <c r="D125" t="s">
        <v>36</v>
      </c>
      <c r="E125" t="s">
        <v>54</v>
      </c>
      <c r="F125" t="s">
        <v>86</v>
      </c>
      <c r="G125">
        <v>6</v>
      </c>
      <c r="H125" s="3">
        <v>723.15</v>
      </c>
      <c r="I125" s="3">
        <f t="shared" si="11"/>
        <v>4338.8999999999996</v>
      </c>
      <c r="K125">
        <f t="shared" si="7"/>
        <v>7</v>
      </c>
      <c r="L125">
        <f t="shared" si="8"/>
        <v>1</v>
      </c>
      <c r="M125" s="5">
        <f t="shared" si="9"/>
        <v>3</v>
      </c>
      <c r="N125">
        <f t="shared" si="10"/>
        <v>0</v>
      </c>
    </row>
    <row r="126" spans="1:14" x14ac:dyDescent="0.3">
      <c r="A126" t="s">
        <v>212</v>
      </c>
      <c r="B126" s="2">
        <v>45762</v>
      </c>
      <c r="C126" t="s">
        <v>100</v>
      </c>
      <c r="D126" t="s">
        <v>36</v>
      </c>
      <c r="E126" t="s">
        <v>19</v>
      </c>
      <c r="F126" t="s">
        <v>65</v>
      </c>
      <c r="G126">
        <v>6</v>
      </c>
      <c r="H126" s="3">
        <v>341.98</v>
      </c>
      <c r="I126" s="3">
        <f t="shared" si="11"/>
        <v>2051.88</v>
      </c>
      <c r="J126" t="s">
        <v>42</v>
      </c>
      <c r="K126">
        <f t="shared" si="7"/>
        <v>4</v>
      </c>
      <c r="L126">
        <f t="shared" si="8"/>
        <v>2</v>
      </c>
      <c r="M126" s="5">
        <f t="shared" si="9"/>
        <v>2</v>
      </c>
      <c r="N126">
        <f t="shared" si="10"/>
        <v>0</v>
      </c>
    </row>
    <row r="127" spans="1:14" x14ac:dyDescent="0.3">
      <c r="A127" t="s">
        <v>213</v>
      </c>
      <c r="B127" s="2">
        <v>45992</v>
      </c>
      <c r="C127" t="s">
        <v>184</v>
      </c>
      <c r="D127" t="s">
        <v>18</v>
      </c>
      <c r="E127" t="s">
        <v>54</v>
      </c>
      <c r="F127" t="s">
        <v>86</v>
      </c>
      <c r="G127">
        <v>5</v>
      </c>
      <c r="H127" s="3">
        <v>557.83000000000004</v>
      </c>
      <c r="I127" s="3">
        <f t="shared" si="11"/>
        <v>2789.15</v>
      </c>
      <c r="K127">
        <f t="shared" si="7"/>
        <v>12</v>
      </c>
      <c r="L127">
        <f t="shared" si="8"/>
        <v>1</v>
      </c>
      <c r="M127" s="5">
        <f t="shared" si="9"/>
        <v>4</v>
      </c>
      <c r="N127">
        <f t="shared" si="10"/>
        <v>1</v>
      </c>
    </row>
    <row r="128" spans="1:14" x14ac:dyDescent="0.3">
      <c r="A128" t="s">
        <v>214</v>
      </c>
      <c r="B128" s="2">
        <v>45863</v>
      </c>
      <c r="C128" t="s">
        <v>39</v>
      </c>
      <c r="D128" t="s">
        <v>18</v>
      </c>
      <c r="E128" t="s">
        <v>13</v>
      </c>
      <c r="F128" t="s">
        <v>60</v>
      </c>
      <c r="G128">
        <v>3</v>
      </c>
      <c r="H128" s="3">
        <v>1885.46</v>
      </c>
      <c r="I128" s="3">
        <f t="shared" si="11"/>
        <v>5656.38</v>
      </c>
      <c r="J128" t="s">
        <v>42</v>
      </c>
      <c r="K128">
        <f t="shared" si="7"/>
        <v>7</v>
      </c>
      <c r="L128">
        <f t="shared" si="8"/>
        <v>5</v>
      </c>
      <c r="M128" s="5">
        <f t="shared" si="9"/>
        <v>3</v>
      </c>
      <c r="N128">
        <f t="shared" si="10"/>
        <v>1</v>
      </c>
    </row>
    <row r="129" spans="1:14" x14ac:dyDescent="0.3">
      <c r="A129" t="s">
        <v>215</v>
      </c>
      <c r="B129" s="2">
        <v>45703</v>
      </c>
      <c r="C129" t="s">
        <v>216</v>
      </c>
      <c r="D129" t="s">
        <v>12</v>
      </c>
      <c r="E129" t="s">
        <v>54</v>
      </c>
      <c r="F129" t="s">
        <v>86</v>
      </c>
      <c r="G129">
        <v>7</v>
      </c>
      <c r="H129" s="3">
        <v>3332.29</v>
      </c>
      <c r="I129" s="3">
        <f t="shared" si="11"/>
        <v>23326.03</v>
      </c>
      <c r="K129">
        <f t="shared" si="7"/>
        <v>2</v>
      </c>
      <c r="L129">
        <f t="shared" si="8"/>
        <v>6</v>
      </c>
      <c r="M129" s="5">
        <f t="shared" si="9"/>
        <v>1</v>
      </c>
      <c r="N129">
        <f t="shared" si="10"/>
        <v>1</v>
      </c>
    </row>
    <row r="130" spans="1:14" x14ac:dyDescent="0.3">
      <c r="A130" t="s">
        <v>217</v>
      </c>
      <c r="B130" s="2">
        <v>45903</v>
      </c>
      <c r="C130" t="s">
        <v>146</v>
      </c>
      <c r="D130" t="s">
        <v>18</v>
      </c>
      <c r="E130" t="s">
        <v>19</v>
      </c>
      <c r="F130" t="s">
        <v>128</v>
      </c>
      <c r="G130">
        <v>4</v>
      </c>
      <c r="H130" s="3">
        <v>3275.02</v>
      </c>
      <c r="I130" s="3">
        <f t="shared" ref="I130:I151" si="12">G130*H130</f>
        <v>13100.08</v>
      </c>
      <c r="J130" t="s">
        <v>66</v>
      </c>
      <c r="K130">
        <f t="shared" si="7"/>
        <v>9</v>
      </c>
      <c r="L130">
        <f t="shared" si="8"/>
        <v>3</v>
      </c>
      <c r="M130" s="5">
        <f t="shared" si="9"/>
        <v>3</v>
      </c>
      <c r="N130">
        <f t="shared" si="10"/>
        <v>0</v>
      </c>
    </row>
    <row r="131" spans="1:14" x14ac:dyDescent="0.3">
      <c r="A131" t="s">
        <v>218</v>
      </c>
      <c r="B131" s="2">
        <v>46020</v>
      </c>
      <c r="C131" t="s">
        <v>68</v>
      </c>
      <c r="D131" t="s">
        <v>27</v>
      </c>
      <c r="E131" t="s">
        <v>28</v>
      </c>
      <c r="F131" t="s">
        <v>62</v>
      </c>
      <c r="G131">
        <v>5</v>
      </c>
      <c r="H131" s="3">
        <v>1467.95</v>
      </c>
      <c r="I131" s="3">
        <f t="shared" si="12"/>
        <v>7339.75</v>
      </c>
      <c r="K131">
        <f t="shared" ref="K131:K151" si="13">MONTH(B131)</f>
        <v>12</v>
      </c>
      <c r="L131">
        <f t="shared" ref="L131:L151" si="14">WEEKDAY(B131,2)</f>
        <v>1</v>
      </c>
      <c r="M131" s="5">
        <f t="shared" ref="M131:M151" si="15">ROUNDUP(MONTH(B131)/3,0)</f>
        <v>4</v>
      </c>
      <c r="N131">
        <f t="shared" ref="N131:N151" si="16">MOD(G131,2)</f>
        <v>1</v>
      </c>
    </row>
    <row r="132" spans="1:14" x14ac:dyDescent="0.3">
      <c r="A132" t="s">
        <v>219</v>
      </c>
      <c r="B132" s="2">
        <v>45944</v>
      </c>
      <c r="C132" t="s">
        <v>26</v>
      </c>
      <c r="D132" t="s">
        <v>36</v>
      </c>
      <c r="E132" t="s">
        <v>54</v>
      </c>
      <c r="F132" t="s">
        <v>86</v>
      </c>
      <c r="G132">
        <v>6</v>
      </c>
      <c r="H132" s="3">
        <v>4468.59</v>
      </c>
      <c r="I132" s="3">
        <f t="shared" si="12"/>
        <v>26811.54</v>
      </c>
      <c r="K132">
        <f t="shared" si="13"/>
        <v>10</v>
      </c>
      <c r="L132">
        <f t="shared" si="14"/>
        <v>2</v>
      </c>
      <c r="M132" s="5">
        <f t="shared" si="15"/>
        <v>4</v>
      </c>
      <c r="N132">
        <f t="shared" si="16"/>
        <v>0</v>
      </c>
    </row>
    <row r="133" spans="1:14" x14ac:dyDescent="0.3">
      <c r="A133" t="s">
        <v>220</v>
      </c>
      <c r="B133" s="2">
        <v>45755</v>
      </c>
      <c r="C133" t="s">
        <v>216</v>
      </c>
      <c r="D133" t="s">
        <v>27</v>
      </c>
      <c r="E133" t="s">
        <v>23</v>
      </c>
      <c r="F133" t="s">
        <v>71</v>
      </c>
      <c r="G133">
        <v>8</v>
      </c>
      <c r="H133" s="3">
        <v>276.79000000000002</v>
      </c>
      <c r="I133" s="3">
        <f t="shared" si="12"/>
        <v>2214.3200000000002</v>
      </c>
      <c r="K133">
        <f t="shared" si="13"/>
        <v>4</v>
      </c>
      <c r="L133">
        <f t="shared" si="14"/>
        <v>2</v>
      </c>
      <c r="M133" s="5">
        <f t="shared" si="15"/>
        <v>2</v>
      </c>
      <c r="N133">
        <f t="shared" si="16"/>
        <v>0</v>
      </c>
    </row>
    <row r="134" spans="1:14" x14ac:dyDescent="0.3">
      <c r="A134" t="s">
        <v>221</v>
      </c>
      <c r="B134" s="2">
        <v>45704</v>
      </c>
      <c r="C134" t="s">
        <v>165</v>
      </c>
      <c r="D134" t="s">
        <v>12</v>
      </c>
      <c r="E134" t="s">
        <v>19</v>
      </c>
      <c r="F134" t="s">
        <v>128</v>
      </c>
      <c r="G134">
        <v>8</v>
      </c>
      <c r="H134" s="3">
        <v>1699.02</v>
      </c>
      <c r="I134" s="3">
        <f t="shared" si="12"/>
        <v>13592.16</v>
      </c>
      <c r="K134">
        <f t="shared" si="13"/>
        <v>2</v>
      </c>
      <c r="L134">
        <f t="shared" si="14"/>
        <v>7</v>
      </c>
      <c r="M134" s="5">
        <f t="shared" si="15"/>
        <v>1</v>
      </c>
      <c r="N134">
        <f t="shared" si="16"/>
        <v>0</v>
      </c>
    </row>
    <row r="135" spans="1:14" x14ac:dyDescent="0.3">
      <c r="A135" t="s">
        <v>222</v>
      </c>
      <c r="B135" s="2">
        <v>45874</v>
      </c>
      <c r="C135" t="s">
        <v>184</v>
      </c>
      <c r="D135" t="s">
        <v>80</v>
      </c>
      <c r="E135" t="s">
        <v>28</v>
      </c>
      <c r="F135" t="s">
        <v>101</v>
      </c>
      <c r="G135">
        <v>5</v>
      </c>
      <c r="H135" s="3">
        <v>516.84</v>
      </c>
      <c r="I135" s="3">
        <f t="shared" si="12"/>
        <v>2584.2000000000003</v>
      </c>
      <c r="K135">
        <f t="shared" si="13"/>
        <v>8</v>
      </c>
      <c r="L135">
        <f t="shared" si="14"/>
        <v>2</v>
      </c>
      <c r="M135" s="5">
        <f t="shared" si="15"/>
        <v>3</v>
      </c>
      <c r="N135">
        <f t="shared" si="16"/>
        <v>1</v>
      </c>
    </row>
    <row r="136" spans="1:14" x14ac:dyDescent="0.3">
      <c r="A136" t="s">
        <v>223</v>
      </c>
      <c r="B136" s="2">
        <v>45729</v>
      </c>
      <c r="C136" t="s">
        <v>57</v>
      </c>
      <c r="D136" t="s">
        <v>18</v>
      </c>
      <c r="E136" t="s">
        <v>19</v>
      </c>
      <c r="F136" t="s">
        <v>20</v>
      </c>
      <c r="G136">
        <v>6</v>
      </c>
      <c r="H136" s="3">
        <v>3199.44</v>
      </c>
      <c r="I136" s="3">
        <f t="shared" si="12"/>
        <v>19196.64</v>
      </c>
      <c r="J136" t="s">
        <v>15</v>
      </c>
      <c r="K136">
        <f t="shared" si="13"/>
        <v>3</v>
      </c>
      <c r="L136">
        <f t="shared" si="14"/>
        <v>4</v>
      </c>
      <c r="M136" s="5">
        <f t="shared" si="15"/>
        <v>1</v>
      </c>
      <c r="N136">
        <f t="shared" si="16"/>
        <v>0</v>
      </c>
    </row>
    <row r="137" spans="1:14" x14ac:dyDescent="0.3">
      <c r="A137" t="s">
        <v>224</v>
      </c>
      <c r="B137" s="2">
        <v>45938</v>
      </c>
      <c r="C137" t="s">
        <v>100</v>
      </c>
      <c r="D137" t="s">
        <v>80</v>
      </c>
      <c r="E137" t="s">
        <v>54</v>
      </c>
      <c r="F137" t="s">
        <v>191</v>
      </c>
      <c r="G137">
        <v>9</v>
      </c>
      <c r="H137" s="3">
        <v>3798.76</v>
      </c>
      <c r="I137" s="3">
        <f t="shared" si="12"/>
        <v>34188.840000000004</v>
      </c>
      <c r="J137" t="s">
        <v>30</v>
      </c>
      <c r="K137">
        <f t="shared" si="13"/>
        <v>10</v>
      </c>
      <c r="L137">
        <f t="shared" si="14"/>
        <v>3</v>
      </c>
      <c r="M137" s="5">
        <f t="shared" si="15"/>
        <v>4</v>
      </c>
      <c r="N137">
        <f t="shared" si="16"/>
        <v>1</v>
      </c>
    </row>
    <row r="138" spans="1:14" x14ac:dyDescent="0.3">
      <c r="A138" t="s">
        <v>225</v>
      </c>
      <c r="B138" s="2">
        <v>45702</v>
      </c>
      <c r="C138" t="s">
        <v>113</v>
      </c>
      <c r="D138" t="s">
        <v>80</v>
      </c>
      <c r="E138" t="s">
        <v>54</v>
      </c>
      <c r="F138" t="s">
        <v>55</v>
      </c>
      <c r="G138">
        <v>7</v>
      </c>
      <c r="H138" s="3">
        <v>4013.12</v>
      </c>
      <c r="I138" s="3">
        <f t="shared" si="12"/>
        <v>28091.84</v>
      </c>
      <c r="J138" t="s">
        <v>30</v>
      </c>
      <c r="K138">
        <f t="shared" si="13"/>
        <v>2</v>
      </c>
      <c r="L138">
        <f t="shared" si="14"/>
        <v>5</v>
      </c>
      <c r="M138" s="5">
        <f t="shared" si="15"/>
        <v>1</v>
      </c>
      <c r="N138">
        <f t="shared" si="16"/>
        <v>1</v>
      </c>
    </row>
    <row r="139" spans="1:14" x14ac:dyDescent="0.3">
      <c r="A139" t="s">
        <v>226</v>
      </c>
      <c r="B139" s="2">
        <v>45799</v>
      </c>
      <c r="C139" t="s">
        <v>121</v>
      </c>
      <c r="D139" t="s">
        <v>12</v>
      </c>
      <c r="E139" t="s">
        <v>28</v>
      </c>
      <c r="F139" t="s">
        <v>158</v>
      </c>
      <c r="G139">
        <v>1</v>
      </c>
      <c r="H139" s="3">
        <v>1769.47</v>
      </c>
      <c r="I139" s="3">
        <f t="shared" si="12"/>
        <v>1769.47</v>
      </c>
      <c r="J139" t="s">
        <v>42</v>
      </c>
      <c r="K139">
        <f t="shared" si="13"/>
        <v>5</v>
      </c>
      <c r="L139">
        <f t="shared" si="14"/>
        <v>4</v>
      </c>
      <c r="M139" s="5">
        <f t="shared" si="15"/>
        <v>2</v>
      </c>
      <c r="N139">
        <f t="shared" si="16"/>
        <v>1</v>
      </c>
    </row>
    <row r="140" spans="1:14" x14ac:dyDescent="0.3">
      <c r="A140" t="s">
        <v>227</v>
      </c>
      <c r="B140" s="2">
        <v>45964</v>
      </c>
      <c r="C140" t="s">
        <v>77</v>
      </c>
      <c r="D140" t="s">
        <v>18</v>
      </c>
      <c r="E140" t="s">
        <v>19</v>
      </c>
      <c r="F140" t="s">
        <v>128</v>
      </c>
      <c r="G140">
        <v>5</v>
      </c>
      <c r="H140" s="3">
        <v>4220.08</v>
      </c>
      <c r="I140" s="3">
        <f t="shared" si="12"/>
        <v>21100.400000000001</v>
      </c>
      <c r="K140">
        <f t="shared" si="13"/>
        <v>11</v>
      </c>
      <c r="L140">
        <f t="shared" si="14"/>
        <v>1</v>
      </c>
      <c r="M140" s="5">
        <f t="shared" si="15"/>
        <v>4</v>
      </c>
      <c r="N140">
        <f t="shared" si="16"/>
        <v>1</v>
      </c>
    </row>
    <row r="141" spans="1:14" x14ac:dyDescent="0.3">
      <c r="A141" t="s">
        <v>228</v>
      </c>
      <c r="B141" s="2">
        <v>45956</v>
      </c>
      <c r="C141" t="s">
        <v>165</v>
      </c>
      <c r="D141" t="s">
        <v>12</v>
      </c>
      <c r="E141" t="s">
        <v>28</v>
      </c>
      <c r="F141" t="s">
        <v>62</v>
      </c>
      <c r="G141">
        <v>7</v>
      </c>
      <c r="H141" s="3">
        <v>2201.5100000000002</v>
      </c>
      <c r="I141" s="3">
        <f t="shared" si="12"/>
        <v>15410.570000000002</v>
      </c>
      <c r="J141" t="s">
        <v>66</v>
      </c>
      <c r="K141">
        <f t="shared" si="13"/>
        <v>10</v>
      </c>
      <c r="L141">
        <f t="shared" si="14"/>
        <v>7</v>
      </c>
      <c r="M141" s="5">
        <f t="shared" si="15"/>
        <v>4</v>
      </c>
      <c r="N141">
        <f t="shared" si="16"/>
        <v>1</v>
      </c>
    </row>
    <row r="142" spans="1:14" x14ac:dyDescent="0.3">
      <c r="A142" t="s">
        <v>229</v>
      </c>
      <c r="B142" s="2">
        <v>45849</v>
      </c>
      <c r="C142" t="s">
        <v>82</v>
      </c>
      <c r="D142" t="s">
        <v>27</v>
      </c>
      <c r="E142" t="s">
        <v>19</v>
      </c>
      <c r="F142" t="s">
        <v>65</v>
      </c>
      <c r="G142">
        <v>9</v>
      </c>
      <c r="H142" s="3">
        <v>4488.6000000000004</v>
      </c>
      <c r="I142" s="3">
        <f t="shared" si="12"/>
        <v>40397.4</v>
      </c>
      <c r="J142" t="s">
        <v>66</v>
      </c>
      <c r="K142">
        <f t="shared" si="13"/>
        <v>7</v>
      </c>
      <c r="L142">
        <f t="shared" si="14"/>
        <v>5</v>
      </c>
      <c r="M142" s="5">
        <f t="shared" si="15"/>
        <v>3</v>
      </c>
      <c r="N142">
        <f t="shared" si="16"/>
        <v>1</v>
      </c>
    </row>
    <row r="143" spans="1:14" x14ac:dyDescent="0.3">
      <c r="A143" t="s">
        <v>230</v>
      </c>
      <c r="B143" s="2">
        <v>45906</v>
      </c>
      <c r="C143" t="s">
        <v>17</v>
      </c>
      <c r="D143" t="s">
        <v>18</v>
      </c>
      <c r="E143" t="s">
        <v>54</v>
      </c>
      <c r="F143" t="s">
        <v>114</v>
      </c>
      <c r="G143">
        <v>8</v>
      </c>
      <c r="H143" s="3">
        <v>3593.61</v>
      </c>
      <c r="I143" s="3">
        <f t="shared" si="12"/>
        <v>28748.880000000001</v>
      </c>
      <c r="J143" t="s">
        <v>66</v>
      </c>
      <c r="K143">
        <f t="shared" si="13"/>
        <v>9</v>
      </c>
      <c r="L143">
        <f t="shared" si="14"/>
        <v>6</v>
      </c>
      <c r="M143" s="5">
        <f t="shared" si="15"/>
        <v>3</v>
      </c>
      <c r="N143">
        <f t="shared" si="16"/>
        <v>0</v>
      </c>
    </row>
    <row r="144" spans="1:14" x14ac:dyDescent="0.3">
      <c r="A144" t="s">
        <v>231</v>
      </c>
      <c r="B144" s="2">
        <v>45955</v>
      </c>
      <c r="C144" t="s">
        <v>165</v>
      </c>
      <c r="D144" t="s">
        <v>12</v>
      </c>
      <c r="E144" t="s">
        <v>23</v>
      </c>
      <c r="F144" t="s">
        <v>71</v>
      </c>
      <c r="G144">
        <v>5</v>
      </c>
      <c r="H144" s="3">
        <v>1042.96</v>
      </c>
      <c r="I144" s="3">
        <f t="shared" si="12"/>
        <v>5214.8</v>
      </c>
      <c r="J144" t="s">
        <v>66</v>
      </c>
      <c r="K144">
        <f t="shared" si="13"/>
        <v>10</v>
      </c>
      <c r="L144">
        <f t="shared" si="14"/>
        <v>6</v>
      </c>
      <c r="M144" s="5">
        <f t="shared" si="15"/>
        <v>4</v>
      </c>
      <c r="N144">
        <f t="shared" si="16"/>
        <v>1</v>
      </c>
    </row>
    <row r="145" spans="1:14" x14ac:dyDescent="0.3">
      <c r="A145" t="s">
        <v>232</v>
      </c>
      <c r="B145" s="2">
        <v>45725</v>
      </c>
      <c r="C145" t="s">
        <v>64</v>
      </c>
      <c r="D145" t="s">
        <v>36</v>
      </c>
      <c r="E145" t="s">
        <v>13</v>
      </c>
      <c r="F145" t="s">
        <v>37</v>
      </c>
      <c r="G145">
        <v>5</v>
      </c>
      <c r="H145" s="3">
        <v>2631.33</v>
      </c>
      <c r="I145" s="3">
        <f t="shared" si="12"/>
        <v>13156.65</v>
      </c>
      <c r="J145" t="s">
        <v>30</v>
      </c>
      <c r="K145">
        <f t="shared" si="13"/>
        <v>3</v>
      </c>
      <c r="L145">
        <f t="shared" si="14"/>
        <v>7</v>
      </c>
      <c r="M145" s="5">
        <f t="shared" si="15"/>
        <v>1</v>
      </c>
      <c r="N145">
        <f t="shared" si="16"/>
        <v>1</v>
      </c>
    </row>
    <row r="146" spans="1:14" x14ac:dyDescent="0.3">
      <c r="A146" t="s">
        <v>233</v>
      </c>
      <c r="B146" s="2">
        <v>45856</v>
      </c>
      <c r="C146" t="s">
        <v>113</v>
      </c>
      <c r="D146" t="s">
        <v>18</v>
      </c>
      <c r="E146" t="s">
        <v>28</v>
      </c>
      <c r="F146" t="s">
        <v>29</v>
      </c>
      <c r="G146">
        <v>2</v>
      </c>
      <c r="H146" s="3">
        <v>1406.79</v>
      </c>
      <c r="I146" s="3">
        <f t="shared" si="12"/>
        <v>2813.58</v>
      </c>
      <c r="K146">
        <f t="shared" si="13"/>
        <v>7</v>
      </c>
      <c r="L146">
        <f t="shared" si="14"/>
        <v>5</v>
      </c>
      <c r="M146" s="5">
        <f t="shared" si="15"/>
        <v>3</v>
      </c>
      <c r="N146">
        <f t="shared" si="16"/>
        <v>0</v>
      </c>
    </row>
    <row r="147" spans="1:14" x14ac:dyDescent="0.3">
      <c r="A147" t="s">
        <v>234</v>
      </c>
      <c r="B147" s="2">
        <v>45984</v>
      </c>
      <c r="C147" t="s">
        <v>88</v>
      </c>
      <c r="D147" t="s">
        <v>18</v>
      </c>
      <c r="E147" t="s">
        <v>23</v>
      </c>
      <c r="F147" t="s">
        <v>123</v>
      </c>
      <c r="G147">
        <v>8</v>
      </c>
      <c r="H147" s="3">
        <v>2454.7800000000002</v>
      </c>
      <c r="I147" s="3">
        <f t="shared" si="12"/>
        <v>19638.240000000002</v>
      </c>
      <c r="J147" t="s">
        <v>74</v>
      </c>
      <c r="K147">
        <f t="shared" si="13"/>
        <v>11</v>
      </c>
      <c r="L147">
        <f t="shared" si="14"/>
        <v>7</v>
      </c>
      <c r="M147" s="5">
        <f t="shared" si="15"/>
        <v>4</v>
      </c>
      <c r="N147">
        <f t="shared" si="16"/>
        <v>0</v>
      </c>
    </row>
    <row r="148" spans="1:14" x14ac:dyDescent="0.3">
      <c r="A148" t="s">
        <v>235</v>
      </c>
      <c r="B148" s="2">
        <v>45694</v>
      </c>
      <c r="C148" t="s">
        <v>11</v>
      </c>
      <c r="D148" t="s">
        <v>27</v>
      </c>
      <c r="E148" t="s">
        <v>28</v>
      </c>
      <c r="F148" t="s">
        <v>101</v>
      </c>
      <c r="G148">
        <v>6</v>
      </c>
      <c r="H148" s="3">
        <v>1203.0999999999999</v>
      </c>
      <c r="I148" s="3">
        <f t="shared" si="12"/>
        <v>7218.5999999999995</v>
      </c>
      <c r="J148" t="s">
        <v>30</v>
      </c>
      <c r="K148">
        <f t="shared" si="13"/>
        <v>2</v>
      </c>
      <c r="L148">
        <f t="shared" si="14"/>
        <v>4</v>
      </c>
      <c r="M148" s="5">
        <f t="shared" si="15"/>
        <v>1</v>
      </c>
      <c r="N148">
        <f t="shared" si="16"/>
        <v>0</v>
      </c>
    </row>
    <row r="149" spans="1:14" x14ac:dyDescent="0.3">
      <c r="A149" t="s">
        <v>236</v>
      </c>
      <c r="B149" s="2">
        <v>45902</v>
      </c>
      <c r="C149" t="s">
        <v>41</v>
      </c>
      <c r="D149" t="s">
        <v>18</v>
      </c>
      <c r="E149" t="s">
        <v>28</v>
      </c>
      <c r="F149" t="s">
        <v>29</v>
      </c>
      <c r="G149">
        <v>9</v>
      </c>
      <c r="H149" s="3">
        <v>223.02</v>
      </c>
      <c r="I149" s="3">
        <f t="shared" si="12"/>
        <v>2007.18</v>
      </c>
      <c r="J149" t="s">
        <v>74</v>
      </c>
      <c r="K149">
        <f t="shared" si="13"/>
        <v>9</v>
      </c>
      <c r="L149">
        <f t="shared" si="14"/>
        <v>2</v>
      </c>
      <c r="M149" s="5">
        <f t="shared" si="15"/>
        <v>3</v>
      </c>
      <c r="N149">
        <f t="shared" si="16"/>
        <v>1</v>
      </c>
    </row>
    <row r="150" spans="1:14" x14ac:dyDescent="0.3">
      <c r="A150" t="s">
        <v>237</v>
      </c>
      <c r="B150" s="2">
        <v>45694</v>
      </c>
      <c r="C150" t="s">
        <v>47</v>
      </c>
      <c r="D150" t="s">
        <v>36</v>
      </c>
      <c r="E150" t="s">
        <v>23</v>
      </c>
      <c r="F150" t="s">
        <v>98</v>
      </c>
      <c r="G150">
        <v>3</v>
      </c>
      <c r="H150" s="3">
        <v>3271.68</v>
      </c>
      <c r="I150" s="3">
        <f t="shared" si="12"/>
        <v>9815.0399999999991</v>
      </c>
      <c r="K150">
        <f t="shared" si="13"/>
        <v>2</v>
      </c>
      <c r="L150">
        <f t="shared" si="14"/>
        <v>4</v>
      </c>
      <c r="M150" s="5">
        <f t="shared" si="15"/>
        <v>1</v>
      </c>
      <c r="N150">
        <f t="shared" si="16"/>
        <v>1</v>
      </c>
    </row>
    <row r="151" spans="1:14" x14ac:dyDescent="0.3">
      <c r="A151" t="s">
        <v>238</v>
      </c>
      <c r="B151" s="2">
        <v>45952</v>
      </c>
      <c r="C151" t="s">
        <v>110</v>
      </c>
      <c r="D151" t="s">
        <v>80</v>
      </c>
      <c r="E151" t="s">
        <v>28</v>
      </c>
      <c r="F151" t="s">
        <v>158</v>
      </c>
      <c r="G151">
        <v>6</v>
      </c>
      <c r="H151" s="3">
        <v>4288.6899999999996</v>
      </c>
      <c r="I151" s="3">
        <f t="shared" si="12"/>
        <v>25732.14</v>
      </c>
      <c r="J151" t="s">
        <v>74</v>
      </c>
      <c r="K151">
        <f t="shared" si="13"/>
        <v>10</v>
      </c>
      <c r="L151">
        <f t="shared" si="14"/>
        <v>3</v>
      </c>
      <c r="M151" s="5">
        <f t="shared" si="15"/>
        <v>4</v>
      </c>
      <c r="N151">
        <f t="shared" si="16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abSelected="1" zoomScaleNormal="100" workbookViewId="0">
      <selection activeCell="C11" sqref="C11"/>
    </sheetView>
  </sheetViews>
  <sheetFormatPr defaultColWidth="8.6640625" defaultRowHeight="14.4" x14ac:dyDescent="0.3"/>
  <cols>
    <col min="1" max="1" width="5" customWidth="1"/>
    <col min="2" max="2" width="123.33203125" bestFit="1" customWidth="1"/>
    <col min="3" max="3" width="30" customWidth="1"/>
    <col min="5" max="5" width="18.5546875" bestFit="1" customWidth="1"/>
    <col min="6" max="6" width="9" bestFit="1" customWidth="1"/>
  </cols>
  <sheetData>
    <row r="1" spans="1:6" x14ac:dyDescent="0.3">
      <c r="A1" s="1" t="s">
        <v>239</v>
      </c>
      <c r="B1" s="1" t="s">
        <v>240</v>
      </c>
      <c r="C1" s="1" t="s">
        <v>241</v>
      </c>
    </row>
    <row r="2" spans="1:6" x14ac:dyDescent="0.3">
      <c r="A2">
        <v>1</v>
      </c>
      <c r="B2" t="s">
        <v>242</v>
      </c>
      <c r="C2" cm="1">
        <f t="array" ref="C2">SUM(SUMIF(Data!K:K,{1,2,3},Data!I:I))</f>
        <v>557773.38</v>
      </c>
    </row>
    <row r="3" spans="1:6" x14ac:dyDescent="0.3">
      <c r="A3">
        <v>2</v>
      </c>
      <c r="B3" t="s">
        <v>243</v>
      </c>
      <c r="C3" s="6">
        <f ca="1">(E3-D3)/D3</f>
        <v>-0.35935691334955677</v>
      </c>
      <c r="D3">
        <f>SUMIF(Data!K:K,"=5",Data!I:I)</f>
        <v>185642.78999999998</v>
      </c>
      <c r="E3">
        <f ca="1">SUMIF(Data!K:K,"=6",Data!I1)</f>
        <v>118930.77000000002</v>
      </c>
      <c r="F3">
        <f>D3*100</f>
        <v>18564278.999999996</v>
      </c>
    </row>
    <row r="4" spans="1:6" x14ac:dyDescent="0.3">
      <c r="A4">
        <v>3</v>
      </c>
      <c r="B4" t="s">
        <v>244</v>
      </c>
      <c r="C4">
        <f>COUNTBLANK(Data!J2:J151)</f>
        <v>51</v>
      </c>
    </row>
    <row r="5" spans="1:6" x14ac:dyDescent="0.3">
      <c r="A5">
        <v>4</v>
      </c>
      <c r="B5" t="s">
        <v>245</v>
      </c>
      <c r="C5" t="str">
        <f>IF(Data!I2&lt;2000,"Low",IF(Data!I2&lt;=8000,"Medium","High"))</f>
        <v>High</v>
      </c>
    </row>
    <row r="6" spans="1:6" x14ac:dyDescent="0.3">
      <c r="A6">
        <v>5</v>
      </c>
      <c r="B6" t="s">
        <v>246</v>
      </c>
      <c r="C6" t="str">
        <f>_xlfn.TEXTJOIN("-",TRUE,Data!C2,Data!D2)</f>
        <v>Riya Mehta-North</v>
      </c>
    </row>
    <row r="7" spans="1:6" x14ac:dyDescent="0.3">
      <c r="A7">
        <v>6</v>
      </c>
      <c r="B7" t="s">
        <v>247</v>
      </c>
      <c r="C7" t="str">
        <f>LEFT(Data!C2,FIND(" ",Data!C2)-1)</f>
        <v>Riya</v>
      </c>
    </row>
    <row r="8" spans="1:6" x14ac:dyDescent="0.3">
      <c r="A8">
        <v>7</v>
      </c>
      <c r="B8" t="s">
        <v>248</v>
      </c>
      <c r="C8">
        <f>SUMIF(Data!E:E,"&lt;&gt;Grocery",Data!I:I)</f>
        <v>1747969.6899999992</v>
      </c>
    </row>
    <row r="9" spans="1:6" x14ac:dyDescent="0.3">
      <c r="A9">
        <v>8</v>
      </c>
      <c r="B9" t="s">
        <v>249</v>
      </c>
      <c r="C9" t="str">
        <f>IFERROR(_xlfn.XLOOKUP("ORD9999",Data!A:A,Data!C:C),"Not Found")</f>
        <v>Not Found</v>
      </c>
    </row>
    <row r="10" spans="1:6" x14ac:dyDescent="0.3">
      <c r="A10">
        <v>9</v>
      </c>
      <c r="B10" t="s">
        <v>250</v>
      </c>
      <c r="C10">
        <f>_xlfn.RANK.EQ(Data!I11,Data!I:I)</f>
        <v>29</v>
      </c>
      <c r="E10" t="str" cm="1">
        <f t="array" ref="E10:E16">_xlfn.UNIQUE(Data!E:E)</f>
        <v>Category</v>
      </c>
    </row>
    <row r="11" spans="1:6" x14ac:dyDescent="0.3">
      <c r="A11">
        <v>10</v>
      </c>
      <c r="B11" t="s">
        <v>251</v>
      </c>
      <c r="C11">
        <f>COUNTIF(Data!B2:B151,Data!B2)</f>
        <v>2</v>
      </c>
      <c r="E11" t="str">
        <v>Grocery</v>
      </c>
      <c r="F11">
        <f>SUMIF(Data!E:E,Formula_Practice!E11,Data!I:I)</f>
        <v>372799.22000000009</v>
      </c>
    </row>
    <row r="12" spans="1:6" x14ac:dyDescent="0.3">
      <c r="A12">
        <v>11</v>
      </c>
      <c r="B12" t="s">
        <v>252</v>
      </c>
      <c r="C12">
        <f>SUMPRODUCT(Data!G2:G151,Data!H2:H151)/SUM(Data!G2:G151)</f>
        <v>2474.6428354725772</v>
      </c>
      <c r="E12" t="str">
        <v>Electronics</v>
      </c>
      <c r="F12">
        <f>SUMIF(Data!E:E,Formula_Practice!E12,Data!I:I)</f>
        <v>512817.19999999995</v>
      </c>
    </row>
    <row r="13" spans="1:6" x14ac:dyDescent="0.3">
      <c r="A13">
        <v>12</v>
      </c>
      <c r="B13" t="s">
        <v>253</v>
      </c>
      <c r="C13" t="s">
        <v>19</v>
      </c>
      <c r="E13" t="str">
        <v>Home</v>
      </c>
      <c r="F13">
        <f>SUMIF(Data!E:E,Formula_Practice!E13,Data!I:I)</f>
        <v>331087.71999999997</v>
      </c>
    </row>
    <row r="14" spans="1:6" x14ac:dyDescent="0.3">
      <c r="A14">
        <v>13</v>
      </c>
      <c r="B14" t="s">
        <v>254</v>
      </c>
      <c r="C14" cm="1">
        <f t="array" ref="C14">SUM(COUNTIF(Data!L:L,{6,7}))</f>
        <v>42</v>
      </c>
      <c r="E14" t="str">
        <v>Stationery</v>
      </c>
      <c r="F14">
        <f>SUMIF(Data!E:E,Formula_Practice!E14,Data!I:I)</f>
        <v>483083.35000000009</v>
      </c>
    </row>
    <row r="15" spans="1:6" x14ac:dyDescent="0.3">
      <c r="A15">
        <v>14</v>
      </c>
      <c r="B15" t="s">
        <v>255</v>
      </c>
      <c r="C15">
        <f>_xlfn.XLOOKUP(Data!B2,Data!B:B,Data!M:M,"")</f>
        <v>1</v>
      </c>
      <c r="E15" t="str">
        <v>Apparel</v>
      </c>
      <c r="F15">
        <f>SUMIF(Data!E:E,Formula_Practice!E15,Data!I:I)</f>
        <v>420981.4200000001</v>
      </c>
    </row>
    <row r="16" spans="1:6" x14ac:dyDescent="0.3">
      <c r="A16">
        <v>15</v>
      </c>
      <c r="B16" t="s">
        <v>256</v>
      </c>
      <c r="C16">
        <f>COUNTIFS(Data!H:H,"&gt;=1000",Data!H:H,"&lt;=3000")</f>
        <v>67</v>
      </c>
      <c r="E16">
        <v>0</v>
      </c>
      <c r="F16">
        <f>SUMIF(Data!E:E,Formula_Practice!E16,Data!I:I)</f>
        <v>0</v>
      </c>
    </row>
    <row r="17" spans="1:5" x14ac:dyDescent="0.3">
      <c r="A17">
        <v>16</v>
      </c>
      <c r="B17" t="s">
        <v>257</v>
      </c>
      <c r="C17" t="str">
        <f>_xlfn.TEXTJOIN("-",TRUE,Data!A2,Data!D2)</f>
        <v>ORD3001-North</v>
      </c>
    </row>
    <row r="18" spans="1:5" x14ac:dyDescent="0.3">
      <c r="A18">
        <v>17</v>
      </c>
      <c r="B18" t="s">
        <v>258</v>
      </c>
      <c r="C18">
        <f>SUMIF(Data!I:I,"&lt;500",Data!I:I)</f>
        <v>281.38</v>
      </c>
    </row>
    <row r="19" spans="1:5" x14ac:dyDescent="0.3">
      <c r="A19">
        <v>18</v>
      </c>
      <c r="B19" t="s">
        <v>259</v>
      </c>
      <c r="C19" cm="1">
        <f t="array" ref="C19">SUMPRODUCT((LEFT(Data!C2:C151,1)="A")*Data!I2:I151)</f>
        <v>1048743.1400000001</v>
      </c>
    </row>
    <row r="20" spans="1:5" x14ac:dyDescent="0.3">
      <c r="A20">
        <v>19</v>
      </c>
      <c r="B20" t="s">
        <v>260</v>
      </c>
      <c r="C20" cm="1">
        <f t="array" ref="C20">COUNTA(_xlfn.UNIQUE(_xlfn._xlws.FILTER(Data!J2:J151,Data!J2:J151&lt;&gt;"")))</f>
        <v>5</v>
      </c>
    </row>
    <row r="21" spans="1:5" x14ac:dyDescent="0.3">
      <c r="A21">
        <v>20</v>
      </c>
      <c r="B21" t="s">
        <v>261</v>
      </c>
      <c r="C21" cm="1">
        <f t="array" ref="C21">SUM(SUMIF(Data!K:K,{1,2,3,4,5,6},Data!I:I))</f>
        <v>1030980.8</v>
      </c>
      <c r="D21" cm="1">
        <f t="array" ref="D21">SUM(SUMIF(Data!K:K,{7,8,9,10,11,12},Data!I:I))</f>
        <v>1089788.1100000001</v>
      </c>
      <c r="E21" t="s">
        <v>268</v>
      </c>
    </row>
    <row r="22" spans="1:5" x14ac:dyDescent="0.3">
      <c r="A22">
        <v>21</v>
      </c>
      <c r="B22" t="s">
        <v>262</v>
      </c>
      <c r="C22">
        <f>SUMIF(Data!N:N,"=0",Data!I:I)</f>
        <v>1157356.24</v>
      </c>
    </row>
    <row r="23" spans="1:5" x14ac:dyDescent="0.3">
      <c r="A23">
        <v>22</v>
      </c>
      <c r="B23" t="s">
        <v>263</v>
      </c>
      <c r="C23">
        <f>COUNTA(Data!A2:A151)-COUNTA(_xlfn.UNIQUE(Data!A2:A151))</f>
        <v>0</v>
      </c>
    </row>
    <row r="25" spans="1:5" x14ac:dyDescent="0.3">
      <c r="B25" s="4" t="s">
        <v>264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Formula_Practice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2026-07-03T06:17:39Z</dcterms:created>
  <dcterms:modified xsi:type="dcterms:W3CDTF">2026-07-04T05:20:25Z</dcterms:modified>
  <dc:language>en-US</dc:language>
</cp:coreProperties>
</file>