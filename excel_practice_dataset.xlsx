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C366E7-046C-41E2-91F7-76B9BBCFB1D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nth" sheetId="1" r:id="rId1"/>
    <sheet name="Questions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B16" i="2"/>
  <c r="H15" i="2"/>
  <c r="H16" i="2"/>
  <c r="H17" i="2"/>
  <c r="H18" i="2"/>
  <c r="H14" i="2"/>
  <c r="G13" i="2" a="1"/>
  <c r="G13" i="2" s="1"/>
  <c r="E24" i="2"/>
  <c r="E25" i="2"/>
  <c r="E26" i="2"/>
  <c r="E27" i="2"/>
  <c r="E23" i="2"/>
  <c r="D22" i="2" a="1"/>
  <c r="D22" i="2" s="1"/>
  <c r="B17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B13" i="2" a="1"/>
  <c r="B13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B11" i="2"/>
  <c r="H4" i="2"/>
  <c r="H6" i="2"/>
  <c r="H7" i="2"/>
  <c r="H5" i="2"/>
  <c r="G3" i="2" a="1"/>
  <c r="G3" i="2" s="1"/>
  <c r="B9" i="2"/>
  <c r="N3" i="1" a="1"/>
  <c r="N3" i="1" s="1"/>
  <c r="N4" i="1" a="1"/>
  <c r="N4" i="1"/>
  <c r="N5" i="1" a="1"/>
  <c r="N5" i="1" s="1"/>
  <c r="N6" i="1" a="1"/>
  <c r="N6" i="1" s="1"/>
  <c r="N7" i="1" a="1"/>
  <c r="N7" i="1" s="1"/>
  <c r="N8" i="1" a="1"/>
  <c r="N8" i="1"/>
  <c r="N9" i="1" a="1"/>
  <c r="N9" i="1" s="1"/>
  <c r="N10" i="1" a="1"/>
  <c r="N10" i="1"/>
  <c r="N11" i="1" a="1"/>
  <c r="N11" i="1" s="1"/>
  <c r="N12" i="1" a="1"/>
  <c r="N12" i="1"/>
  <c r="N13" i="1" a="1"/>
  <c r="N13" i="1" s="1"/>
  <c r="N14" i="1" a="1"/>
  <c r="N14" i="1"/>
  <c r="N15" i="1" a="1"/>
  <c r="N15" i="1" s="1"/>
  <c r="N16" i="1" a="1"/>
  <c r="N16" i="1"/>
  <c r="N17" i="1" a="1"/>
  <c r="N17" i="1" s="1"/>
  <c r="N18" i="1" a="1"/>
  <c r="N18" i="1"/>
  <c r="N19" i="1" a="1"/>
  <c r="N19" i="1" s="1"/>
  <c r="N20" i="1" a="1"/>
  <c r="N20" i="1"/>
  <c r="N21" i="1" a="1"/>
  <c r="N21" i="1" s="1"/>
  <c r="N22" i="1" a="1"/>
  <c r="N22" i="1"/>
  <c r="N23" i="1" a="1"/>
  <c r="N23" i="1" s="1"/>
  <c r="N24" i="1" a="1"/>
  <c r="N24" i="1"/>
  <c r="N25" i="1" a="1"/>
  <c r="N25" i="1" s="1"/>
  <c r="N26" i="1" a="1"/>
  <c r="N26" i="1"/>
  <c r="N27" i="1" a="1"/>
  <c r="N27" i="1" s="1"/>
  <c r="N28" i="1" a="1"/>
  <c r="N28" i="1"/>
  <c r="N29" i="1" a="1"/>
  <c r="N29" i="1" s="1"/>
  <c r="N30" i="1" a="1"/>
  <c r="N30" i="1"/>
  <c r="N31" i="1" a="1"/>
  <c r="N31" i="1" s="1"/>
  <c r="N32" i="1" a="1"/>
  <c r="N32" i="1"/>
  <c r="N33" i="1" a="1"/>
  <c r="N33" i="1" s="1"/>
  <c r="N34" i="1" a="1"/>
  <c r="N34" i="1"/>
  <c r="N35" i="1" a="1"/>
  <c r="N35" i="1" s="1"/>
  <c r="N36" i="1" a="1"/>
  <c r="N36" i="1"/>
  <c r="N37" i="1" a="1"/>
  <c r="N37" i="1" s="1"/>
  <c r="N38" i="1" a="1"/>
  <c r="N38" i="1"/>
  <c r="N39" i="1" a="1"/>
  <c r="N39" i="1" s="1"/>
  <c r="N40" i="1" a="1"/>
  <c r="N40" i="1"/>
  <c r="N41" i="1" a="1"/>
  <c r="N41" i="1" s="1"/>
  <c r="N42" i="1" a="1"/>
  <c r="N42" i="1"/>
  <c r="N43" i="1" a="1"/>
  <c r="N43" i="1" s="1"/>
  <c r="N44" i="1" a="1"/>
  <c r="N44" i="1"/>
  <c r="N45" i="1" a="1"/>
  <c r="N45" i="1" s="1"/>
  <c r="N46" i="1" a="1"/>
  <c r="N46" i="1"/>
  <c r="N47" i="1" a="1"/>
  <c r="N47" i="1" s="1"/>
  <c r="N48" i="1" a="1"/>
  <c r="N48" i="1"/>
  <c r="N49" i="1" a="1"/>
  <c r="N49" i="1" s="1"/>
  <c r="N50" i="1" a="1"/>
  <c r="N50" i="1"/>
  <c r="N51" i="1" a="1"/>
  <c r="N51" i="1" s="1"/>
  <c r="N52" i="1" a="1"/>
  <c r="N52" i="1"/>
  <c r="N53" i="1" a="1"/>
  <c r="N53" i="1" s="1"/>
  <c r="N54" i="1" a="1"/>
  <c r="N54" i="1"/>
  <c r="N55" i="1" a="1"/>
  <c r="N55" i="1" s="1"/>
  <c r="N56" i="1" a="1"/>
  <c r="N56" i="1"/>
  <c r="N57" i="1" a="1"/>
  <c r="N57" i="1" s="1"/>
  <c r="N58" i="1" a="1"/>
  <c r="N58" i="1"/>
  <c r="N59" i="1" a="1"/>
  <c r="N59" i="1" s="1"/>
  <c r="N60" i="1" a="1"/>
  <c r="N60" i="1"/>
  <c r="N61" i="1" a="1"/>
  <c r="N61" i="1" s="1"/>
  <c r="N62" i="1" a="1"/>
  <c r="N62" i="1"/>
  <c r="N63" i="1" a="1"/>
  <c r="N63" i="1" s="1"/>
  <c r="N64" i="1" a="1"/>
  <c r="N64" i="1"/>
  <c r="N65" i="1" a="1"/>
  <c r="N65" i="1" s="1"/>
  <c r="N66" i="1" a="1"/>
  <c r="N66" i="1"/>
  <c r="N67" i="1" a="1"/>
  <c r="N67" i="1" s="1"/>
  <c r="N68" i="1" a="1"/>
  <c r="N68" i="1"/>
  <c r="N69" i="1" a="1"/>
  <c r="N69" i="1" s="1"/>
  <c r="N70" i="1" a="1"/>
  <c r="N70" i="1"/>
  <c r="N71" i="1" a="1"/>
  <c r="N71" i="1" s="1"/>
  <c r="N72" i="1" a="1"/>
  <c r="N72" i="1"/>
  <c r="N73" i="1" a="1"/>
  <c r="N73" i="1" s="1"/>
  <c r="N74" i="1" a="1"/>
  <c r="N74" i="1"/>
  <c r="N75" i="1" a="1"/>
  <c r="N75" i="1" s="1"/>
  <c r="N76" i="1" a="1"/>
  <c r="N76" i="1"/>
  <c r="N77" i="1" a="1"/>
  <c r="N77" i="1" s="1"/>
  <c r="N78" i="1" a="1"/>
  <c r="N78" i="1"/>
  <c r="N79" i="1" a="1"/>
  <c r="N79" i="1" s="1"/>
  <c r="N80" i="1" a="1"/>
  <c r="N80" i="1"/>
  <c r="N81" i="1" a="1"/>
  <c r="N81" i="1" s="1"/>
  <c r="N82" i="1" a="1"/>
  <c r="N82" i="1"/>
  <c r="N83" i="1" a="1"/>
  <c r="N83" i="1" s="1"/>
  <c r="N84" i="1" a="1"/>
  <c r="N84" i="1"/>
  <c r="N85" i="1" a="1"/>
  <c r="N85" i="1" s="1"/>
  <c r="N86" i="1" a="1"/>
  <c r="N86" i="1"/>
  <c r="N87" i="1" a="1"/>
  <c r="N87" i="1" s="1"/>
  <c r="N88" i="1" a="1"/>
  <c r="N88" i="1"/>
  <c r="N89" i="1" a="1"/>
  <c r="N89" i="1" s="1"/>
  <c r="N90" i="1" a="1"/>
  <c r="N90" i="1"/>
  <c r="N91" i="1" a="1"/>
  <c r="N91" i="1" s="1"/>
  <c r="N92" i="1" a="1"/>
  <c r="N92" i="1"/>
  <c r="N93" i="1" a="1"/>
  <c r="N93" i="1" s="1"/>
  <c r="N94" i="1" a="1"/>
  <c r="N94" i="1"/>
  <c r="N95" i="1" a="1"/>
  <c r="N95" i="1" s="1"/>
  <c r="N96" i="1" a="1"/>
  <c r="N96" i="1"/>
  <c r="N97" i="1" a="1"/>
  <c r="N97" i="1" s="1"/>
  <c r="N98" i="1" a="1"/>
  <c r="N98" i="1"/>
  <c r="N99" i="1" a="1"/>
  <c r="N99" i="1" s="1"/>
  <c r="N100" i="1" a="1"/>
  <c r="N100" i="1"/>
  <c r="N101" i="1" a="1"/>
  <c r="N101" i="1" s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B6" i="2"/>
  <c r="B5" i="2"/>
  <c r="E14" i="2"/>
  <c r="E15" i="2"/>
  <c r="E16" i="2"/>
  <c r="E17" i="2"/>
  <c r="D13" i="2" a="1"/>
  <c r="D13" i="2" s="1"/>
  <c r="E8" i="2"/>
  <c r="E7" i="2"/>
  <c r="E6" i="2"/>
  <c r="E5" i="2"/>
  <c r="E4" i="2"/>
  <c r="D3" i="2" a="1"/>
  <c r="D3" i="2" s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<sst xmlns="http://schemas.openxmlformats.org/spreadsheetml/2006/main" count="763" uniqueCount="268">
  <si>
    <t>OrderID</t>
  </si>
  <si>
    <t>Date</t>
  </si>
  <si>
    <t>Region</t>
  </si>
  <si>
    <t>SalesPerson</t>
  </si>
  <si>
    <t>Product</t>
  </si>
  <si>
    <t>Category</t>
  </si>
  <si>
    <t>Units</t>
  </si>
  <si>
    <t>UnitPrice</t>
  </si>
  <si>
    <t>Discount%</t>
  </si>
  <si>
    <t>PaymentMode</t>
  </si>
  <si>
    <t>O001</t>
  </si>
  <si>
    <t>2026-01-01</t>
  </si>
  <si>
    <t>North</t>
  </si>
  <si>
    <t>Asha</t>
  </si>
  <si>
    <t>Laptop</t>
  </si>
  <si>
    <t>Electronics</t>
  </si>
  <si>
    <t>Credit Card</t>
  </si>
  <si>
    <t>O002</t>
  </si>
  <si>
    <t>2026-01-02</t>
  </si>
  <si>
    <t>South</t>
  </si>
  <si>
    <t>Rahul</t>
  </si>
  <si>
    <t>Phone</t>
  </si>
  <si>
    <t>UPI</t>
  </si>
  <si>
    <t>O003</t>
  </si>
  <si>
    <t>2026-01-03</t>
  </si>
  <si>
    <t>East</t>
  </si>
  <si>
    <t>Neha</t>
  </si>
  <si>
    <t>Tablet</t>
  </si>
  <si>
    <t>Cash</t>
  </si>
  <si>
    <t>O004</t>
  </si>
  <si>
    <t>2026-01-04</t>
  </si>
  <si>
    <t>West</t>
  </si>
  <si>
    <t>Vikram</t>
  </si>
  <si>
    <t>Headphones</t>
  </si>
  <si>
    <t>Debit Card</t>
  </si>
  <si>
    <t>O005</t>
  </si>
  <si>
    <t>2026-01-05</t>
  </si>
  <si>
    <t>Central</t>
  </si>
  <si>
    <t>Priya</t>
  </si>
  <si>
    <t>Keyboard</t>
  </si>
  <si>
    <t>O006</t>
  </si>
  <si>
    <t>2026-01-06</t>
  </si>
  <si>
    <t>O007</t>
  </si>
  <si>
    <t>2026-01-07</t>
  </si>
  <si>
    <t>O008</t>
  </si>
  <si>
    <t>2026-01-08</t>
  </si>
  <si>
    <t>O009</t>
  </si>
  <si>
    <t>2026-01-09</t>
  </si>
  <si>
    <t>O010</t>
  </si>
  <si>
    <t>2026-01-10</t>
  </si>
  <si>
    <t>O011</t>
  </si>
  <si>
    <t>2026-01-11</t>
  </si>
  <si>
    <t>O012</t>
  </si>
  <si>
    <t>2026-01-12</t>
  </si>
  <si>
    <t>O013</t>
  </si>
  <si>
    <t>2026-01-13</t>
  </si>
  <si>
    <t>O014</t>
  </si>
  <si>
    <t>2026-01-14</t>
  </si>
  <si>
    <t>O015</t>
  </si>
  <si>
    <t>2026-01-15</t>
  </si>
  <si>
    <t>O016</t>
  </si>
  <si>
    <t>2026-01-16</t>
  </si>
  <si>
    <t>O017</t>
  </si>
  <si>
    <t>2026-01-17</t>
  </si>
  <si>
    <t>O018</t>
  </si>
  <si>
    <t>2026-01-18</t>
  </si>
  <si>
    <t>O019</t>
  </si>
  <si>
    <t>2026-01-19</t>
  </si>
  <si>
    <t>O020</t>
  </si>
  <si>
    <t>2026-01-20</t>
  </si>
  <si>
    <t>O021</t>
  </si>
  <si>
    <t>2026-01-21</t>
  </si>
  <si>
    <t>O022</t>
  </si>
  <si>
    <t>2026-01-22</t>
  </si>
  <si>
    <t>O023</t>
  </si>
  <si>
    <t>2026-01-23</t>
  </si>
  <si>
    <t>O024</t>
  </si>
  <si>
    <t>2026-01-24</t>
  </si>
  <si>
    <t>O025</t>
  </si>
  <si>
    <t>2026-01-25</t>
  </si>
  <si>
    <t>O026</t>
  </si>
  <si>
    <t>2026-01-26</t>
  </si>
  <si>
    <t>O027</t>
  </si>
  <si>
    <t>2026-01-27</t>
  </si>
  <si>
    <t>O028</t>
  </si>
  <si>
    <t>2026-01-28</t>
  </si>
  <si>
    <t>O029</t>
  </si>
  <si>
    <t>2026-01-29</t>
  </si>
  <si>
    <t>O030</t>
  </si>
  <si>
    <t>2026-01-30</t>
  </si>
  <si>
    <t>O031</t>
  </si>
  <si>
    <t>2026-01-31</t>
  </si>
  <si>
    <t>O032</t>
  </si>
  <si>
    <t>2026-02-01</t>
  </si>
  <si>
    <t>O033</t>
  </si>
  <si>
    <t>2026-02-02</t>
  </si>
  <si>
    <t>O034</t>
  </si>
  <si>
    <t>2026-02-03</t>
  </si>
  <si>
    <t>O035</t>
  </si>
  <si>
    <t>2026-02-04</t>
  </si>
  <si>
    <t>O036</t>
  </si>
  <si>
    <t>2026-02-05</t>
  </si>
  <si>
    <t>O037</t>
  </si>
  <si>
    <t>2026-02-06</t>
  </si>
  <si>
    <t>O038</t>
  </si>
  <si>
    <t>2026-02-07</t>
  </si>
  <si>
    <t>O039</t>
  </si>
  <si>
    <t>2026-02-08</t>
  </si>
  <si>
    <t>O040</t>
  </si>
  <si>
    <t>2026-02-09</t>
  </si>
  <si>
    <t>O041</t>
  </si>
  <si>
    <t>2026-02-10</t>
  </si>
  <si>
    <t>O042</t>
  </si>
  <si>
    <t>2026-02-11</t>
  </si>
  <si>
    <t>O043</t>
  </si>
  <si>
    <t>2026-02-12</t>
  </si>
  <si>
    <t>O044</t>
  </si>
  <si>
    <t>2026-02-13</t>
  </si>
  <si>
    <t>O045</t>
  </si>
  <si>
    <t>2026-02-14</t>
  </si>
  <si>
    <t>O046</t>
  </si>
  <si>
    <t>2026-02-15</t>
  </si>
  <si>
    <t>O047</t>
  </si>
  <si>
    <t>2026-02-16</t>
  </si>
  <si>
    <t>O048</t>
  </si>
  <si>
    <t>2026-02-17</t>
  </si>
  <si>
    <t>O049</t>
  </si>
  <si>
    <t>2026-02-18</t>
  </si>
  <si>
    <t>O050</t>
  </si>
  <si>
    <t>2026-02-19</t>
  </si>
  <si>
    <t>O051</t>
  </si>
  <si>
    <t>2026-02-20</t>
  </si>
  <si>
    <t>O052</t>
  </si>
  <si>
    <t>2026-02-21</t>
  </si>
  <si>
    <t>O053</t>
  </si>
  <si>
    <t>2026-02-22</t>
  </si>
  <si>
    <t>O054</t>
  </si>
  <si>
    <t>2026-02-23</t>
  </si>
  <si>
    <t>O055</t>
  </si>
  <si>
    <t>2026-02-24</t>
  </si>
  <si>
    <t>O056</t>
  </si>
  <si>
    <t>2026-02-25</t>
  </si>
  <si>
    <t>O057</t>
  </si>
  <si>
    <t>2026-02-26</t>
  </si>
  <si>
    <t>O058</t>
  </si>
  <si>
    <t>2026-02-27</t>
  </si>
  <si>
    <t>O059</t>
  </si>
  <si>
    <t>2026-02-28</t>
  </si>
  <si>
    <t>O060</t>
  </si>
  <si>
    <t>2026-03-01</t>
  </si>
  <si>
    <t>O061</t>
  </si>
  <si>
    <t>2026-03-02</t>
  </si>
  <si>
    <t>O062</t>
  </si>
  <si>
    <t>2026-03-03</t>
  </si>
  <si>
    <t>O063</t>
  </si>
  <si>
    <t>2026-03-04</t>
  </si>
  <si>
    <t>O064</t>
  </si>
  <si>
    <t>2026-03-05</t>
  </si>
  <si>
    <t>O065</t>
  </si>
  <si>
    <t>2026-03-06</t>
  </si>
  <si>
    <t>O066</t>
  </si>
  <si>
    <t>2026-03-07</t>
  </si>
  <si>
    <t>O067</t>
  </si>
  <si>
    <t>2026-03-08</t>
  </si>
  <si>
    <t>O068</t>
  </si>
  <si>
    <t>2026-03-09</t>
  </si>
  <si>
    <t>O069</t>
  </si>
  <si>
    <t>2026-03-10</t>
  </si>
  <si>
    <t>O070</t>
  </si>
  <si>
    <t>2026-03-11</t>
  </si>
  <si>
    <t>O071</t>
  </si>
  <si>
    <t>2026-03-12</t>
  </si>
  <si>
    <t>O072</t>
  </si>
  <si>
    <t>2026-03-13</t>
  </si>
  <si>
    <t>O073</t>
  </si>
  <si>
    <t>2026-03-14</t>
  </si>
  <si>
    <t>O074</t>
  </si>
  <si>
    <t>2026-03-15</t>
  </si>
  <si>
    <t>O075</t>
  </si>
  <si>
    <t>2026-03-16</t>
  </si>
  <si>
    <t>O076</t>
  </si>
  <si>
    <t>2026-03-17</t>
  </si>
  <si>
    <t>O077</t>
  </si>
  <si>
    <t>2026-03-18</t>
  </si>
  <si>
    <t>O078</t>
  </si>
  <si>
    <t>2026-03-19</t>
  </si>
  <si>
    <t>O079</t>
  </si>
  <si>
    <t>2026-03-20</t>
  </si>
  <si>
    <t>O080</t>
  </si>
  <si>
    <t>2026-03-21</t>
  </si>
  <si>
    <t>O081</t>
  </si>
  <si>
    <t>2026-03-22</t>
  </si>
  <si>
    <t>O082</t>
  </si>
  <si>
    <t>2026-03-23</t>
  </si>
  <si>
    <t>O083</t>
  </si>
  <si>
    <t>2026-03-24</t>
  </si>
  <si>
    <t>O084</t>
  </si>
  <si>
    <t>2026-03-25</t>
  </si>
  <si>
    <t>O085</t>
  </si>
  <si>
    <t>2026-03-26</t>
  </si>
  <si>
    <t>O086</t>
  </si>
  <si>
    <t>2026-03-27</t>
  </si>
  <si>
    <t>O087</t>
  </si>
  <si>
    <t>2026-03-28</t>
  </si>
  <si>
    <t>O088</t>
  </si>
  <si>
    <t>2026-03-29</t>
  </si>
  <si>
    <t>O089</t>
  </si>
  <si>
    <t>2026-03-30</t>
  </si>
  <si>
    <t>O090</t>
  </si>
  <si>
    <t>2026-03-31</t>
  </si>
  <si>
    <t>O091</t>
  </si>
  <si>
    <t>2026-04-01</t>
  </si>
  <si>
    <t>O092</t>
  </si>
  <si>
    <t>2026-04-02</t>
  </si>
  <si>
    <t>O093</t>
  </si>
  <si>
    <t>2026-04-03</t>
  </si>
  <si>
    <t>O094</t>
  </si>
  <si>
    <t>2026-04-04</t>
  </si>
  <si>
    <t>O095</t>
  </si>
  <si>
    <t>2026-04-05</t>
  </si>
  <si>
    <t>O096</t>
  </si>
  <si>
    <t>2026-04-06</t>
  </si>
  <si>
    <t>O097</t>
  </si>
  <si>
    <t>2026-04-07</t>
  </si>
  <si>
    <t>O098</t>
  </si>
  <si>
    <t>2026-04-08</t>
  </si>
  <si>
    <t>O099</t>
  </si>
  <si>
    <t>2026-04-09</t>
  </si>
  <si>
    <t>O100</t>
  </si>
  <si>
    <t>2026-04-10</t>
  </si>
  <si>
    <t>Questions</t>
  </si>
  <si>
    <t>1. Create a Total Sales column = Units * UnitPrice * (1-Discount%)</t>
  </si>
  <si>
    <t>2. Find total revenue by each SalesPerson using SUMIF</t>
  </si>
  <si>
    <t>3. Count number of orders per Region using COUNTIF</t>
  </si>
  <si>
    <t>4. Use COUNTIFS to find Rahul's orders in South region</t>
  </si>
  <si>
    <t>5. Find total sales from UPI payments</t>
  </si>
  <si>
    <t>6. Identify High Value orders (&gt;50000)</t>
  </si>
  <si>
    <t>7. Use IFS to categorize Discount as Low/Medium/High</t>
  </si>
  <si>
    <t>8. Find total sales of Laptop category</t>
  </si>
  <si>
    <t>9. Find average Units sold per Region using AVERAGEIF</t>
  </si>
  <si>
    <t>10. Count orders where Units &gt; 5 and Region = East</t>
  </si>
  <si>
    <t>11. Extract month from Date column</t>
  </si>
  <si>
    <t>12. Find most frequently used PaymentMode</t>
  </si>
  <si>
    <t>13. Use TEXT function to format Date as Day name</t>
  </si>
  <si>
    <t>14. Create a helper column combining OrderID &amp; SalesPerson</t>
  </si>
  <si>
    <t>15. Find max single order value</t>
  </si>
  <si>
    <t>16. Find min UnitPrice product sold</t>
  </si>
  <si>
    <t>17. Count how many times each Product appears</t>
  </si>
  <si>
    <t>18. Use XLOOKUP/VLOOKUP to fetch UnitPrice by Product</t>
  </si>
  <si>
    <t>19. Find total orders in March 2026</t>
  </si>
  <si>
    <t>20. Build a summary pivot (Region vs Sales)</t>
  </si>
  <si>
    <t>Answers</t>
  </si>
  <si>
    <t>Total Sales</t>
  </si>
  <si>
    <t>DONE</t>
  </si>
  <si>
    <t>ANS3</t>
  </si>
  <si>
    <t>ANS2</t>
  </si>
  <si>
    <t>High Value Orders</t>
  </si>
  <si>
    <t>Discount Categorization</t>
  </si>
  <si>
    <t>ANS4</t>
  </si>
  <si>
    <t>Month</t>
  </si>
  <si>
    <t>Done</t>
  </si>
  <si>
    <t>Helper Column</t>
  </si>
  <si>
    <t>ANS16</t>
  </si>
  <si>
    <t>ANS18</t>
  </si>
  <si>
    <t>Row Labels</t>
  </si>
  <si>
    <t>Grand Total</t>
  </si>
  <si>
    <t>Sum of Units</t>
  </si>
  <si>
    <t>Sum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</si>
</sst>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  <font>
      <b/>
      <sz val="11"/>
      <name val="Arial Black"/>
      <family val="2"/>
    </font>
    <font>
      <sz val="11"/>
      <color theme="1"/>
      <name val="Arial Black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EE4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ill>
        <patternFill>
          <bgColor rgb="FFECC4ED"/>
        </patternFill>
      </fill>
    </dxf>
    <dxf>
      <fill>
        <patternFill>
          <bgColor rgb="FFFF0000"/>
        </patternFill>
      </fill>
    </dxf>
    <dxf>
      <fill>
        <patternFill>
          <bgColor rgb="FF2AA62D"/>
        </patternFill>
      </fill>
    </dxf>
    <dxf>
      <fill>
        <patternFill>
          <bgColor rgb="FF4EE4C4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2AA62D"/>
      <color rgb="FF498756"/>
      <color rgb="FF57C995"/>
      <color rgb="FFECC4ED"/>
      <color rgb="FFFF0000"/>
      <color rgb="FFFF7C80"/>
      <color rgb="FF4EE4C4"/>
      <color rgb="FFB1EFC6"/>
      <color rgb="FFA7F9E0"/>
      <color rgb="FF24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6.431607523147" createdVersion="8" refreshedVersion="8" minRefreshableVersion="3" recordCount="100" xr:uid="{05F3CD90-0E02-4B60-8258-72539B22A42A}">
  <cacheSource type="worksheet">
    <worksheetSource name="Table1"/>
  </cacheSource>
  <cacheFields count="10">
    <cacheField name="OrderID" numFmtId="0">
      <sharedItems/>
    </cacheField>
    <cacheField name="Date" numFmtId="0">
      <sharedItems/>
    </cacheField>
    <cacheField name="Region" numFmtId="0">
      <sharedItems count="5">
        <s v="North"/>
        <s v="South"/>
        <s v="East"/>
        <s v="West"/>
        <s v="Central"/>
      </sharedItems>
    </cacheField>
    <cacheField name="SalesPerson" numFmtId="0">
      <sharedItems/>
    </cacheField>
    <cacheField name="Product" numFmtId="0">
      <sharedItems/>
    </cacheField>
    <cacheField name="Category" numFmtId="0">
      <sharedItems/>
    </cacheField>
    <cacheField name="Units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500" maxValue="50000"/>
    </cacheField>
    <cacheField name="Discount%" numFmtId="0">
      <sharedItems containsSemiMixedTypes="0" containsString="0" containsNumber="1" containsInteger="1" minValue="0" maxValue="15"/>
    </cacheField>
    <cacheField name="Payment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001"/>
    <s v="2026-01-01"/>
    <x v="0"/>
    <s v="Asha"/>
    <s v="Laptop"/>
    <s v="Electronics"/>
    <n v="2"/>
    <n v="50000"/>
    <n v="10"/>
    <s v="Credit Card"/>
  </r>
  <r>
    <s v="O002"/>
    <s v="2026-01-02"/>
    <x v="1"/>
    <s v="Rahul"/>
    <s v="Phone"/>
    <s v="Electronics"/>
    <n v="3"/>
    <n v="20000"/>
    <n v="5"/>
    <s v="UPI"/>
  </r>
  <r>
    <s v="O003"/>
    <s v="2026-01-03"/>
    <x v="2"/>
    <s v="Neha"/>
    <s v="Tablet"/>
    <s v="Electronics"/>
    <n v="1"/>
    <n v="30000"/>
    <n v="0"/>
    <s v="Cash"/>
  </r>
  <r>
    <s v="O004"/>
    <s v="2026-01-04"/>
    <x v="3"/>
    <s v="Vikram"/>
    <s v="Headphones"/>
    <s v="Electronics"/>
    <n v="5"/>
    <n v="2000"/>
    <n v="15"/>
    <s v="Debit Card"/>
  </r>
  <r>
    <s v="O005"/>
    <s v="2026-01-05"/>
    <x v="4"/>
    <s v="Priya"/>
    <s v="Keyboard"/>
    <s v="Electronics"/>
    <n v="4"/>
    <n v="1500"/>
    <n v="10"/>
    <s v="UPI"/>
  </r>
  <r>
    <s v="O006"/>
    <s v="2026-01-06"/>
    <x v="0"/>
    <s v="Asha"/>
    <s v="Phone"/>
    <s v="Electronics"/>
    <n v="2"/>
    <n v="20000"/>
    <n v="5"/>
    <s v="Credit Card"/>
  </r>
  <r>
    <s v="O007"/>
    <s v="2026-01-07"/>
    <x v="1"/>
    <s v="Rahul"/>
    <s v="Laptop"/>
    <s v="Electronics"/>
    <n v="1"/>
    <n v="50000"/>
    <n v="0"/>
    <s v="UPI"/>
  </r>
  <r>
    <s v="O008"/>
    <s v="2026-01-08"/>
    <x v="2"/>
    <s v="Neha"/>
    <s v="Keyboard"/>
    <s v="Electronics"/>
    <n v="6"/>
    <n v="1500"/>
    <n v="10"/>
    <s v="Cash"/>
  </r>
  <r>
    <s v="O009"/>
    <s v="2026-01-09"/>
    <x v="3"/>
    <s v="Vikram"/>
    <s v="Tablet"/>
    <s v="Electronics"/>
    <n v="2"/>
    <n v="30000"/>
    <n v="5"/>
    <s v="Debit Card"/>
  </r>
  <r>
    <s v="O010"/>
    <s v="2026-01-10"/>
    <x v="4"/>
    <s v="Priya"/>
    <s v="Headphones"/>
    <s v="Electronics"/>
    <n v="8"/>
    <n v="2000"/>
    <n v="15"/>
    <s v="UPI"/>
  </r>
  <r>
    <s v="O011"/>
    <s v="2026-01-11"/>
    <x v="0"/>
    <s v="Asha"/>
    <s v="Tablet"/>
    <s v="Electronics"/>
    <n v="3"/>
    <n v="30000"/>
    <n v="10"/>
    <s v="Credit Card"/>
  </r>
  <r>
    <s v="O012"/>
    <s v="2026-01-12"/>
    <x v="1"/>
    <s v="Rahul"/>
    <s v="Keyboard"/>
    <s v="Electronics"/>
    <n v="5"/>
    <n v="1500"/>
    <n v="0"/>
    <s v="Cash"/>
  </r>
  <r>
    <s v="O013"/>
    <s v="2026-01-13"/>
    <x v="2"/>
    <s v="Neha"/>
    <s v="Phone"/>
    <s v="Electronics"/>
    <n v="2"/>
    <n v="20000"/>
    <n v="5"/>
    <s v="UPI"/>
  </r>
  <r>
    <s v="O014"/>
    <s v="2026-01-14"/>
    <x v="3"/>
    <s v="Vikram"/>
    <s v="Laptop"/>
    <s v="Electronics"/>
    <n v="1"/>
    <n v="50000"/>
    <n v="15"/>
    <s v="Debit Card"/>
  </r>
  <r>
    <s v="O015"/>
    <s v="2026-01-15"/>
    <x v="4"/>
    <s v="Priya"/>
    <s v="Tablet"/>
    <s v="Electronics"/>
    <n v="4"/>
    <n v="30000"/>
    <n v="10"/>
    <s v="Credit Card"/>
  </r>
  <r>
    <s v="O016"/>
    <s v="2026-01-16"/>
    <x v="0"/>
    <s v="Asha"/>
    <s v="Headphones"/>
    <s v="Electronics"/>
    <n v="10"/>
    <n v="2000"/>
    <n v="5"/>
    <s v="UPI"/>
  </r>
  <r>
    <s v="O017"/>
    <s v="2026-01-17"/>
    <x v="1"/>
    <s v="Rahul"/>
    <s v="Phone"/>
    <s v="Electronics"/>
    <n v="3"/>
    <n v="20000"/>
    <n v="10"/>
    <s v="Cash"/>
  </r>
  <r>
    <s v="O018"/>
    <s v="2026-01-18"/>
    <x v="2"/>
    <s v="Neha"/>
    <s v="Laptop"/>
    <s v="Electronics"/>
    <n v="2"/>
    <n v="50000"/>
    <n v="0"/>
    <s v="Debit Card"/>
  </r>
  <r>
    <s v="O019"/>
    <s v="2026-01-19"/>
    <x v="3"/>
    <s v="Vikram"/>
    <s v="Keyboard"/>
    <s v="Electronics"/>
    <n v="7"/>
    <n v="1500"/>
    <n v="5"/>
    <s v="UPI"/>
  </r>
  <r>
    <s v="O020"/>
    <s v="2026-01-20"/>
    <x v="4"/>
    <s v="Priya"/>
    <s v="Phone"/>
    <s v="Electronics"/>
    <n v="1"/>
    <n v="20000"/>
    <n v="15"/>
    <s v="Credit Card"/>
  </r>
  <r>
    <s v="O021"/>
    <s v="2026-01-21"/>
    <x v="0"/>
    <s v="Asha"/>
    <s v="Laptop"/>
    <s v="Electronics"/>
    <n v="3"/>
    <n v="50000"/>
    <n v="10"/>
    <s v="UPI"/>
  </r>
  <r>
    <s v="O022"/>
    <s v="2026-01-22"/>
    <x v="1"/>
    <s v="Rahul"/>
    <s v="Tablet"/>
    <s v="Electronics"/>
    <n v="2"/>
    <n v="30000"/>
    <n v="5"/>
    <s v="Cash"/>
  </r>
  <r>
    <s v="O023"/>
    <s v="2026-01-23"/>
    <x v="2"/>
    <s v="Neha"/>
    <s v="Headphones"/>
    <s v="Electronics"/>
    <n v="4"/>
    <n v="2000"/>
    <n v="0"/>
    <s v="Debit Card"/>
  </r>
  <r>
    <s v="O024"/>
    <s v="2026-01-24"/>
    <x v="3"/>
    <s v="Vikram"/>
    <s v="Phone"/>
    <s v="Electronics"/>
    <n v="5"/>
    <n v="20000"/>
    <n v="10"/>
    <s v="UPI"/>
  </r>
  <r>
    <s v="O025"/>
    <s v="2026-01-25"/>
    <x v="4"/>
    <s v="Priya"/>
    <s v="Keyboard"/>
    <s v="Electronics"/>
    <n v="6"/>
    <n v="1500"/>
    <n v="5"/>
    <s v="Credit Card"/>
  </r>
  <r>
    <s v="O026"/>
    <s v="2026-01-26"/>
    <x v="0"/>
    <s v="Asha"/>
    <s v="Tablet"/>
    <s v="Electronics"/>
    <n v="2"/>
    <n v="30000"/>
    <n v="0"/>
    <s v="Cash"/>
  </r>
  <r>
    <s v="O027"/>
    <s v="2026-01-27"/>
    <x v="1"/>
    <s v="Rahul"/>
    <s v="Laptop"/>
    <s v="Electronics"/>
    <n v="1"/>
    <n v="50000"/>
    <n v="15"/>
    <s v="UPI"/>
  </r>
  <r>
    <s v="O028"/>
    <s v="2026-01-28"/>
    <x v="2"/>
    <s v="Neha"/>
    <s v="Phone"/>
    <s v="Electronics"/>
    <n v="3"/>
    <n v="20000"/>
    <n v="10"/>
    <s v="Debit Card"/>
  </r>
  <r>
    <s v="O029"/>
    <s v="2026-01-29"/>
    <x v="3"/>
    <s v="Vikram"/>
    <s v="Headphones"/>
    <s v="Electronics"/>
    <n v="9"/>
    <n v="2000"/>
    <n v="5"/>
    <s v="Cash"/>
  </r>
  <r>
    <s v="O030"/>
    <s v="2026-01-30"/>
    <x v="4"/>
    <s v="Priya"/>
    <s v="Laptop"/>
    <s v="Electronics"/>
    <n v="2"/>
    <n v="50000"/>
    <n v="0"/>
    <s v="Credit Card"/>
  </r>
  <r>
    <s v="O031"/>
    <s v="2026-01-31"/>
    <x v="0"/>
    <s v="Asha"/>
    <s v="Keyboard"/>
    <s v="Electronics"/>
    <n v="4"/>
    <n v="1500"/>
    <n v="10"/>
    <s v="UPI"/>
  </r>
  <r>
    <s v="O032"/>
    <s v="2026-02-01"/>
    <x v="1"/>
    <s v="Rahul"/>
    <s v="Tablet"/>
    <s v="Electronics"/>
    <n v="1"/>
    <n v="30000"/>
    <n v="5"/>
    <s v="Cash"/>
  </r>
  <r>
    <s v="O033"/>
    <s v="2026-02-02"/>
    <x v="2"/>
    <s v="Neha"/>
    <s v="Laptop"/>
    <s v="Electronics"/>
    <n v="3"/>
    <n v="50000"/>
    <n v="15"/>
    <s v="Debit Card"/>
  </r>
  <r>
    <s v="O034"/>
    <s v="2026-02-03"/>
    <x v="3"/>
    <s v="Vikram"/>
    <s v="Phone"/>
    <s v="Electronics"/>
    <n v="2"/>
    <n v="20000"/>
    <n v="10"/>
    <s v="UPI"/>
  </r>
  <r>
    <s v="O035"/>
    <s v="2026-02-04"/>
    <x v="4"/>
    <s v="Priya"/>
    <s v="Headphones"/>
    <s v="Electronics"/>
    <n v="5"/>
    <n v="2000"/>
    <n v="0"/>
    <s v="Credit Card"/>
  </r>
  <r>
    <s v="O036"/>
    <s v="2026-02-05"/>
    <x v="0"/>
    <s v="Asha"/>
    <s v="Phone"/>
    <s v="Electronics"/>
    <n v="6"/>
    <n v="20000"/>
    <n v="5"/>
    <s v="Cash"/>
  </r>
  <r>
    <s v="O037"/>
    <s v="2026-02-06"/>
    <x v="1"/>
    <s v="Rahul"/>
    <s v="Keyboard"/>
    <s v="Electronics"/>
    <n v="3"/>
    <n v="1500"/>
    <n v="10"/>
    <s v="UPI"/>
  </r>
  <r>
    <s v="O038"/>
    <s v="2026-02-07"/>
    <x v="2"/>
    <s v="Neha"/>
    <s v="Tablet"/>
    <s v="Electronics"/>
    <n v="2"/>
    <n v="30000"/>
    <n v="0"/>
    <s v="Debit Card"/>
  </r>
  <r>
    <s v="O039"/>
    <s v="2026-02-08"/>
    <x v="3"/>
    <s v="Vikram"/>
    <s v="Laptop"/>
    <s v="Electronics"/>
    <n v="1"/>
    <n v="50000"/>
    <n v="15"/>
    <s v="Cash"/>
  </r>
  <r>
    <s v="O040"/>
    <s v="2026-02-09"/>
    <x v="4"/>
    <s v="Priya"/>
    <s v="Phone"/>
    <s v="Electronics"/>
    <n v="4"/>
    <n v="20000"/>
    <n v="10"/>
    <s v="UPI"/>
  </r>
  <r>
    <s v="O041"/>
    <s v="2026-02-10"/>
    <x v="0"/>
    <s v="Asha"/>
    <s v="Headphones"/>
    <s v="Electronics"/>
    <n v="7"/>
    <n v="2000"/>
    <n v="5"/>
    <s v="Credit Card"/>
  </r>
  <r>
    <s v="O042"/>
    <s v="2026-02-11"/>
    <x v="1"/>
    <s v="Rahul"/>
    <s v="Laptop"/>
    <s v="Electronics"/>
    <n v="2"/>
    <n v="50000"/>
    <n v="0"/>
    <s v="Cash"/>
  </r>
  <r>
    <s v="O043"/>
    <s v="2026-02-12"/>
    <x v="2"/>
    <s v="Neha"/>
    <s v="Keyboard"/>
    <s v="Electronics"/>
    <n v="5"/>
    <n v="1500"/>
    <n v="10"/>
    <s v="UPI"/>
  </r>
  <r>
    <s v="O044"/>
    <s v="2026-02-13"/>
    <x v="3"/>
    <s v="Vikram"/>
    <s v="Tablet"/>
    <s v="Electronics"/>
    <n v="3"/>
    <n v="30000"/>
    <n v="5"/>
    <s v="Debit Card"/>
  </r>
  <r>
    <s v="O045"/>
    <s v="2026-02-14"/>
    <x v="4"/>
    <s v="Priya"/>
    <s v="Laptop"/>
    <s v="Electronics"/>
    <n v="1"/>
    <n v="50000"/>
    <n v="10"/>
    <s v="Credit Card"/>
  </r>
  <r>
    <s v="O046"/>
    <s v="2026-02-15"/>
    <x v="0"/>
    <s v="Asha"/>
    <s v="Phone"/>
    <s v="Electronics"/>
    <n v="2"/>
    <n v="20000"/>
    <n v="15"/>
    <s v="UPI"/>
  </r>
  <r>
    <s v="O047"/>
    <s v="2026-02-16"/>
    <x v="1"/>
    <s v="Rahul"/>
    <s v="Headphones"/>
    <s v="Electronics"/>
    <n v="8"/>
    <n v="2000"/>
    <n v="5"/>
    <s v="Cash"/>
  </r>
  <r>
    <s v="O048"/>
    <s v="2026-02-17"/>
    <x v="2"/>
    <s v="Neha"/>
    <s v="Laptop"/>
    <s v="Electronics"/>
    <n v="2"/>
    <n v="50000"/>
    <n v="0"/>
    <s v="Debit Card"/>
  </r>
  <r>
    <s v="O049"/>
    <s v="2026-02-18"/>
    <x v="3"/>
    <s v="Vikram"/>
    <s v="Keyboard"/>
    <s v="Electronics"/>
    <n v="6"/>
    <n v="1500"/>
    <n v="10"/>
    <s v="UPI"/>
  </r>
  <r>
    <s v="O050"/>
    <s v="2026-02-19"/>
    <x v="4"/>
    <s v="Priya"/>
    <s v="Tablet"/>
    <s v="Electronics"/>
    <n v="3"/>
    <n v="30000"/>
    <n v="5"/>
    <s v="Cash"/>
  </r>
  <r>
    <s v="O051"/>
    <s v="2026-02-20"/>
    <x v="0"/>
    <s v="Asha"/>
    <s v="Laptop"/>
    <s v="Electronics"/>
    <n v="1"/>
    <n v="50000"/>
    <n v="15"/>
    <s v="Credit Card"/>
  </r>
  <r>
    <s v="O052"/>
    <s v="2026-02-21"/>
    <x v="1"/>
    <s v="Rahul"/>
    <s v="Phone"/>
    <s v="Electronics"/>
    <n v="4"/>
    <n v="20000"/>
    <n v="10"/>
    <s v="UPI"/>
  </r>
  <r>
    <s v="O053"/>
    <s v="2026-02-22"/>
    <x v="2"/>
    <s v="Neha"/>
    <s v="Headphones"/>
    <s v="Electronics"/>
    <n v="5"/>
    <n v="2000"/>
    <n v="0"/>
    <s v="Cash"/>
  </r>
  <r>
    <s v="O054"/>
    <s v="2026-02-23"/>
    <x v="3"/>
    <s v="Vikram"/>
    <s v="Tablet"/>
    <s v="Electronics"/>
    <n v="2"/>
    <n v="30000"/>
    <n v="5"/>
    <s v="Debit Card"/>
  </r>
  <r>
    <s v="O055"/>
    <s v="2026-02-24"/>
    <x v="4"/>
    <s v="Priya"/>
    <s v="Keyboard"/>
    <s v="Electronics"/>
    <n v="7"/>
    <n v="1500"/>
    <n v="10"/>
    <s v="UPI"/>
  </r>
  <r>
    <s v="O056"/>
    <s v="2026-02-25"/>
    <x v="0"/>
    <s v="Asha"/>
    <s v="Phone"/>
    <s v="Electronics"/>
    <n v="3"/>
    <n v="20000"/>
    <n v="5"/>
    <s v="Credit Card"/>
  </r>
  <r>
    <s v="O057"/>
    <s v="2026-02-26"/>
    <x v="1"/>
    <s v="Rahul"/>
    <s v="Laptop"/>
    <s v="Electronics"/>
    <n v="2"/>
    <n v="50000"/>
    <n v="0"/>
    <s v="Cash"/>
  </r>
  <r>
    <s v="O058"/>
    <s v="2026-02-27"/>
    <x v="2"/>
    <s v="Neha"/>
    <s v="Tablet"/>
    <s v="Electronics"/>
    <n v="4"/>
    <n v="30000"/>
    <n v="15"/>
    <s v="UPI"/>
  </r>
  <r>
    <s v="O059"/>
    <s v="2026-02-28"/>
    <x v="3"/>
    <s v="Vikram"/>
    <s v="Headphones"/>
    <s v="Electronics"/>
    <n v="6"/>
    <n v="2000"/>
    <n v="10"/>
    <s v="Debit Card"/>
  </r>
  <r>
    <s v="O060"/>
    <s v="2026-03-01"/>
    <x v="4"/>
    <s v="Priya"/>
    <s v="Phone"/>
    <s v="Electronics"/>
    <n v="1"/>
    <n v="20000"/>
    <n v="5"/>
    <s v="Cash"/>
  </r>
  <r>
    <s v="O061"/>
    <s v="2026-03-02"/>
    <x v="0"/>
    <s v="Asha"/>
    <s v="Keyboard"/>
    <s v="Electronics"/>
    <n v="5"/>
    <n v="1500"/>
    <n v="0"/>
    <s v="UPI"/>
  </r>
  <r>
    <s v="O062"/>
    <s v="2026-03-03"/>
    <x v="1"/>
    <s v="Rahul"/>
    <s v="Tablet"/>
    <s v="Electronics"/>
    <n v="2"/>
    <n v="30000"/>
    <n v="10"/>
    <s v="Credit Card"/>
  </r>
  <r>
    <s v="O063"/>
    <s v="2026-03-04"/>
    <x v="2"/>
    <s v="Neha"/>
    <s v="Phone"/>
    <s v="Electronics"/>
    <n v="3"/>
    <n v="20000"/>
    <n v="5"/>
    <s v="Cash"/>
  </r>
  <r>
    <s v="O064"/>
    <s v="2026-03-05"/>
    <x v="3"/>
    <s v="Vikram"/>
    <s v="Laptop"/>
    <s v="Electronics"/>
    <n v="1"/>
    <n v="50000"/>
    <n v="15"/>
    <s v="UPI"/>
  </r>
  <r>
    <s v="O065"/>
    <s v="2026-03-06"/>
    <x v="4"/>
    <s v="Priya"/>
    <s v="Headphones"/>
    <s v="Electronics"/>
    <n v="9"/>
    <n v="2000"/>
    <n v="10"/>
    <s v="Debit Card"/>
  </r>
  <r>
    <s v="O066"/>
    <s v="2026-03-07"/>
    <x v="0"/>
    <s v="Asha"/>
    <s v="Tablet"/>
    <s v="Electronics"/>
    <n v="2"/>
    <n v="30000"/>
    <n v="0"/>
    <s v="Cash"/>
  </r>
  <r>
    <s v="O067"/>
    <s v="2026-03-08"/>
    <x v="1"/>
    <s v="Rahul"/>
    <s v="Keyboard"/>
    <s v="Electronics"/>
    <n v="6"/>
    <n v="1500"/>
    <n v="5"/>
    <s v="UPI"/>
  </r>
  <r>
    <s v="O068"/>
    <s v="2026-03-09"/>
    <x v="2"/>
    <s v="Neha"/>
    <s v="Laptop"/>
    <s v="Electronics"/>
    <n v="3"/>
    <n v="50000"/>
    <n v="10"/>
    <s v="Credit Card"/>
  </r>
  <r>
    <s v="O069"/>
    <s v="2026-03-10"/>
    <x v="3"/>
    <s v="Vikram"/>
    <s v="Phone"/>
    <s v="Electronics"/>
    <n v="4"/>
    <n v="20000"/>
    <n v="0"/>
    <s v="Cash"/>
  </r>
  <r>
    <s v="O070"/>
    <s v="2026-03-11"/>
    <x v="4"/>
    <s v="Priya"/>
    <s v="Tablet"/>
    <s v="Electronics"/>
    <n v="2"/>
    <n v="30000"/>
    <n v="15"/>
    <s v="UPI"/>
  </r>
  <r>
    <s v="O071"/>
    <s v="2026-03-12"/>
    <x v="0"/>
    <s v="Asha"/>
    <s v="Laptop"/>
    <s v="Electronics"/>
    <n v="1"/>
    <n v="50000"/>
    <n v="5"/>
    <s v="Credit Card"/>
  </r>
  <r>
    <s v="O072"/>
    <s v="2026-03-13"/>
    <x v="1"/>
    <s v="Rahul"/>
    <s v="Headphones"/>
    <s v="Electronics"/>
    <n v="7"/>
    <n v="2000"/>
    <n v="10"/>
    <s v="Cash"/>
  </r>
  <r>
    <s v="O073"/>
    <s v="2026-03-14"/>
    <x v="2"/>
    <s v="Neha"/>
    <s v="Keyboard"/>
    <s v="Electronics"/>
    <n v="5"/>
    <n v="1500"/>
    <n v="0"/>
    <s v="UPI"/>
  </r>
  <r>
    <s v="O074"/>
    <s v="2026-03-15"/>
    <x v="3"/>
    <s v="Vikram"/>
    <s v="Tablet"/>
    <s v="Electronics"/>
    <n v="2"/>
    <n v="30000"/>
    <n v="5"/>
    <s v="Debit Card"/>
  </r>
  <r>
    <s v="O075"/>
    <s v="2026-03-16"/>
    <x v="4"/>
    <s v="Priya"/>
    <s v="Laptop"/>
    <s v="Electronics"/>
    <n v="3"/>
    <n v="50000"/>
    <n v="10"/>
    <s v="Cash"/>
  </r>
  <r>
    <s v="O076"/>
    <s v="2026-03-17"/>
    <x v="0"/>
    <s v="Asha"/>
    <s v="Phone"/>
    <s v="Electronics"/>
    <n v="2"/>
    <n v="20000"/>
    <n v="0"/>
    <s v="UPI"/>
  </r>
  <r>
    <s v="O077"/>
    <s v="2026-03-18"/>
    <x v="1"/>
    <s v="Rahul"/>
    <s v="Tablet"/>
    <s v="Electronics"/>
    <n v="4"/>
    <n v="30000"/>
    <n v="15"/>
    <s v="Credit Card"/>
  </r>
  <r>
    <s v="O078"/>
    <s v="2026-03-19"/>
    <x v="2"/>
    <s v="Neha"/>
    <s v="Laptop"/>
    <s v="Electronics"/>
    <n v="1"/>
    <n v="50000"/>
    <n v="5"/>
    <s v="Cash"/>
  </r>
  <r>
    <s v="O079"/>
    <s v="2026-03-20"/>
    <x v="3"/>
    <s v="Vikram"/>
    <s v="Headphones"/>
    <s v="Electronics"/>
    <n v="8"/>
    <n v="2000"/>
    <n v="10"/>
    <s v="UPI"/>
  </r>
  <r>
    <s v="O080"/>
    <s v="2026-03-21"/>
    <x v="4"/>
    <s v="Priya"/>
    <s v="Keyboard"/>
    <s v="Electronics"/>
    <n v="6"/>
    <n v="1500"/>
    <n v="0"/>
    <s v="Cash"/>
  </r>
  <r>
    <s v="O081"/>
    <s v="2026-03-22"/>
    <x v="0"/>
    <s v="Asha"/>
    <s v="Tablet"/>
    <s v="Electronics"/>
    <n v="3"/>
    <n v="30000"/>
    <n v="15"/>
    <s v="Credit Card"/>
  </r>
  <r>
    <s v="O082"/>
    <s v="2026-03-23"/>
    <x v="1"/>
    <s v="Rahul"/>
    <s v="Phone"/>
    <s v="Electronics"/>
    <n v="2"/>
    <n v="20000"/>
    <n v="10"/>
    <s v="UPI"/>
  </r>
  <r>
    <s v="O083"/>
    <s v="2026-03-24"/>
    <x v="2"/>
    <s v="Neha"/>
    <s v="Laptop"/>
    <s v="Electronics"/>
    <n v="4"/>
    <n v="50000"/>
    <n v="0"/>
    <s v="Cash"/>
  </r>
  <r>
    <s v="O084"/>
    <s v="2026-03-25"/>
    <x v="3"/>
    <s v="Vikram"/>
    <s v="Keyboard"/>
    <s v="Electronics"/>
    <n v="5"/>
    <n v="1500"/>
    <n v="5"/>
    <s v="Debit Card"/>
  </r>
  <r>
    <s v="O085"/>
    <s v="2026-03-26"/>
    <x v="4"/>
    <s v="Priya"/>
    <s v="Phone"/>
    <s v="Electronics"/>
    <n v="3"/>
    <n v="20000"/>
    <n v="10"/>
    <s v="UPI"/>
  </r>
  <r>
    <s v="O086"/>
    <s v="2026-03-27"/>
    <x v="0"/>
    <s v="Asha"/>
    <s v="Headphones"/>
    <s v="Electronics"/>
    <n v="6"/>
    <n v="2000"/>
    <n v="0"/>
    <s v="Cash"/>
  </r>
  <r>
    <s v="O087"/>
    <s v="2026-03-28"/>
    <x v="1"/>
    <s v="Rahul"/>
    <s v="Tablet"/>
    <s v="Electronics"/>
    <n v="1"/>
    <n v="30000"/>
    <n v="15"/>
    <s v="Credit Card"/>
  </r>
  <r>
    <s v="O088"/>
    <s v="2026-03-29"/>
    <x v="2"/>
    <s v="Neha"/>
    <s v="Phone"/>
    <s v="Electronics"/>
    <n v="2"/>
    <n v="20000"/>
    <n v="5"/>
    <s v="UPI"/>
  </r>
  <r>
    <s v="O089"/>
    <s v="2026-03-30"/>
    <x v="3"/>
    <s v="Vikram"/>
    <s v="Laptop"/>
    <s v="Electronics"/>
    <n v="3"/>
    <n v="50000"/>
    <n v="10"/>
    <s v="Cash"/>
  </r>
  <r>
    <s v="O090"/>
    <s v="2026-03-31"/>
    <x v="4"/>
    <s v="Priya"/>
    <s v="Keyboard"/>
    <s v="Electronics"/>
    <n v="4"/>
    <n v="1500"/>
    <n v="0"/>
    <s v="Debit Card"/>
  </r>
  <r>
    <s v="O091"/>
    <s v="2026-04-01"/>
    <x v="0"/>
    <s v="Asha"/>
    <s v="Tablet"/>
    <s v="Electronics"/>
    <n v="2"/>
    <n v="30000"/>
    <n v="5"/>
    <s v="UPI"/>
  </r>
  <r>
    <s v="O092"/>
    <s v="2026-04-02"/>
    <x v="1"/>
    <s v="Rahul"/>
    <s v="Headphones"/>
    <s v="Electronics"/>
    <n v="7"/>
    <n v="2000"/>
    <n v="10"/>
    <s v="Cash"/>
  </r>
  <r>
    <s v="O093"/>
    <s v="2026-04-03"/>
    <x v="2"/>
    <s v="Neha"/>
    <s v="Laptop"/>
    <s v="Electronics"/>
    <n v="1"/>
    <n v="50000"/>
    <n v="15"/>
    <s v="Credit Card"/>
  </r>
  <r>
    <s v="O094"/>
    <s v="2026-04-04"/>
    <x v="3"/>
    <s v="Vikram"/>
    <s v="Phone"/>
    <s v="Electronics"/>
    <n v="5"/>
    <n v="20000"/>
    <n v="0"/>
    <s v="UPI"/>
  </r>
  <r>
    <s v="O095"/>
    <s v="2026-04-05"/>
    <x v="4"/>
    <s v="Priya"/>
    <s v="Tablet"/>
    <s v="Electronics"/>
    <n v="3"/>
    <n v="30000"/>
    <n v="10"/>
    <s v="Cash"/>
  </r>
  <r>
    <s v="O096"/>
    <s v="2026-04-06"/>
    <x v="0"/>
    <s v="Asha"/>
    <s v="Keyboard"/>
    <s v="Electronics"/>
    <n v="6"/>
    <n v="1500"/>
    <n v="5"/>
    <s v="Credit Card"/>
  </r>
  <r>
    <s v="O097"/>
    <s v="2026-04-07"/>
    <x v="1"/>
    <s v="Rahul"/>
    <s v="Laptop"/>
    <s v="Electronics"/>
    <n v="2"/>
    <n v="50000"/>
    <n v="0"/>
    <s v="UPI"/>
  </r>
  <r>
    <s v="O098"/>
    <s v="2026-04-08"/>
    <x v="2"/>
    <s v="Neha"/>
    <s v="Headphones"/>
    <s v="Electronics"/>
    <n v="4"/>
    <n v="2000"/>
    <n v="15"/>
    <s v="Cash"/>
  </r>
  <r>
    <s v="O099"/>
    <s v="2026-04-09"/>
    <x v="3"/>
    <s v="Vikram"/>
    <s v="Tablet"/>
    <s v="Electronics"/>
    <n v="1"/>
    <n v="30000"/>
    <n v="10"/>
    <s v="Debit Card"/>
  </r>
  <r>
    <s v="O100"/>
    <s v="2026-04-10"/>
    <x v="4"/>
    <s v="Priya"/>
    <s v="Phone"/>
    <s v="Electronics"/>
    <n v="2"/>
    <n v="20000"/>
    <n v="5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680A6-5392-436F-9CDF-4B3498DF893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30" firstHeaderRow="0" firstDataRow="1" firstDataCol="1"/>
  <pivotFields count="10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6" baseField="0" baseItem="0"/>
    <dataField name="Sum of Unit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96E35-E960-43D7-AFE0-3F471FA484DC}" name="Table1" displayName="Table1" ref="A1:J101" totalsRowShown="0" headerRowDxfId="6" headerRowBorderDxfId="5" tableBorderDxfId="4">
  <autoFilter ref="A1:J101" xr:uid="{6AF96E35-E960-43D7-AFE0-3F471FA484DC}"/>
  <tableColumns count="10">
    <tableColumn id="1" xr3:uid="{77681FEA-D1FF-4C79-B2F0-30FD743BC21B}" name="OrderID"/>
    <tableColumn id="2" xr3:uid="{C4FF7A79-1F7E-43D6-A9C7-77FBCE1B2E08}" name="Date"/>
    <tableColumn id="3" xr3:uid="{F611200A-AA2A-4BBF-81F6-E649C0E290A4}" name="Region"/>
    <tableColumn id="4" xr3:uid="{BC49ADA5-8FE2-4F77-A7D2-D07E474A74EF}" name="SalesPerson"/>
    <tableColumn id="5" xr3:uid="{C8E81238-808F-4A28-9425-26980F8A476C}" name="Product"/>
    <tableColumn id="6" xr3:uid="{B811F186-E430-4876-B380-3882251B4826}" name="Category"/>
    <tableColumn id="7" xr3:uid="{5544F697-7692-4A7F-917B-3D1698572AFE}" name="Units"/>
    <tableColumn id="8" xr3:uid="{9E5053F3-8394-4D23-A4F4-B9D71138BD51}" name="UnitPrice"/>
    <tableColumn id="9" xr3:uid="{BA23AD71-A88B-4EE9-B990-011EBAE45089}" name="Discount%"/>
    <tableColumn id="10" xr3:uid="{2FCB5262-40B2-4BAA-8E88-B6B5455274FE}" name="PaymentMod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workbookViewId="0">
      <selection activeCell="O5" sqref="O5"/>
    </sheetView>
  </sheetViews>
  <sheetFormatPr defaultRowHeight="14.4" x14ac:dyDescent="0.3"/>
  <cols>
    <col min="1" max="1" width="14" bestFit="1" customWidth="1"/>
    <col min="2" max="2" width="10.5546875" bestFit="1" customWidth="1"/>
    <col min="3" max="3" width="12.77734375" bestFit="1" customWidth="1"/>
    <col min="4" max="4" width="18.21875" bestFit="1" customWidth="1"/>
    <col min="5" max="5" width="13.6640625" bestFit="1" customWidth="1"/>
    <col min="6" max="6" width="14.88671875" bestFit="1" customWidth="1"/>
    <col min="7" max="7" width="11" bestFit="1" customWidth="1"/>
    <col min="8" max="8" width="15.33203125" bestFit="1" customWidth="1"/>
    <col min="9" max="9" width="16.6640625" bestFit="1" customWidth="1"/>
    <col min="10" max="10" width="21.21875" bestFit="1" customWidth="1"/>
    <col min="12" max="12" width="12" bestFit="1" customWidth="1"/>
    <col min="13" max="13" width="19.77734375" bestFit="1" customWidth="1"/>
    <col min="14" max="14" width="26.109375" bestFit="1" customWidth="1"/>
    <col min="16" max="16" width="16.33203125" bestFit="1" customWidth="1"/>
  </cols>
  <sheetData>
    <row r="1" spans="1:16" s="2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8" t="s">
        <v>252</v>
      </c>
      <c r="M1" s="7" t="s">
        <v>256</v>
      </c>
      <c r="N1" s="8" t="s">
        <v>257</v>
      </c>
      <c r="O1" s="8" t="s">
        <v>259</v>
      </c>
      <c r="P1" s="8" t="s">
        <v>261</v>
      </c>
    </row>
    <row r="2" spans="1:1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50000</v>
      </c>
      <c r="I2">
        <v>10</v>
      </c>
      <c r="J2" t="s">
        <v>16</v>
      </c>
      <c r="L2">
        <f>Table1[[#This Row],[Units]]*Table1[[#This Row],[UnitPrice]]*(1-Table1[[#This Row],[Discount%]]/100)</f>
        <v>90000</v>
      </c>
      <c r="M2" t="str">
        <f>IF(L2&gt;50000,"High Value Order","")</f>
        <v>High Value Order</v>
      </c>
      <c r="N2" s="9" t="str" cm="1">
        <f t="array" ref="N2">_xlfn.IFS(Table1[[#This Row],[Discount%]]&gt;10,"High Discount",Table1[[#This Row],[Discount%]]&gt;5,"Medium Discount",Table1[[#This Row],[Discount%]]&lt;=5,"Low Discount")</f>
        <v>Medium Discount</v>
      </c>
      <c r="O2" t="str">
        <f>TEXT(Table1[[#This Row],[Date]],"mmm")</f>
        <v>Jan</v>
      </c>
      <c r="P2" t="str">
        <f>Table1[[#This Row],[OrderID]]&amp;" "&amp;Table1[[#This Row],[SalesPerson]]</f>
        <v>O001 Asha</v>
      </c>
    </row>
    <row r="3" spans="1:1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3</v>
      </c>
      <c r="H3">
        <v>20000</v>
      </c>
      <c r="I3">
        <v>5</v>
      </c>
      <c r="J3" t="s">
        <v>22</v>
      </c>
      <c r="L3">
        <f>Table1[[#This Row],[Units]]*Table1[[#This Row],[UnitPrice]]*(1-Table1[[#This Row],[Discount%]]/100)</f>
        <v>57000</v>
      </c>
      <c r="M3" t="str">
        <f t="shared" ref="M3:M66" si="0">IF(L3&gt;50000,"High Value Order","")</f>
        <v>High Value Order</v>
      </c>
      <c r="N3" s="9" t="str" cm="1">
        <f t="array" ref="N3">_xlfn.IFS(Table1[[#This Row],[Discount%]]&gt;10,"High Discount",Table1[[#This Row],[Discount%]]&gt;5,"Medium Discount",Table1[[#This Row],[Discount%]]&lt;=5,"Low Discount")</f>
        <v>Low Discount</v>
      </c>
      <c r="O3" t="str">
        <f>TEXT(Table1[[#This Row],[Date]],"mmm")</f>
        <v>Jan</v>
      </c>
      <c r="P3" t="str">
        <f>Table1[[#This Row],[OrderID]]&amp;" "&amp;Table1[[#This Row],[SalesPerson]]</f>
        <v>O002 Rahul</v>
      </c>
    </row>
    <row r="4" spans="1:16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>
        <v>1</v>
      </c>
      <c r="H4">
        <v>30000</v>
      </c>
      <c r="I4">
        <v>0</v>
      </c>
      <c r="J4" t="s">
        <v>28</v>
      </c>
      <c r="L4">
        <f>Table1[[#This Row],[Units]]*Table1[[#This Row],[UnitPrice]]*(1-Table1[[#This Row],[Discount%]]/100)</f>
        <v>30000</v>
      </c>
      <c r="M4" t="str">
        <f t="shared" si="0"/>
        <v/>
      </c>
      <c r="N4" s="9" t="str" cm="1">
        <f t="array" ref="N4">_xlfn.IFS(Table1[[#This Row],[Discount%]]&gt;10,"High Discount",Table1[[#This Row],[Discount%]]&gt;5,"Medium Discount",Table1[[#This Row],[Discount%]]&lt;=5,"Low Discount")</f>
        <v>Low Discount</v>
      </c>
      <c r="O4" t="str">
        <f>TEXT(Table1[[#This Row],[Date]],"mmm")</f>
        <v>Jan</v>
      </c>
      <c r="P4" t="str">
        <f>Table1[[#This Row],[OrderID]]&amp;" "&amp;Table1[[#This Row],[SalesPerson]]</f>
        <v>O003 Neha</v>
      </c>
    </row>
    <row r="5" spans="1:16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15</v>
      </c>
      <c r="G5">
        <v>5</v>
      </c>
      <c r="H5">
        <v>2000</v>
      </c>
      <c r="I5">
        <v>15</v>
      </c>
      <c r="J5" t="s">
        <v>34</v>
      </c>
      <c r="L5">
        <f>Table1[[#This Row],[Units]]*Table1[[#This Row],[UnitPrice]]*(1-Table1[[#This Row],[Discount%]]/100)</f>
        <v>8500</v>
      </c>
      <c r="M5" t="str">
        <f t="shared" si="0"/>
        <v/>
      </c>
      <c r="N5" s="9" t="str" cm="1">
        <f t="array" ref="N5">_xlfn.IFS(Table1[[#This Row],[Discount%]]&gt;10,"High Discount",Table1[[#This Row],[Discount%]]&gt;5,"Medium Discount",Table1[[#This Row],[Discount%]]&lt;=5,"Low Discount")</f>
        <v>High Discount</v>
      </c>
      <c r="O5" t="str">
        <f>TEXT(Table1[[#This Row],[Date]],"mmm")</f>
        <v>Jan</v>
      </c>
      <c r="P5" t="str">
        <f>Table1[[#This Row],[OrderID]]&amp;" "&amp;Table1[[#This Row],[SalesPerson]]</f>
        <v>O004 Vikram</v>
      </c>
    </row>
    <row r="6" spans="1:16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15</v>
      </c>
      <c r="G6">
        <v>4</v>
      </c>
      <c r="H6">
        <v>1500</v>
      </c>
      <c r="I6">
        <v>10</v>
      </c>
      <c r="J6" t="s">
        <v>22</v>
      </c>
      <c r="L6">
        <f>Table1[[#This Row],[Units]]*Table1[[#This Row],[UnitPrice]]*(1-Table1[[#This Row],[Discount%]]/100)</f>
        <v>5400</v>
      </c>
      <c r="M6" t="str">
        <f t="shared" si="0"/>
        <v/>
      </c>
      <c r="N6" s="9" t="str" cm="1">
        <f t="array" ref="N6">_xlfn.IFS(Table1[[#This Row],[Discount%]]&gt;10,"High Discount",Table1[[#This Row],[Discount%]]&gt;5,"Medium Discount",Table1[[#This Row],[Discount%]]&lt;=5,"Low Discount")</f>
        <v>Medium Discount</v>
      </c>
      <c r="O6" t="str">
        <f>TEXT(Table1[[#This Row],[Date]],"mmm")</f>
        <v>Jan</v>
      </c>
      <c r="P6" t="str">
        <f>Table1[[#This Row],[OrderID]]&amp;" "&amp;Table1[[#This Row],[SalesPerson]]</f>
        <v>O005 Priya</v>
      </c>
    </row>
    <row r="7" spans="1:16" x14ac:dyDescent="0.3">
      <c r="A7" t="s">
        <v>40</v>
      </c>
      <c r="B7" t="s">
        <v>41</v>
      </c>
      <c r="C7" t="s">
        <v>12</v>
      </c>
      <c r="D7" t="s">
        <v>13</v>
      </c>
      <c r="E7" t="s">
        <v>21</v>
      </c>
      <c r="F7" t="s">
        <v>15</v>
      </c>
      <c r="G7">
        <v>2</v>
      </c>
      <c r="H7">
        <v>20000</v>
      </c>
      <c r="I7">
        <v>5</v>
      </c>
      <c r="J7" t="s">
        <v>16</v>
      </c>
      <c r="L7">
        <f>Table1[[#This Row],[Units]]*Table1[[#This Row],[UnitPrice]]*(1-Table1[[#This Row],[Discount%]]/100)</f>
        <v>38000</v>
      </c>
      <c r="M7" t="str">
        <f t="shared" si="0"/>
        <v/>
      </c>
      <c r="N7" s="9" t="str" cm="1">
        <f t="array" ref="N7">_xlfn.IFS(Table1[[#This Row],[Discount%]]&gt;10,"High Discount",Table1[[#This Row],[Discount%]]&gt;5,"Medium Discount",Table1[[#This Row],[Discount%]]&lt;=5,"Low Discount")</f>
        <v>Low Discount</v>
      </c>
      <c r="O7" t="str">
        <f>TEXT(Table1[[#This Row],[Date]],"mmm")</f>
        <v>Jan</v>
      </c>
      <c r="P7" t="str">
        <f>Table1[[#This Row],[OrderID]]&amp;" "&amp;Table1[[#This Row],[SalesPerson]]</f>
        <v>O006 Asha</v>
      </c>
    </row>
    <row r="8" spans="1:16" x14ac:dyDescent="0.3">
      <c r="A8" t="s">
        <v>42</v>
      </c>
      <c r="B8" t="s">
        <v>43</v>
      </c>
      <c r="C8" t="s">
        <v>19</v>
      </c>
      <c r="D8" t="s">
        <v>20</v>
      </c>
      <c r="E8" t="s">
        <v>14</v>
      </c>
      <c r="F8" t="s">
        <v>15</v>
      </c>
      <c r="G8">
        <v>1</v>
      </c>
      <c r="H8">
        <v>50000</v>
      </c>
      <c r="I8">
        <v>0</v>
      </c>
      <c r="J8" t="s">
        <v>22</v>
      </c>
      <c r="L8">
        <f>Table1[[#This Row],[Units]]*Table1[[#This Row],[UnitPrice]]*(1-Table1[[#This Row],[Discount%]]/100)</f>
        <v>50000</v>
      </c>
      <c r="M8" t="str">
        <f t="shared" si="0"/>
        <v/>
      </c>
      <c r="N8" s="9" t="str" cm="1">
        <f t="array" ref="N8">_xlfn.IFS(Table1[[#This Row],[Discount%]]&gt;10,"High Discount",Table1[[#This Row],[Discount%]]&gt;5,"Medium Discount",Table1[[#This Row],[Discount%]]&lt;=5,"Low Discount")</f>
        <v>Low Discount</v>
      </c>
      <c r="O8" t="str">
        <f>TEXT(Table1[[#This Row],[Date]],"mmm")</f>
        <v>Jan</v>
      </c>
      <c r="P8" t="str">
        <f>Table1[[#This Row],[OrderID]]&amp;" "&amp;Table1[[#This Row],[SalesPerson]]</f>
        <v>O007 Rahul</v>
      </c>
    </row>
    <row r="9" spans="1:16" x14ac:dyDescent="0.3">
      <c r="A9" t="s">
        <v>44</v>
      </c>
      <c r="B9" t="s">
        <v>45</v>
      </c>
      <c r="C9" t="s">
        <v>25</v>
      </c>
      <c r="D9" t="s">
        <v>26</v>
      </c>
      <c r="E9" t="s">
        <v>39</v>
      </c>
      <c r="F9" t="s">
        <v>15</v>
      </c>
      <c r="G9">
        <v>6</v>
      </c>
      <c r="H9">
        <v>1500</v>
      </c>
      <c r="I9">
        <v>10</v>
      </c>
      <c r="J9" t="s">
        <v>28</v>
      </c>
      <c r="L9">
        <f>Table1[[#This Row],[Units]]*Table1[[#This Row],[UnitPrice]]*(1-Table1[[#This Row],[Discount%]]/100)</f>
        <v>8100</v>
      </c>
      <c r="M9" t="str">
        <f t="shared" si="0"/>
        <v/>
      </c>
      <c r="N9" s="9" t="str" cm="1">
        <f t="array" ref="N9">_xlfn.IFS(Table1[[#This Row],[Discount%]]&gt;10,"High Discount",Table1[[#This Row],[Discount%]]&gt;5,"Medium Discount",Table1[[#This Row],[Discount%]]&lt;=5,"Low Discount")</f>
        <v>Medium Discount</v>
      </c>
      <c r="O9" t="str">
        <f>TEXT(Table1[[#This Row],[Date]],"mmm")</f>
        <v>Jan</v>
      </c>
      <c r="P9" t="str">
        <f>Table1[[#This Row],[OrderID]]&amp;" "&amp;Table1[[#This Row],[SalesPerson]]</f>
        <v>O008 Neha</v>
      </c>
    </row>
    <row r="10" spans="1:16" x14ac:dyDescent="0.3">
      <c r="A10" t="s">
        <v>46</v>
      </c>
      <c r="B10" t="s">
        <v>47</v>
      </c>
      <c r="C10" t="s">
        <v>31</v>
      </c>
      <c r="D10" t="s">
        <v>32</v>
      </c>
      <c r="E10" t="s">
        <v>27</v>
      </c>
      <c r="F10" t="s">
        <v>15</v>
      </c>
      <c r="G10">
        <v>2</v>
      </c>
      <c r="H10">
        <v>30000</v>
      </c>
      <c r="I10">
        <v>5</v>
      </c>
      <c r="J10" t="s">
        <v>34</v>
      </c>
      <c r="L10">
        <f>Table1[[#This Row],[Units]]*Table1[[#This Row],[UnitPrice]]*(1-Table1[[#This Row],[Discount%]]/100)</f>
        <v>57000</v>
      </c>
      <c r="M10" t="str">
        <f t="shared" si="0"/>
        <v>High Value Order</v>
      </c>
      <c r="N10" s="9" t="str" cm="1">
        <f t="array" ref="N10">_xlfn.IFS(Table1[[#This Row],[Discount%]]&gt;10,"High Discount",Table1[[#This Row],[Discount%]]&gt;5,"Medium Discount",Table1[[#This Row],[Discount%]]&lt;=5,"Low Discount")</f>
        <v>Low Discount</v>
      </c>
      <c r="O10" t="str">
        <f>TEXT(Table1[[#This Row],[Date]],"mmm")</f>
        <v>Jan</v>
      </c>
      <c r="P10" t="str">
        <f>Table1[[#This Row],[OrderID]]&amp;" "&amp;Table1[[#This Row],[SalesPerson]]</f>
        <v>O009 Vikram</v>
      </c>
    </row>
    <row r="11" spans="1:16" x14ac:dyDescent="0.3">
      <c r="A11" t="s">
        <v>48</v>
      </c>
      <c r="B11" t="s">
        <v>49</v>
      </c>
      <c r="C11" t="s">
        <v>37</v>
      </c>
      <c r="D11" t="s">
        <v>38</v>
      </c>
      <c r="E11" t="s">
        <v>33</v>
      </c>
      <c r="F11" t="s">
        <v>15</v>
      </c>
      <c r="G11">
        <v>8</v>
      </c>
      <c r="H11">
        <v>2000</v>
      </c>
      <c r="I11">
        <v>15</v>
      </c>
      <c r="J11" t="s">
        <v>22</v>
      </c>
      <c r="L11">
        <f>Table1[[#This Row],[Units]]*Table1[[#This Row],[UnitPrice]]*(1-Table1[[#This Row],[Discount%]]/100)</f>
        <v>13600</v>
      </c>
      <c r="M11" t="str">
        <f t="shared" si="0"/>
        <v/>
      </c>
      <c r="N11" s="9" t="str" cm="1">
        <f t="array" ref="N11">_xlfn.IFS(Table1[[#This Row],[Discount%]]&gt;10,"High Discount",Table1[[#This Row],[Discount%]]&gt;5,"Medium Discount",Table1[[#This Row],[Discount%]]&lt;=5,"Low Discount")</f>
        <v>High Discount</v>
      </c>
      <c r="O11" t="str">
        <f>TEXT(Table1[[#This Row],[Date]],"mmm")</f>
        <v>Jan</v>
      </c>
      <c r="P11" t="str">
        <f>Table1[[#This Row],[OrderID]]&amp;" "&amp;Table1[[#This Row],[SalesPerson]]</f>
        <v>O010 Priya</v>
      </c>
    </row>
    <row r="12" spans="1:16" x14ac:dyDescent="0.3">
      <c r="A12" t="s">
        <v>50</v>
      </c>
      <c r="B12" t="s">
        <v>51</v>
      </c>
      <c r="C12" t="s">
        <v>12</v>
      </c>
      <c r="D12" t="s">
        <v>13</v>
      </c>
      <c r="E12" t="s">
        <v>27</v>
      </c>
      <c r="F12" t="s">
        <v>15</v>
      </c>
      <c r="G12">
        <v>3</v>
      </c>
      <c r="H12">
        <v>30000</v>
      </c>
      <c r="I12">
        <v>10</v>
      </c>
      <c r="J12" t="s">
        <v>16</v>
      </c>
      <c r="L12">
        <f>Table1[[#This Row],[Units]]*Table1[[#This Row],[UnitPrice]]*(1-Table1[[#This Row],[Discount%]]/100)</f>
        <v>81000</v>
      </c>
      <c r="M12" t="str">
        <f t="shared" si="0"/>
        <v>High Value Order</v>
      </c>
      <c r="N12" s="9" t="str" cm="1">
        <f t="array" ref="N12">_xlfn.IFS(Table1[[#This Row],[Discount%]]&gt;10,"High Discount",Table1[[#This Row],[Discount%]]&gt;5,"Medium Discount",Table1[[#This Row],[Discount%]]&lt;=5,"Low Discount")</f>
        <v>Medium Discount</v>
      </c>
      <c r="O12" t="str">
        <f>TEXT(Table1[[#This Row],[Date]],"mmm")</f>
        <v>Jan</v>
      </c>
      <c r="P12" t="str">
        <f>Table1[[#This Row],[OrderID]]&amp;" "&amp;Table1[[#This Row],[SalesPerson]]</f>
        <v>O011 Asha</v>
      </c>
    </row>
    <row r="13" spans="1:16" x14ac:dyDescent="0.3">
      <c r="A13" t="s">
        <v>52</v>
      </c>
      <c r="B13" t="s">
        <v>53</v>
      </c>
      <c r="C13" t="s">
        <v>19</v>
      </c>
      <c r="D13" t="s">
        <v>20</v>
      </c>
      <c r="E13" t="s">
        <v>39</v>
      </c>
      <c r="F13" t="s">
        <v>15</v>
      </c>
      <c r="G13">
        <v>5</v>
      </c>
      <c r="H13">
        <v>1500</v>
      </c>
      <c r="I13">
        <v>0</v>
      </c>
      <c r="J13" t="s">
        <v>28</v>
      </c>
      <c r="L13">
        <f>Table1[[#This Row],[Units]]*Table1[[#This Row],[UnitPrice]]*(1-Table1[[#This Row],[Discount%]]/100)</f>
        <v>7500</v>
      </c>
      <c r="M13" t="str">
        <f t="shared" si="0"/>
        <v/>
      </c>
      <c r="N13" s="9" t="str" cm="1">
        <f t="array" ref="N13">_xlfn.IFS(Table1[[#This Row],[Discount%]]&gt;10,"High Discount",Table1[[#This Row],[Discount%]]&gt;5,"Medium Discount",Table1[[#This Row],[Discount%]]&lt;=5,"Low Discount")</f>
        <v>Low Discount</v>
      </c>
      <c r="O13" t="str">
        <f>TEXT(Table1[[#This Row],[Date]],"mmm")</f>
        <v>Jan</v>
      </c>
      <c r="P13" t="str">
        <f>Table1[[#This Row],[OrderID]]&amp;" "&amp;Table1[[#This Row],[SalesPerson]]</f>
        <v>O012 Rahul</v>
      </c>
    </row>
    <row r="14" spans="1:16" x14ac:dyDescent="0.3">
      <c r="A14" t="s">
        <v>54</v>
      </c>
      <c r="B14" t="s">
        <v>55</v>
      </c>
      <c r="C14" t="s">
        <v>25</v>
      </c>
      <c r="D14" t="s">
        <v>26</v>
      </c>
      <c r="E14" t="s">
        <v>21</v>
      </c>
      <c r="F14" t="s">
        <v>15</v>
      </c>
      <c r="G14">
        <v>2</v>
      </c>
      <c r="H14">
        <v>20000</v>
      </c>
      <c r="I14">
        <v>5</v>
      </c>
      <c r="J14" t="s">
        <v>22</v>
      </c>
      <c r="L14">
        <f>Table1[[#This Row],[Units]]*Table1[[#This Row],[UnitPrice]]*(1-Table1[[#This Row],[Discount%]]/100)</f>
        <v>38000</v>
      </c>
      <c r="M14" t="str">
        <f t="shared" si="0"/>
        <v/>
      </c>
      <c r="N14" s="9" t="str" cm="1">
        <f t="array" ref="N14">_xlfn.IFS(Table1[[#This Row],[Discount%]]&gt;10,"High Discount",Table1[[#This Row],[Discount%]]&gt;5,"Medium Discount",Table1[[#This Row],[Discount%]]&lt;=5,"Low Discount")</f>
        <v>Low Discount</v>
      </c>
      <c r="O14" t="str">
        <f>TEXT(Table1[[#This Row],[Date]],"mmm")</f>
        <v>Jan</v>
      </c>
      <c r="P14" t="str">
        <f>Table1[[#This Row],[OrderID]]&amp;" "&amp;Table1[[#This Row],[SalesPerson]]</f>
        <v>O013 Neha</v>
      </c>
    </row>
    <row r="15" spans="1:16" x14ac:dyDescent="0.3">
      <c r="A15" t="s">
        <v>56</v>
      </c>
      <c r="B15" t="s">
        <v>57</v>
      </c>
      <c r="C15" t="s">
        <v>31</v>
      </c>
      <c r="D15" t="s">
        <v>32</v>
      </c>
      <c r="E15" t="s">
        <v>14</v>
      </c>
      <c r="F15" t="s">
        <v>15</v>
      </c>
      <c r="G15">
        <v>1</v>
      </c>
      <c r="H15">
        <v>50000</v>
      </c>
      <c r="I15">
        <v>15</v>
      </c>
      <c r="J15" t="s">
        <v>34</v>
      </c>
      <c r="L15">
        <f>Table1[[#This Row],[Units]]*Table1[[#This Row],[UnitPrice]]*(1-Table1[[#This Row],[Discount%]]/100)</f>
        <v>42500</v>
      </c>
      <c r="M15" t="str">
        <f t="shared" si="0"/>
        <v/>
      </c>
      <c r="N15" s="9" t="str" cm="1">
        <f t="array" ref="N15">_xlfn.IFS(Table1[[#This Row],[Discount%]]&gt;10,"High Discount",Table1[[#This Row],[Discount%]]&gt;5,"Medium Discount",Table1[[#This Row],[Discount%]]&lt;=5,"Low Discount")</f>
        <v>High Discount</v>
      </c>
      <c r="O15" t="str">
        <f>TEXT(Table1[[#This Row],[Date]],"mmm")</f>
        <v>Jan</v>
      </c>
      <c r="P15" t="str">
        <f>Table1[[#This Row],[OrderID]]&amp;" "&amp;Table1[[#This Row],[SalesPerson]]</f>
        <v>O014 Vikram</v>
      </c>
    </row>
    <row r="16" spans="1:16" x14ac:dyDescent="0.3">
      <c r="A16" t="s">
        <v>58</v>
      </c>
      <c r="B16" t="s">
        <v>59</v>
      </c>
      <c r="C16" t="s">
        <v>37</v>
      </c>
      <c r="D16" t="s">
        <v>38</v>
      </c>
      <c r="E16" t="s">
        <v>27</v>
      </c>
      <c r="F16" t="s">
        <v>15</v>
      </c>
      <c r="G16">
        <v>4</v>
      </c>
      <c r="H16">
        <v>30000</v>
      </c>
      <c r="I16">
        <v>10</v>
      </c>
      <c r="J16" t="s">
        <v>16</v>
      </c>
      <c r="L16">
        <f>Table1[[#This Row],[Units]]*Table1[[#This Row],[UnitPrice]]*(1-Table1[[#This Row],[Discount%]]/100)</f>
        <v>108000</v>
      </c>
      <c r="M16" t="str">
        <f t="shared" si="0"/>
        <v>High Value Order</v>
      </c>
      <c r="N16" s="9" t="str" cm="1">
        <f t="array" ref="N16">_xlfn.IFS(Table1[[#This Row],[Discount%]]&gt;10,"High Discount",Table1[[#This Row],[Discount%]]&gt;5,"Medium Discount",Table1[[#This Row],[Discount%]]&lt;=5,"Low Discount")</f>
        <v>Medium Discount</v>
      </c>
      <c r="O16" t="str">
        <f>TEXT(Table1[[#This Row],[Date]],"mmm")</f>
        <v>Jan</v>
      </c>
      <c r="P16" t="str">
        <f>Table1[[#This Row],[OrderID]]&amp;" "&amp;Table1[[#This Row],[SalesPerson]]</f>
        <v>O015 Priya</v>
      </c>
    </row>
    <row r="17" spans="1:16" x14ac:dyDescent="0.3">
      <c r="A17" t="s">
        <v>60</v>
      </c>
      <c r="B17" t="s">
        <v>61</v>
      </c>
      <c r="C17" t="s">
        <v>12</v>
      </c>
      <c r="D17" t="s">
        <v>13</v>
      </c>
      <c r="E17" t="s">
        <v>33</v>
      </c>
      <c r="F17" t="s">
        <v>15</v>
      </c>
      <c r="G17">
        <v>10</v>
      </c>
      <c r="H17">
        <v>2000</v>
      </c>
      <c r="I17">
        <v>5</v>
      </c>
      <c r="J17" t="s">
        <v>22</v>
      </c>
      <c r="L17">
        <f>Table1[[#This Row],[Units]]*Table1[[#This Row],[UnitPrice]]*(1-Table1[[#This Row],[Discount%]]/100)</f>
        <v>19000</v>
      </c>
      <c r="M17" t="str">
        <f t="shared" si="0"/>
        <v/>
      </c>
      <c r="N17" s="9" t="str" cm="1">
        <f t="array" ref="N17">_xlfn.IFS(Table1[[#This Row],[Discount%]]&gt;10,"High Discount",Table1[[#This Row],[Discount%]]&gt;5,"Medium Discount",Table1[[#This Row],[Discount%]]&lt;=5,"Low Discount")</f>
        <v>Low Discount</v>
      </c>
      <c r="O17" t="str">
        <f>TEXT(Table1[[#This Row],[Date]],"mmm")</f>
        <v>Jan</v>
      </c>
      <c r="P17" t="str">
        <f>Table1[[#This Row],[OrderID]]&amp;" "&amp;Table1[[#This Row],[SalesPerson]]</f>
        <v>O016 Asha</v>
      </c>
    </row>
    <row r="18" spans="1:16" x14ac:dyDescent="0.3">
      <c r="A18" t="s">
        <v>62</v>
      </c>
      <c r="B18" t="s">
        <v>63</v>
      </c>
      <c r="C18" t="s">
        <v>19</v>
      </c>
      <c r="D18" t="s">
        <v>20</v>
      </c>
      <c r="E18" t="s">
        <v>21</v>
      </c>
      <c r="F18" t="s">
        <v>15</v>
      </c>
      <c r="G18">
        <v>3</v>
      </c>
      <c r="H18">
        <v>20000</v>
      </c>
      <c r="I18">
        <v>10</v>
      </c>
      <c r="J18" t="s">
        <v>28</v>
      </c>
      <c r="L18">
        <f>Table1[[#This Row],[Units]]*Table1[[#This Row],[UnitPrice]]*(1-Table1[[#This Row],[Discount%]]/100)</f>
        <v>54000</v>
      </c>
      <c r="M18" t="str">
        <f t="shared" si="0"/>
        <v>High Value Order</v>
      </c>
      <c r="N18" s="9" t="str" cm="1">
        <f t="array" ref="N18">_xlfn.IFS(Table1[[#This Row],[Discount%]]&gt;10,"High Discount",Table1[[#This Row],[Discount%]]&gt;5,"Medium Discount",Table1[[#This Row],[Discount%]]&lt;=5,"Low Discount")</f>
        <v>Medium Discount</v>
      </c>
      <c r="O18" t="str">
        <f>TEXT(Table1[[#This Row],[Date]],"mmm")</f>
        <v>Jan</v>
      </c>
      <c r="P18" t="str">
        <f>Table1[[#This Row],[OrderID]]&amp;" "&amp;Table1[[#This Row],[SalesPerson]]</f>
        <v>O017 Rahul</v>
      </c>
    </row>
    <row r="19" spans="1:16" x14ac:dyDescent="0.3">
      <c r="A19" t="s">
        <v>64</v>
      </c>
      <c r="B19" t="s">
        <v>65</v>
      </c>
      <c r="C19" t="s">
        <v>25</v>
      </c>
      <c r="D19" t="s">
        <v>26</v>
      </c>
      <c r="E19" t="s">
        <v>14</v>
      </c>
      <c r="F19" t="s">
        <v>15</v>
      </c>
      <c r="G19">
        <v>2</v>
      </c>
      <c r="H19">
        <v>50000</v>
      </c>
      <c r="I19">
        <v>0</v>
      </c>
      <c r="J19" t="s">
        <v>34</v>
      </c>
      <c r="L19">
        <f>Table1[[#This Row],[Units]]*Table1[[#This Row],[UnitPrice]]*(1-Table1[[#This Row],[Discount%]]/100)</f>
        <v>100000</v>
      </c>
      <c r="M19" t="str">
        <f t="shared" si="0"/>
        <v>High Value Order</v>
      </c>
      <c r="N19" s="9" t="str" cm="1">
        <f t="array" ref="N19">_xlfn.IFS(Table1[[#This Row],[Discount%]]&gt;10,"High Discount",Table1[[#This Row],[Discount%]]&gt;5,"Medium Discount",Table1[[#This Row],[Discount%]]&lt;=5,"Low Discount")</f>
        <v>Low Discount</v>
      </c>
      <c r="O19" t="str">
        <f>TEXT(Table1[[#This Row],[Date]],"mmm")</f>
        <v>Jan</v>
      </c>
      <c r="P19" t="str">
        <f>Table1[[#This Row],[OrderID]]&amp;" "&amp;Table1[[#This Row],[SalesPerson]]</f>
        <v>O018 Neha</v>
      </c>
    </row>
    <row r="20" spans="1:16" x14ac:dyDescent="0.3">
      <c r="A20" t="s">
        <v>66</v>
      </c>
      <c r="B20" t="s">
        <v>67</v>
      </c>
      <c r="C20" t="s">
        <v>31</v>
      </c>
      <c r="D20" t="s">
        <v>32</v>
      </c>
      <c r="E20" t="s">
        <v>39</v>
      </c>
      <c r="F20" t="s">
        <v>15</v>
      </c>
      <c r="G20">
        <v>7</v>
      </c>
      <c r="H20">
        <v>1500</v>
      </c>
      <c r="I20">
        <v>5</v>
      </c>
      <c r="J20" t="s">
        <v>22</v>
      </c>
      <c r="L20">
        <f>Table1[[#This Row],[Units]]*Table1[[#This Row],[UnitPrice]]*(1-Table1[[#This Row],[Discount%]]/100)</f>
        <v>9975</v>
      </c>
      <c r="M20" t="str">
        <f t="shared" si="0"/>
        <v/>
      </c>
      <c r="N20" s="9" t="str" cm="1">
        <f t="array" ref="N20">_xlfn.IFS(Table1[[#This Row],[Discount%]]&gt;10,"High Discount",Table1[[#This Row],[Discount%]]&gt;5,"Medium Discount",Table1[[#This Row],[Discount%]]&lt;=5,"Low Discount")</f>
        <v>Low Discount</v>
      </c>
      <c r="O20" t="str">
        <f>TEXT(Table1[[#This Row],[Date]],"mmm")</f>
        <v>Jan</v>
      </c>
      <c r="P20" t="str">
        <f>Table1[[#This Row],[OrderID]]&amp;" "&amp;Table1[[#This Row],[SalesPerson]]</f>
        <v>O019 Vikram</v>
      </c>
    </row>
    <row r="21" spans="1:16" x14ac:dyDescent="0.3">
      <c r="A21" t="s">
        <v>68</v>
      </c>
      <c r="B21" t="s">
        <v>69</v>
      </c>
      <c r="C21" t="s">
        <v>37</v>
      </c>
      <c r="D21" t="s">
        <v>38</v>
      </c>
      <c r="E21" t="s">
        <v>21</v>
      </c>
      <c r="F21" t="s">
        <v>15</v>
      </c>
      <c r="G21">
        <v>1</v>
      </c>
      <c r="H21">
        <v>20000</v>
      </c>
      <c r="I21">
        <v>15</v>
      </c>
      <c r="J21" t="s">
        <v>16</v>
      </c>
      <c r="L21">
        <f>Table1[[#This Row],[Units]]*Table1[[#This Row],[UnitPrice]]*(1-Table1[[#This Row],[Discount%]]/100)</f>
        <v>17000</v>
      </c>
      <c r="M21" t="str">
        <f t="shared" si="0"/>
        <v/>
      </c>
      <c r="N21" s="9" t="str" cm="1">
        <f t="array" ref="N21">_xlfn.IFS(Table1[[#This Row],[Discount%]]&gt;10,"High Discount",Table1[[#This Row],[Discount%]]&gt;5,"Medium Discount",Table1[[#This Row],[Discount%]]&lt;=5,"Low Discount")</f>
        <v>High Discount</v>
      </c>
      <c r="O21" t="str">
        <f>TEXT(Table1[[#This Row],[Date]],"mmm")</f>
        <v>Jan</v>
      </c>
      <c r="P21" t="str">
        <f>Table1[[#This Row],[OrderID]]&amp;" "&amp;Table1[[#This Row],[SalesPerson]]</f>
        <v>O020 Priya</v>
      </c>
    </row>
    <row r="22" spans="1:16" x14ac:dyDescent="0.3">
      <c r="A22" t="s">
        <v>70</v>
      </c>
      <c r="B22" t="s">
        <v>71</v>
      </c>
      <c r="C22" t="s">
        <v>12</v>
      </c>
      <c r="D22" t="s">
        <v>13</v>
      </c>
      <c r="E22" t="s">
        <v>14</v>
      </c>
      <c r="F22" t="s">
        <v>15</v>
      </c>
      <c r="G22">
        <v>3</v>
      </c>
      <c r="H22">
        <v>50000</v>
      </c>
      <c r="I22">
        <v>10</v>
      </c>
      <c r="J22" t="s">
        <v>22</v>
      </c>
      <c r="L22">
        <f>Table1[[#This Row],[Units]]*Table1[[#This Row],[UnitPrice]]*(1-Table1[[#This Row],[Discount%]]/100)</f>
        <v>135000</v>
      </c>
      <c r="M22" t="str">
        <f t="shared" si="0"/>
        <v>High Value Order</v>
      </c>
      <c r="N22" s="9" t="str" cm="1">
        <f t="array" ref="N22">_xlfn.IFS(Table1[[#This Row],[Discount%]]&gt;10,"High Discount",Table1[[#This Row],[Discount%]]&gt;5,"Medium Discount",Table1[[#This Row],[Discount%]]&lt;=5,"Low Discount")</f>
        <v>Medium Discount</v>
      </c>
      <c r="O22" t="str">
        <f>TEXT(Table1[[#This Row],[Date]],"mmm")</f>
        <v>Jan</v>
      </c>
      <c r="P22" t="str">
        <f>Table1[[#This Row],[OrderID]]&amp;" "&amp;Table1[[#This Row],[SalesPerson]]</f>
        <v>O021 Asha</v>
      </c>
    </row>
    <row r="23" spans="1:16" x14ac:dyDescent="0.3">
      <c r="A23" t="s">
        <v>72</v>
      </c>
      <c r="B23" t="s">
        <v>73</v>
      </c>
      <c r="C23" t="s">
        <v>19</v>
      </c>
      <c r="D23" t="s">
        <v>20</v>
      </c>
      <c r="E23" t="s">
        <v>27</v>
      </c>
      <c r="F23" t="s">
        <v>15</v>
      </c>
      <c r="G23">
        <v>2</v>
      </c>
      <c r="H23">
        <v>30000</v>
      </c>
      <c r="I23">
        <v>5</v>
      </c>
      <c r="J23" t="s">
        <v>28</v>
      </c>
      <c r="L23">
        <f>Table1[[#This Row],[Units]]*Table1[[#This Row],[UnitPrice]]*(1-Table1[[#This Row],[Discount%]]/100)</f>
        <v>57000</v>
      </c>
      <c r="M23" t="str">
        <f t="shared" si="0"/>
        <v>High Value Order</v>
      </c>
      <c r="N23" s="9" t="str" cm="1">
        <f t="array" ref="N23">_xlfn.IFS(Table1[[#This Row],[Discount%]]&gt;10,"High Discount",Table1[[#This Row],[Discount%]]&gt;5,"Medium Discount",Table1[[#This Row],[Discount%]]&lt;=5,"Low Discount")</f>
        <v>Low Discount</v>
      </c>
      <c r="O23" t="str">
        <f>TEXT(Table1[[#This Row],[Date]],"mmm")</f>
        <v>Jan</v>
      </c>
      <c r="P23" t="str">
        <f>Table1[[#This Row],[OrderID]]&amp;" "&amp;Table1[[#This Row],[SalesPerson]]</f>
        <v>O022 Rahul</v>
      </c>
    </row>
    <row r="24" spans="1:16" x14ac:dyDescent="0.3">
      <c r="A24" t="s">
        <v>74</v>
      </c>
      <c r="B24" t="s">
        <v>75</v>
      </c>
      <c r="C24" t="s">
        <v>25</v>
      </c>
      <c r="D24" t="s">
        <v>26</v>
      </c>
      <c r="E24" t="s">
        <v>33</v>
      </c>
      <c r="F24" t="s">
        <v>15</v>
      </c>
      <c r="G24">
        <v>4</v>
      </c>
      <c r="H24">
        <v>2000</v>
      </c>
      <c r="I24">
        <v>0</v>
      </c>
      <c r="J24" t="s">
        <v>34</v>
      </c>
      <c r="L24">
        <f>Table1[[#This Row],[Units]]*Table1[[#This Row],[UnitPrice]]*(1-Table1[[#This Row],[Discount%]]/100)</f>
        <v>8000</v>
      </c>
      <c r="M24" t="str">
        <f t="shared" si="0"/>
        <v/>
      </c>
      <c r="N24" s="9" t="str" cm="1">
        <f t="array" ref="N24">_xlfn.IFS(Table1[[#This Row],[Discount%]]&gt;10,"High Discount",Table1[[#This Row],[Discount%]]&gt;5,"Medium Discount",Table1[[#This Row],[Discount%]]&lt;=5,"Low Discount")</f>
        <v>Low Discount</v>
      </c>
      <c r="O24" t="str">
        <f>TEXT(Table1[[#This Row],[Date]],"mmm")</f>
        <v>Jan</v>
      </c>
      <c r="P24" t="str">
        <f>Table1[[#This Row],[OrderID]]&amp;" "&amp;Table1[[#This Row],[SalesPerson]]</f>
        <v>O023 Neha</v>
      </c>
    </row>
    <row r="25" spans="1:16" x14ac:dyDescent="0.3">
      <c r="A25" t="s">
        <v>76</v>
      </c>
      <c r="B25" t="s">
        <v>77</v>
      </c>
      <c r="C25" t="s">
        <v>31</v>
      </c>
      <c r="D25" t="s">
        <v>32</v>
      </c>
      <c r="E25" t="s">
        <v>21</v>
      </c>
      <c r="F25" t="s">
        <v>15</v>
      </c>
      <c r="G25">
        <v>5</v>
      </c>
      <c r="H25">
        <v>20000</v>
      </c>
      <c r="I25">
        <v>10</v>
      </c>
      <c r="J25" t="s">
        <v>22</v>
      </c>
      <c r="L25">
        <f>Table1[[#This Row],[Units]]*Table1[[#This Row],[UnitPrice]]*(1-Table1[[#This Row],[Discount%]]/100)</f>
        <v>90000</v>
      </c>
      <c r="M25" t="str">
        <f t="shared" si="0"/>
        <v>High Value Order</v>
      </c>
      <c r="N25" s="9" t="str" cm="1">
        <f t="array" ref="N25">_xlfn.IFS(Table1[[#This Row],[Discount%]]&gt;10,"High Discount",Table1[[#This Row],[Discount%]]&gt;5,"Medium Discount",Table1[[#This Row],[Discount%]]&lt;=5,"Low Discount")</f>
        <v>Medium Discount</v>
      </c>
      <c r="O25" t="str">
        <f>TEXT(Table1[[#This Row],[Date]],"mmm")</f>
        <v>Jan</v>
      </c>
      <c r="P25" t="str">
        <f>Table1[[#This Row],[OrderID]]&amp;" "&amp;Table1[[#This Row],[SalesPerson]]</f>
        <v>O024 Vikram</v>
      </c>
    </row>
    <row r="26" spans="1:16" x14ac:dyDescent="0.3">
      <c r="A26" t="s">
        <v>78</v>
      </c>
      <c r="B26" t="s">
        <v>79</v>
      </c>
      <c r="C26" t="s">
        <v>37</v>
      </c>
      <c r="D26" t="s">
        <v>38</v>
      </c>
      <c r="E26" t="s">
        <v>39</v>
      </c>
      <c r="F26" t="s">
        <v>15</v>
      </c>
      <c r="G26">
        <v>6</v>
      </c>
      <c r="H26">
        <v>1500</v>
      </c>
      <c r="I26">
        <v>5</v>
      </c>
      <c r="J26" t="s">
        <v>16</v>
      </c>
      <c r="L26">
        <f>Table1[[#This Row],[Units]]*Table1[[#This Row],[UnitPrice]]*(1-Table1[[#This Row],[Discount%]]/100)</f>
        <v>8550</v>
      </c>
      <c r="M26" t="str">
        <f t="shared" si="0"/>
        <v/>
      </c>
      <c r="N26" s="9" t="str" cm="1">
        <f t="array" ref="N26">_xlfn.IFS(Table1[[#This Row],[Discount%]]&gt;10,"High Discount",Table1[[#This Row],[Discount%]]&gt;5,"Medium Discount",Table1[[#This Row],[Discount%]]&lt;=5,"Low Discount")</f>
        <v>Low Discount</v>
      </c>
      <c r="O26" t="str">
        <f>TEXT(Table1[[#This Row],[Date]],"mmm")</f>
        <v>Jan</v>
      </c>
      <c r="P26" t="str">
        <f>Table1[[#This Row],[OrderID]]&amp;" "&amp;Table1[[#This Row],[SalesPerson]]</f>
        <v>O025 Priya</v>
      </c>
    </row>
    <row r="27" spans="1:16" x14ac:dyDescent="0.3">
      <c r="A27" t="s">
        <v>80</v>
      </c>
      <c r="B27" t="s">
        <v>81</v>
      </c>
      <c r="C27" t="s">
        <v>12</v>
      </c>
      <c r="D27" t="s">
        <v>13</v>
      </c>
      <c r="E27" t="s">
        <v>27</v>
      </c>
      <c r="F27" t="s">
        <v>15</v>
      </c>
      <c r="G27">
        <v>2</v>
      </c>
      <c r="H27">
        <v>30000</v>
      </c>
      <c r="I27">
        <v>0</v>
      </c>
      <c r="J27" t="s">
        <v>28</v>
      </c>
      <c r="L27">
        <f>Table1[[#This Row],[Units]]*Table1[[#This Row],[UnitPrice]]*(1-Table1[[#This Row],[Discount%]]/100)</f>
        <v>60000</v>
      </c>
      <c r="M27" t="str">
        <f t="shared" si="0"/>
        <v>High Value Order</v>
      </c>
      <c r="N27" s="9" t="str" cm="1">
        <f t="array" ref="N27">_xlfn.IFS(Table1[[#This Row],[Discount%]]&gt;10,"High Discount",Table1[[#This Row],[Discount%]]&gt;5,"Medium Discount",Table1[[#This Row],[Discount%]]&lt;=5,"Low Discount")</f>
        <v>Low Discount</v>
      </c>
      <c r="O27" t="str">
        <f>TEXT(Table1[[#This Row],[Date]],"mmm")</f>
        <v>Jan</v>
      </c>
      <c r="P27" t="str">
        <f>Table1[[#This Row],[OrderID]]&amp;" "&amp;Table1[[#This Row],[SalesPerson]]</f>
        <v>O026 Asha</v>
      </c>
    </row>
    <row r="28" spans="1:16" x14ac:dyDescent="0.3">
      <c r="A28" t="s">
        <v>82</v>
      </c>
      <c r="B28" t="s">
        <v>83</v>
      </c>
      <c r="C28" t="s">
        <v>19</v>
      </c>
      <c r="D28" t="s">
        <v>20</v>
      </c>
      <c r="E28" t="s">
        <v>14</v>
      </c>
      <c r="F28" t="s">
        <v>15</v>
      </c>
      <c r="G28">
        <v>1</v>
      </c>
      <c r="H28">
        <v>50000</v>
      </c>
      <c r="I28">
        <v>15</v>
      </c>
      <c r="J28" t="s">
        <v>22</v>
      </c>
      <c r="L28">
        <f>Table1[[#This Row],[Units]]*Table1[[#This Row],[UnitPrice]]*(1-Table1[[#This Row],[Discount%]]/100)</f>
        <v>42500</v>
      </c>
      <c r="M28" t="str">
        <f t="shared" si="0"/>
        <v/>
      </c>
      <c r="N28" s="9" t="str" cm="1">
        <f t="array" ref="N28">_xlfn.IFS(Table1[[#This Row],[Discount%]]&gt;10,"High Discount",Table1[[#This Row],[Discount%]]&gt;5,"Medium Discount",Table1[[#This Row],[Discount%]]&lt;=5,"Low Discount")</f>
        <v>High Discount</v>
      </c>
      <c r="O28" t="str">
        <f>TEXT(Table1[[#This Row],[Date]],"mmm")</f>
        <v>Jan</v>
      </c>
      <c r="P28" t="str">
        <f>Table1[[#This Row],[OrderID]]&amp;" "&amp;Table1[[#This Row],[SalesPerson]]</f>
        <v>O027 Rahul</v>
      </c>
    </row>
    <row r="29" spans="1:16" x14ac:dyDescent="0.3">
      <c r="A29" t="s">
        <v>84</v>
      </c>
      <c r="B29" t="s">
        <v>85</v>
      </c>
      <c r="C29" t="s">
        <v>25</v>
      </c>
      <c r="D29" t="s">
        <v>26</v>
      </c>
      <c r="E29" t="s">
        <v>21</v>
      </c>
      <c r="F29" t="s">
        <v>15</v>
      </c>
      <c r="G29">
        <v>3</v>
      </c>
      <c r="H29">
        <v>20000</v>
      </c>
      <c r="I29">
        <v>10</v>
      </c>
      <c r="J29" t="s">
        <v>34</v>
      </c>
      <c r="L29">
        <f>Table1[[#This Row],[Units]]*Table1[[#This Row],[UnitPrice]]*(1-Table1[[#This Row],[Discount%]]/100)</f>
        <v>54000</v>
      </c>
      <c r="M29" t="str">
        <f t="shared" si="0"/>
        <v>High Value Order</v>
      </c>
      <c r="N29" s="9" t="str" cm="1">
        <f t="array" ref="N29">_xlfn.IFS(Table1[[#This Row],[Discount%]]&gt;10,"High Discount",Table1[[#This Row],[Discount%]]&gt;5,"Medium Discount",Table1[[#This Row],[Discount%]]&lt;=5,"Low Discount")</f>
        <v>Medium Discount</v>
      </c>
      <c r="O29" t="str">
        <f>TEXT(Table1[[#This Row],[Date]],"mmm")</f>
        <v>Jan</v>
      </c>
      <c r="P29" t="str">
        <f>Table1[[#This Row],[OrderID]]&amp;" "&amp;Table1[[#This Row],[SalesPerson]]</f>
        <v>O028 Neha</v>
      </c>
    </row>
    <row r="30" spans="1:16" x14ac:dyDescent="0.3">
      <c r="A30" t="s">
        <v>86</v>
      </c>
      <c r="B30" t="s">
        <v>87</v>
      </c>
      <c r="C30" t="s">
        <v>31</v>
      </c>
      <c r="D30" t="s">
        <v>32</v>
      </c>
      <c r="E30" t="s">
        <v>33</v>
      </c>
      <c r="F30" t="s">
        <v>15</v>
      </c>
      <c r="G30">
        <v>9</v>
      </c>
      <c r="H30">
        <v>2000</v>
      </c>
      <c r="I30">
        <v>5</v>
      </c>
      <c r="J30" t="s">
        <v>28</v>
      </c>
      <c r="L30">
        <f>Table1[[#This Row],[Units]]*Table1[[#This Row],[UnitPrice]]*(1-Table1[[#This Row],[Discount%]]/100)</f>
        <v>17100</v>
      </c>
      <c r="M30" t="str">
        <f t="shared" si="0"/>
        <v/>
      </c>
      <c r="N30" s="9" t="str" cm="1">
        <f t="array" ref="N30">_xlfn.IFS(Table1[[#This Row],[Discount%]]&gt;10,"High Discount",Table1[[#This Row],[Discount%]]&gt;5,"Medium Discount",Table1[[#This Row],[Discount%]]&lt;=5,"Low Discount")</f>
        <v>Low Discount</v>
      </c>
      <c r="O30" t="str">
        <f>TEXT(Table1[[#This Row],[Date]],"mmm")</f>
        <v>Jan</v>
      </c>
      <c r="P30" t="str">
        <f>Table1[[#This Row],[OrderID]]&amp;" "&amp;Table1[[#This Row],[SalesPerson]]</f>
        <v>O029 Vikram</v>
      </c>
    </row>
    <row r="31" spans="1:16" x14ac:dyDescent="0.3">
      <c r="A31" t="s">
        <v>88</v>
      </c>
      <c r="B31" t="s">
        <v>89</v>
      </c>
      <c r="C31" t="s">
        <v>37</v>
      </c>
      <c r="D31" t="s">
        <v>38</v>
      </c>
      <c r="E31" t="s">
        <v>14</v>
      </c>
      <c r="F31" t="s">
        <v>15</v>
      </c>
      <c r="G31">
        <v>2</v>
      </c>
      <c r="H31">
        <v>50000</v>
      </c>
      <c r="I31">
        <v>0</v>
      </c>
      <c r="J31" t="s">
        <v>16</v>
      </c>
      <c r="L31">
        <f>Table1[[#This Row],[Units]]*Table1[[#This Row],[UnitPrice]]*(1-Table1[[#This Row],[Discount%]]/100)</f>
        <v>100000</v>
      </c>
      <c r="M31" t="str">
        <f t="shared" si="0"/>
        <v>High Value Order</v>
      </c>
      <c r="N31" s="9" t="str" cm="1">
        <f t="array" ref="N31">_xlfn.IFS(Table1[[#This Row],[Discount%]]&gt;10,"High Discount",Table1[[#This Row],[Discount%]]&gt;5,"Medium Discount",Table1[[#This Row],[Discount%]]&lt;=5,"Low Discount")</f>
        <v>Low Discount</v>
      </c>
      <c r="O31" t="str">
        <f>TEXT(Table1[[#This Row],[Date]],"mmm")</f>
        <v>Jan</v>
      </c>
      <c r="P31" t="str">
        <f>Table1[[#This Row],[OrderID]]&amp;" "&amp;Table1[[#This Row],[SalesPerson]]</f>
        <v>O030 Priya</v>
      </c>
    </row>
    <row r="32" spans="1:16" x14ac:dyDescent="0.3">
      <c r="A32" t="s">
        <v>90</v>
      </c>
      <c r="B32" t="s">
        <v>91</v>
      </c>
      <c r="C32" t="s">
        <v>12</v>
      </c>
      <c r="D32" t="s">
        <v>13</v>
      </c>
      <c r="E32" t="s">
        <v>39</v>
      </c>
      <c r="F32" t="s">
        <v>15</v>
      </c>
      <c r="G32">
        <v>4</v>
      </c>
      <c r="H32">
        <v>1500</v>
      </c>
      <c r="I32">
        <v>10</v>
      </c>
      <c r="J32" t="s">
        <v>22</v>
      </c>
      <c r="L32">
        <f>Table1[[#This Row],[Units]]*Table1[[#This Row],[UnitPrice]]*(1-Table1[[#This Row],[Discount%]]/100)</f>
        <v>5400</v>
      </c>
      <c r="M32" t="str">
        <f t="shared" si="0"/>
        <v/>
      </c>
      <c r="N32" s="9" t="str" cm="1">
        <f t="array" ref="N32">_xlfn.IFS(Table1[[#This Row],[Discount%]]&gt;10,"High Discount",Table1[[#This Row],[Discount%]]&gt;5,"Medium Discount",Table1[[#This Row],[Discount%]]&lt;=5,"Low Discount")</f>
        <v>Medium Discount</v>
      </c>
      <c r="O32" t="str">
        <f>TEXT(Table1[[#This Row],[Date]],"mmm")</f>
        <v>Jan</v>
      </c>
      <c r="P32" t="str">
        <f>Table1[[#This Row],[OrderID]]&amp;" "&amp;Table1[[#This Row],[SalesPerson]]</f>
        <v>O031 Asha</v>
      </c>
    </row>
    <row r="33" spans="1:16" x14ac:dyDescent="0.3">
      <c r="A33" t="s">
        <v>92</v>
      </c>
      <c r="B33" t="s">
        <v>93</v>
      </c>
      <c r="C33" t="s">
        <v>19</v>
      </c>
      <c r="D33" t="s">
        <v>20</v>
      </c>
      <c r="E33" t="s">
        <v>27</v>
      </c>
      <c r="F33" t="s">
        <v>15</v>
      </c>
      <c r="G33">
        <v>1</v>
      </c>
      <c r="H33">
        <v>30000</v>
      </c>
      <c r="I33">
        <v>5</v>
      </c>
      <c r="J33" t="s">
        <v>28</v>
      </c>
      <c r="L33">
        <f>Table1[[#This Row],[Units]]*Table1[[#This Row],[UnitPrice]]*(1-Table1[[#This Row],[Discount%]]/100)</f>
        <v>28500</v>
      </c>
      <c r="M33" t="str">
        <f t="shared" si="0"/>
        <v/>
      </c>
      <c r="N33" s="9" t="str" cm="1">
        <f t="array" ref="N33">_xlfn.IFS(Table1[[#This Row],[Discount%]]&gt;10,"High Discount",Table1[[#This Row],[Discount%]]&gt;5,"Medium Discount",Table1[[#This Row],[Discount%]]&lt;=5,"Low Discount")</f>
        <v>Low Discount</v>
      </c>
      <c r="O33" t="str">
        <f>TEXT(Table1[[#This Row],[Date]],"mmm")</f>
        <v>Feb</v>
      </c>
      <c r="P33" t="str">
        <f>Table1[[#This Row],[OrderID]]&amp;" "&amp;Table1[[#This Row],[SalesPerson]]</f>
        <v>O032 Rahul</v>
      </c>
    </row>
    <row r="34" spans="1:16" x14ac:dyDescent="0.3">
      <c r="A34" t="s">
        <v>94</v>
      </c>
      <c r="B34" t="s">
        <v>95</v>
      </c>
      <c r="C34" t="s">
        <v>25</v>
      </c>
      <c r="D34" t="s">
        <v>26</v>
      </c>
      <c r="E34" t="s">
        <v>14</v>
      </c>
      <c r="F34" t="s">
        <v>15</v>
      </c>
      <c r="G34">
        <v>3</v>
      </c>
      <c r="H34">
        <v>50000</v>
      </c>
      <c r="I34">
        <v>15</v>
      </c>
      <c r="J34" t="s">
        <v>34</v>
      </c>
      <c r="L34">
        <f>Table1[[#This Row],[Units]]*Table1[[#This Row],[UnitPrice]]*(1-Table1[[#This Row],[Discount%]]/100)</f>
        <v>127500</v>
      </c>
      <c r="M34" t="str">
        <f t="shared" si="0"/>
        <v>High Value Order</v>
      </c>
      <c r="N34" s="9" t="str" cm="1">
        <f t="array" ref="N34">_xlfn.IFS(Table1[[#This Row],[Discount%]]&gt;10,"High Discount",Table1[[#This Row],[Discount%]]&gt;5,"Medium Discount",Table1[[#This Row],[Discount%]]&lt;=5,"Low Discount")</f>
        <v>High Discount</v>
      </c>
      <c r="O34" t="str">
        <f>TEXT(Table1[[#This Row],[Date]],"mmm")</f>
        <v>Feb</v>
      </c>
      <c r="P34" t="str">
        <f>Table1[[#This Row],[OrderID]]&amp;" "&amp;Table1[[#This Row],[SalesPerson]]</f>
        <v>O033 Neha</v>
      </c>
    </row>
    <row r="35" spans="1:16" x14ac:dyDescent="0.3">
      <c r="A35" t="s">
        <v>96</v>
      </c>
      <c r="B35" t="s">
        <v>97</v>
      </c>
      <c r="C35" t="s">
        <v>31</v>
      </c>
      <c r="D35" t="s">
        <v>32</v>
      </c>
      <c r="E35" t="s">
        <v>21</v>
      </c>
      <c r="F35" t="s">
        <v>15</v>
      </c>
      <c r="G35">
        <v>2</v>
      </c>
      <c r="H35">
        <v>20000</v>
      </c>
      <c r="I35">
        <v>10</v>
      </c>
      <c r="J35" t="s">
        <v>22</v>
      </c>
      <c r="L35">
        <f>Table1[[#This Row],[Units]]*Table1[[#This Row],[UnitPrice]]*(1-Table1[[#This Row],[Discount%]]/100)</f>
        <v>36000</v>
      </c>
      <c r="M35" t="str">
        <f t="shared" si="0"/>
        <v/>
      </c>
      <c r="N35" s="9" t="str" cm="1">
        <f t="array" ref="N35">_xlfn.IFS(Table1[[#This Row],[Discount%]]&gt;10,"High Discount",Table1[[#This Row],[Discount%]]&gt;5,"Medium Discount",Table1[[#This Row],[Discount%]]&lt;=5,"Low Discount")</f>
        <v>Medium Discount</v>
      </c>
      <c r="O35" t="str">
        <f>TEXT(Table1[[#This Row],[Date]],"mmm")</f>
        <v>Feb</v>
      </c>
      <c r="P35" t="str">
        <f>Table1[[#This Row],[OrderID]]&amp;" "&amp;Table1[[#This Row],[SalesPerson]]</f>
        <v>O034 Vikram</v>
      </c>
    </row>
    <row r="36" spans="1:16" x14ac:dyDescent="0.3">
      <c r="A36" t="s">
        <v>98</v>
      </c>
      <c r="B36" t="s">
        <v>99</v>
      </c>
      <c r="C36" t="s">
        <v>37</v>
      </c>
      <c r="D36" t="s">
        <v>38</v>
      </c>
      <c r="E36" t="s">
        <v>33</v>
      </c>
      <c r="F36" t="s">
        <v>15</v>
      </c>
      <c r="G36">
        <v>5</v>
      </c>
      <c r="H36">
        <v>2000</v>
      </c>
      <c r="I36">
        <v>0</v>
      </c>
      <c r="J36" t="s">
        <v>16</v>
      </c>
      <c r="L36">
        <f>Table1[[#This Row],[Units]]*Table1[[#This Row],[UnitPrice]]*(1-Table1[[#This Row],[Discount%]]/100)</f>
        <v>10000</v>
      </c>
      <c r="M36" t="str">
        <f t="shared" si="0"/>
        <v/>
      </c>
      <c r="N36" s="9" t="str" cm="1">
        <f t="array" ref="N36">_xlfn.IFS(Table1[[#This Row],[Discount%]]&gt;10,"High Discount",Table1[[#This Row],[Discount%]]&gt;5,"Medium Discount",Table1[[#This Row],[Discount%]]&lt;=5,"Low Discount")</f>
        <v>Low Discount</v>
      </c>
      <c r="O36" t="str">
        <f>TEXT(Table1[[#This Row],[Date]],"mmm")</f>
        <v>Feb</v>
      </c>
      <c r="P36" t="str">
        <f>Table1[[#This Row],[OrderID]]&amp;" "&amp;Table1[[#This Row],[SalesPerson]]</f>
        <v>O035 Priya</v>
      </c>
    </row>
    <row r="37" spans="1:16" x14ac:dyDescent="0.3">
      <c r="A37" t="s">
        <v>100</v>
      </c>
      <c r="B37" t="s">
        <v>101</v>
      </c>
      <c r="C37" t="s">
        <v>12</v>
      </c>
      <c r="D37" t="s">
        <v>13</v>
      </c>
      <c r="E37" t="s">
        <v>21</v>
      </c>
      <c r="F37" t="s">
        <v>15</v>
      </c>
      <c r="G37">
        <v>6</v>
      </c>
      <c r="H37">
        <v>20000</v>
      </c>
      <c r="I37">
        <v>5</v>
      </c>
      <c r="J37" t="s">
        <v>28</v>
      </c>
      <c r="L37">
        <f>Table1[[#This Row],[Units]]*Table1[[#This Row],[UnitPrice]]*(1-Table1[[#This Row],[Discount%]]/100)</f>
        <v>114000</v>
      </c>
      <c r="M37" t="str">
        <f t="shared" si="0"/>
        <v>High Value Order</v>
      </c>
      <c r="N37" s="9" t="str" cm="1">
        <f t="array" ref="N37">_xlfn.IFS(Table1[[#This Row],[Discount%]]&gt;10,"High Discount",Table1[[#This Row],[Discount%]]&gt;5,"Medium Discount",Table1[[#This Row],[Discount%]]&lt;=5,"Low Discount")</f>
        <v>Low Discount</v>
      </c>
      <c r="O37" t="str">
        <f>TEXT(Table1[[#This Row],[Date]],"mmm")</f>
        <v>Feb</v>
      </c>
      <c r="P37" t="str">
        <f>Table1[[#This Row],[OrderID]]&amp;" "&amp;Table1[[#This Row],[SalesPerson]]</f>
        <v>O036 Asha</v>
      </c>
    </row>
    <row r="38" spans="1:16" x14ac:dyDescent="0.3">
      <c r="A38" t="s">
        <v>102</v>
      </c>
      <c r="B38" t="s">
        <v>103</v>
      </c>
      <c r="C38" t="s">
        <v>19</v>
      </c>
      <c r="D38" t="s">
        <v>20</v>
      </c>
      <c r="E38" t="s">
        <v>39</v>
      </c>
      <c r="F38" t="s">
        <v>15</v>
      </c>
      <c r="G38">
        <v>3</v>
      </c>
      <c r="H38">
        <v>1500</v>
      </c>
      <c r="I38">
        <v>10</v>
      </c>
      <c r="J38" t="s">
        <v>22</v>
      </c>
      <c r="L38">
        <f>Table1[[#This Row],[Units]]*Table1[[#This Row],[UnitPrice]]*(1-Table1[[#This Row],[Discount%]]/100)</f>
        <v>4050</v>
      </c>
      <c r="M38" t="str">
        <f t="shared" si="0"/>
        <v/>
      </c>
      <c r="N38" s="9" t="str" cm="1">
        <f t="array" ref="N38">_xlfn.IFS(Table1[[#This Row],[Discount%]]&gt;10,"High Discount",Table1[[#This Row],[Discount%]]&gt;5,"Medium Discount",Table1[[#This Row],[Discount%]]&lt;=5,"Low Discount")</f>
        <v>Medium Discount</v>
      </c>
      <c r="O38" t="str">
        <f>TEXT(Table1[[#This Row],[Date]],"mmm")</f>
        <v>Feb</v>
      </c>
      <c r="P38" t="str">
        <f>Table1[[#This Row],[OrderID]]&amp;" "&amp;Table1[[#This Row],[SalesPerson]]</f>
        <v>O037 Rahul</v>
      </c>
    </row>
    <row r="39" spans="1:16" x14ac:dyDescent="0.3">
      <c r="A39" t="s">
        <v>104</v>
      </c>
      <c r="B39" t="s">
        <v>105</v>
      </c>
      <c r="C39" t="s">
        <v>25</v>
      </c>
      <c r="D39" t="s">
        <v>26</v>
      </c>
      <c r="E39" t="s">
        <v>27</v>
      </c>
      <c r="F39" t="s">
        <v>15</v>
      </c>
      <c r="G39">
        <v>2</v>
      </c>
      <c r="H39">
        <v>30000</v>
      </c>
      <c r="I39">
        <v>0</v>
      </c>
      <c r="J39" t="s">
        <v>34</v>
      </c>
      <c r="L39">
        <f>Table1[[#This Row],[Units]]*Table1[[#This Row],[UnitPrice]]*(1-Table1[[#This Row],[Discount%]]/100)</f>
        <v>60000</v>
      </c>
      <c r="M39" t="str">
        <f t="shared" si="0"/>
        <v>High Value Order</v>
      </c>
      <c r="N39" s="9" t="str" cm="1">
        <f t="array" ref="N39">_xlfn.IFS(Table1[[#This Row],[Discount%]]&gt;10,"High Discount",Table1[[#This Row],[Discount%]]&gt;5,"Medium Discount",Table1[[#This Row],[Discount%]]&lt;=5,"Low Discount")</f>
        <v>Low Discount</v>
      </c>
      <c r="O39" t="str">
        <f>TEXT(Table1[[#This Row],[Date]],"mmm")</f>
        <v>Feb</v>
      </c>
      <c r="P39" t="str">
        <f>Table1[[#This Row],[OrderID]]&amp;" "&amp;Table1[[#This Row],[SalesPerson]]</f>
        <v>O038 Neha</v>
      </c>
    </row>
    <row r="40" spans="1:16" x14ac:dyDescent="0.3">
      <c r="A40" t="s">
        <v>106</v>
      </c>
      <c r="B40" t="s">
        <v>107</v>
      </c>
      <c r="C40" t="s">
        <v>31</v>
      </c>
      <c r="D40" t="s">
        <v>32</v>
      </c>
      <c r="E40" t="s">
        <v>14</v>
      </c>
      <c r="F40" t="s">
        <v>15</v>
      </c>
      <c r="G40">
        <v>1</v>
      </c>
      <c r="H40">
        <v>50000</v>
      </c>
      <c r="I40">
        <v>15</v>
      </c>
      <c r="J40" t="s">
        <v>28</v>
      </c>
      <c r="L40">
        <f>Table1[[#This Row],[Units]]*Table1[[#This Row],[UnitPrice]]*(1-Table1[[#This Row],[Discount%]]/100)</f>
        <v>42500</v>
      </c>
      <c r="M40" t="str">
        <f t="shared" si="0"/>
        <v/>
      </c>
      <c r="N40" s="9" t="str" cm="1">
        <f t="array" ref="N40">_xlfn.IFS(Table1[[#This Row],[Discount%]]&gt;10,"High Discount",Table1[[#This Row],[Discount%]]&gt;5,"Medium Discount",Table1[[#This Row],[Discount%]]&lt;=5,"Low Discount")</f>
        <v>High Discount</v>
      </c>
      <c r="O40" t="str">
        <f>TEXT(Table1[[#This Row],[Date]],"mmm")</f>
        <v>Feb</v>
      </c>
      <c r="P40" t="str">
        <f>Table1[[#This Row],[OrderID]]&amp;" "&amp;Table1[[#This Row],[SalesPerson]]</f>
        <v>O039 Vikram</v>
      </c>
    </row>
    <row r="41" spans="1:16" x14ac:dyDescent="0.3">
      <c r="A41" t="s">
        <v>108</v>
      </c>
      <c r="B41" t="s">
        <v>109</v>
      </c>
      <c r="C41" t="s">
        <v>37</v>
      </c>
      <c r="D41" t="s">
        <v>38</v>
      </c>
      <c r="E41" t="s">
        <v>21</v>
      </c>
      <c r="F41" t="s">
        <v>15</v>
      </c>
      <c r="G41">
        <v>4</v>
      </c>
      <c r="H41">
        <v>20000</v>
      </c>
      <c r="I41">
        <v>10</v>
      </c>
      <c r="J41" t="s">
        <v>22</v>
      </c>
      <c r="L41">
        <f>Table1[[#This Row],[Units]]*Table1[[#This Row],[UnitPrice]]*(1-Table1[[#This Row],[Discount%]]/100)</f>
        <v>72000</v>
      </c>
      <c r="M41" t="str">
        <f t="shared" si="0"/>
        <v>High Value Order</v>
      </c>
      <c r="N41" s="9" t="str" cm="1">
        <f t="array" ref="N41">_xlfn.IFS(Table1[[#This Row],[Discount%]]&gt;10,"High Discount",Table1[[#This Row],[Discount%]]&gt;5,"Medium Discount",Table1[[#This Row],[Discount%]]&lt;=5,"Low Discount")</f>
        <v>Medium Discount</v>
      </c>
      <c r="O41" t="str">
        <f>TEXT(Table1[[#This Row],[Date]],"mmm")</f>
        <v>Feb</v>
      </c>
      <c r="P41" t="str">
        <f>Table1[[#This Row],[OrderID]]&amp;" "&amp;Table1[[#This Row],[SalesPerson]]</f>
        <v>O040 Priya</v>
      </c>
    </row>
    <row r="42" spans="1:16" x14ac:dyDescent="0.3">
      <c r="A42" t="s">
        <v>110</v>
      </c>
      <c r="B42" t="s">
        <v>111</v>
      </c>
      <c r="C42" t="s">
        <v>12</v>
      </c>
      <c r="D42" t="s">
        <v>13</v>
      </c>
      <c r="E42" t="s">
        <v>33</v>
      </c>
      <c r="F42" t="s">
        <v>15</v>
      </c>
      <c r="G42">
        <v>7</v>
      </c>
      <c r="H42">
        <v>2000</v>
      </c>
      <c r="I42">
        <v>5</v>
      </c>
      <c r="J42" t="s">
        <v>16</v>
      </c>
      <c r="L42">
        <f>Table1[[#This Row],[Units]]*Table1[[#This Row],[UnitPrice]]*(1-Table1[[#This Row],[Discount%]]/100)</f>
        <v>13300</v>
      </c>
      <c r="M42" t="str">
        <f t="shared" si="0"/>
        <v/>
      </c>
      <c r="N42" s="9" t="str" cm="1">
        <f t="array" ref="N42">_xlfn.IFS(Table1[[#This Row],[Discount%]]&gt;10,"High Discount",Table1[[#This Row],[Discount%]]&gt;5,"Medium Discount",Table1[[#This Row],[Discount%]]&lt;=5,"Low Discount")</f>
        <v>Low Discount</v>
      </c>
      <c r="O42" t="str">
        <f>TEXT(Table1[[#This Row],[Date]],"mmm")</f>
        <v>Feb</v>
      </c>
      <c r="P42" t="str">
        <f>Table1[[#This Row],[OrderID]]&amp;" "&amp;Table1[[#This Row],[SalesPerson]]</f>
        <v>O041 Asha</v>
      </c>
    </row>
    <row r="43" spans="1:16" x14ac:dyDescent="0.3">
      <c r="A43" t="s">
        <v>112</v>
      </c>
      <c r="B43" t="s">
        <v>113</v>
      </c>
      <c r="C43" t="s">
        <v>19</v>
      </c>
      <c r="D43" t="s">
        <v>20</v>
      </c>
      <c r="E43" t="s">
        <v>14</v>
      </c>
      <c r="F43" t="s">
        <v>15</v>
      </c>
      <c r="G43">
        <v>2</v>
      </c>
      <c r="H43">
        <v>50000</v>
      </c>
      <c r="I43">
        <v>0</v>
      </c>
      <c r="J43" t="s">
        <v>28</v>
      </c>
      <c r="L43">
        <f>Table1[[#This Row],[Units]]*Table1[[#This Row],[UnitPrice]]*(1-Table1[[#This Row],[Discount%]]/100)</f>
        <v>100000</v>
      </c>
      <c r="M43" t="str">
        <f t="shared" si="0"/>
        <v>High Value Order</v>
      </c>
      <c r="N43" s="9" t="str" cm="1">
        <f t="array" ref="N43">_xlfn.IFS(Table1[[#This Row],[Discount%]]&gt;10,"High Discount",Table1[[#This Row],[Discount%]]&gt;5,"Medium Discount",Table1[[#This Row],[Discount%]]&lt;=5,"Low Discount")</f>
        <v>Low Discount</v>
      </c>
      <c r="O43" t="str">
        <f>TEXT(Table1[[#This Row],[Date]],"mmm")</f>
        <v>Feb</v>
      </c>
      <c r="P43" t="str">
        <f>Table1[[#This Row],[OrderID]]&amp;" "&amp;Table1[[#This Row],[SalesPerson]]</f>
        <v>O042 Rahul</v>
      </c>
    </row>
    <row r="44" spans="1:16" x14ac:dyDescent="0.3">
      <c r="A44" t="s">
        <v>114</v>
      </c>
      <c r="B44" t="s">
        <v>115</v>
      </c>
      <c r="C44" t="s">
        <v>25</v>
      </c>
      <c r="D44" t="s">
        <v>26</v>
      </c>
      <c r="E44" t="s">
        <v>39</v>
      </c>
      <c r="F44" t="s">
        <v>15</v>
      </c>
      <c r="G44">
        <v>5</v>
      </c>
      <c r="H44">
        <v>1500</v>
      </c>
      <c r="I44">
        <v>10</v>
      </c>
      <c r="J44" t="s">
        <v>22</v>
      </c>
      <c r="L44">
        <f>Table1[[#This Row],[Units]]*Table1[[#This Row],[UnitPrice]]*(1-Table1[[#This Row],[Discount%]]/100)</f>
        <v>6750</v>
      </c>
      <c r="M44" t="str">
        <f t="shared" si="0"/>
        <v/>
      </c>
      <c r="N44" s="9" t="str" cm="1">
        <f t="array" ref="N44">_xlfn.IFS(Table1[[#This Row],[Discount%]]&gt;10,"High Discount",Table1[[#This Row],[Discount%]]&gt;5,"Medium Discount",Table1[[#This Row],[Discount%]]&lt;=5,"Low Discount")</f>
        <v>Medium Discount</v>
      </c>
      <c r="O44" t="str">
        <f>TEXT(Table1[[#This Row],[Date]],"mmm")</f>
        <v>Feb</v>
      </c>
      <c r="P44" t="str">
        <f>Table1[[#This Row],[OrderID]]&amp;" "&amp;Table1[[#This Row],[SalesPerson]]</f>
        <v>O043 Neha</v>
      </c>
    </row>
    <row r="45" spans="1:16" x14ac:dyDescent="0.3">
      <c r="A45" t="s">
        <v>116</v>
      </c>
      <c r="B45" t="s">
        <v>117</v>
      </c>
      <c r="C45" t="s">
        <v>31</v>
      </c>
      <c r="D45" t="s">
        <v>32</v>
      </c>
      <c r="E45" t="s">
        <v>27</v>
      </c>
      <c r="F45" t="s">
        <v>15</v>
      </c>
      <c r="G45">
        <v>3</v>
      </c>
      <c r="H45">
        <v>30000</v>
      </c>
      <c r="I45">
        <v>5</v>
      </c>
      <c r="J45" t="s">
        <v>34</v>
      </c>
      <c r="L45">
        <f>Table1[[#This Row],[Units]]*Table1[[#This Row],[UnitPrice]]*(1-Table1[[#This Row],[Discount%]]/100)</f>
        <v>85500</v>
      </c>
      <c r="M45" t="str">
        <f t="shared" si="0"/>
        <v>High Value Order</v>
      </c>
      <c r="N45" s="9" t="str" cm="1">
        <f t="array" ref="N45">_xlfn.IFS(Table1[[#This Row],[Discount%]]&gt;10,"High Discount",Table1[[#This Row],[Discount%]]&gt;5,"Medium Discount",Table1[[#This Row],[Discount%]]&lt;=5,"Low Discount")</f>
        <v>Low Discount</v>
      </c>
      <c r="O45" t="str">
        <f>TEXT(Table1[[#This Row],[Date]],"mmm")</f>
        <v>Feb</v>
      </c>
      <c r="P45" t="str">
        <f>Table1[[#This Row],[OrderID]]&amp;" "&amp;Table1[[#This Row],[SalesPerson]]</f>
        <v>O044 Vikram</v>
      </c>
    </row>
    <row r="46" spans="1:16" x14ac:dyDescent="0.3">
      <c r="A46" t="s">
        <v>118</v>
      </c>
      <c r="B46" t="s">
        <v>119</v>
      </c>
      <c r="C46" t="s">
        <v>37</v>
      </c>
      <c r="D46" t="s">
        <v>38</v>
      </c>
      <c r="E46" t="s">
        <v>14</v>
      </c>
      <c r="F46" t="s">
        <v>15</v>
      </c>
      <c r="G46">
        <v>1</v>
      </c>
      <c r="H46">
        <v>50000</v>
      </c>
      <c r="I46">
        <v>10</v>
      </c>
      <c r="J46" t="s">
        <v>16</v>
      </c>
      <c r="L46">
        <f>Table1[[#This Row],[Units]]*Table1[[#This Row],[UnitPrice]]*(1-Table1[[#This Row],[Discount%]]/100)</f>
        <v>45000</v>
      </c>
      <c r="M46" t="str">
        <f t="shared" si="0"/>
        <v/>
      </c>
      <c r="N46" s="9" t="str" cm="1">
        <f t="array" ref="N46">_xlfn.IFS(Table1[[#This Row],[Discount%]]&gt;10,"High Discount",Table1[[#This Row],[Discount%]]&gt;5,"Medium Discount",Table1[[#This Row],[Discount%]]&lt;=5,"Low Discount")</f>
        <v>Medium Discount</v>
      </c>
      <c r="O46" t="str">
        <f>TEXT(Table1[[#This Row],[Date]],"mmm")</f>
        <v>Feb</v>
      </c>
      <c r="P46" t="str">
        <f>Table1[[#This Row],[OrderID]]&amp;" "&amp;Table1[[#This Row],[SalesPerson]]</f>
        <v>O045 Priya</v>
      </c>
    </row>
    <row r="47" spans="1:16" x14ac:dyDescent="0.3">
      <c r="A47" t="s">
        <v>120</v>
      </c>
      <c r="B47" t="s">
        <v>121</v>
      </c>
      <c r="C47" t="s">
        <v>12</v>
      </c>
      <c r="D47" t="s">
        <v>13</v>
      </c>
      <c r="E47" t="s">
        <v>21</v>
      </c>
      <c r="F47" t="s">
        <v>15</v>
      </c>
      <c r="G47">
        <v>2</v>
      </c>
      <c r="H47">
        <v>20000</v>
      </c>
      <c r="I47">
        <v>15</v>
      </c>
      <c r="J47" t="s">
        <v>22</v>
      </c>
      <c r="L47">
        <f>Table1[[#This Row],[Units]]*Table1[[#This Row],[UnitPrice]]*(1-Table1[[#This Row],[Discount%]]/100)</f>
        <v>34000</v>
      </c>
      <c r="M47" t="str">
        <f t="shared" si="0"/>
        <v/>
      </c>
      <c r="N47" s="9" t="str" cm="1">
        <f t="array" ref="N47">_xlfn.IFS(Table1[[#This Row],[Discount%]]&gt;10,"High Discount",Table1[[#This Row],[Discount%]]&gt;5,"Medium Discount",Table1[[#This Row],[Discount%]]&lt;=5,"Low Discount")</f>
        <v>High Discount</v>
      </c>
      <c r="O47" t="str">
        <f>TEXT(Table1[[#This Row],[Date]],"mmm")</f>
        <v>Feb</v>
      </c>
      <c r="P47" t="str">
        <f>Table1[[#This Row],[OrderID]]&amp;" "&amp;Table1[[#This Row],[SalesPerson]]</f>
        <v>O046 Asha</v>
      </c>
    </row>
    <row r="48" spans="1:16" x14ac:dyDescent="0.3">
      <c r="A48" t="s">
        <v>122</v>
      </c>
      <c r="B48" t="s">
        <v>123</v>
      </c>
      <c r="C48" t="s">
        <v>19</v>
      </c>
      <c r="D48" t="s">
        <v>20</v>
      </c>
      <c r="E48" t="s">
        <v>33</v>
      </c>
      <c r="F48" t="s">
        <v>15</v>
      </c>
      <c r="G48">
        <v>8</v>
      </c>
      <c r="H48">
        <v>2000</v>
      </c>
      <c r="I48">
        <v>5</v>
      </c>
      <c r="J48" t="s">
        <v>28</v>
      </c>
      <c r="L48">
        <f>Table1[[#This Row],[Units]]*Table1[[#This Row],[UnitPrice]]*(1-Table1[[#This Row],[Discount%]]/100)</f>
        <v>15200</v>
      </c>
      <c r="M48" t="str">
        <f t="shared" si="0"/>
        <v/>
      </c>
      <c r="N48" s="9" t="str" cm="1">
        <f t="array" ref="N48">_xlfn.IFS(Table1[[#This Row],[Discount%]]&gt;10,"High Discount",Table1[[#This Row],[Discount%]]&gt;5,"Medium Discount",Table1[[#This Row],[Discount%]]&lt;=5,"Low Discount")</f>
        <v>Low Discount</v>
      </c>
      <c r="O48" t="str">
        <f>TEXT(Table1[[#This Row],[Date]],"mmm")</f>
        <v>Feb</v>
      </c>
      <c r="P48" t="str">
        <f>Table1[[#This Row],[OrderID]]&amp;" "&amp;Table1[[#This Row],[SalesPerson]]</f>
        <v>O047 Rahul</v>
      </c>
    </row>
    <row r="49" spans="1:16" x14ac:dyDescent="0.3">
      <c r="A49" t="s">
        <v>124</v>
      </c>
      <c r="B49" t="s">
        <v>125</v>
      </c>
      <c r="C49" t="s">
        <v>25</v>
      </c>
      <c r="D49" t="s">
        <v>26</v>
      </c>
      <c r="E49" t="s">
        <v>14</v>
      </c>
      <c r="F49" t="s">
        <v>15</v>
      </c>
      <c r="G49">
        <v>2</v>
      </c>
      <c r="H49">
        <v>50000</v>
      </c>
      <c r="I49">
        <v>0</v>
      </c>
      <c r="J49" t="s">
        <v>34</v>
      </c>
      <c r="L49">
        <f>Table1[[#This Row],[Units]]*Table1[[#This Row],[UnitPrice]]*(1-Table1[[#This Row],[Discount%]]/100)</f>
        <v>100000</v>
      </c>
      <c r="M49" t="str">
        <f t="shared" si="0"/>
        <v>High Value Order</v>
      </c>
      <c r="N49" s="9" t="str" cm="1">
        <f t="array" ref="N49">_xlfn.IFS(Table1[[#This Row],[Discount%]]&gt;10,"High Discount",Table1[[#This Row],[Discount%]]&gt;5,"Medium Discount",Table1[[#This Row],[Discount%]]&lt;=5,"Low Discount")</f>
        <v>Low Discount</v>
      </c>
      <c r="O49" t="str">
        <f>TEXT(Table1[[#This Row],[Date]],"mmm")</f>
        <v>Feb</v>
      </c>
      <c r="P49" t="str">
        <f>Table1[[#This Row],[OrderID]]&amp;" "&amp;Table1[[#This Row],[SalesPerson]]</f>
        <v>O048 Neha</v>
      </c>
    </row>
    <row r="50" spans="1:16" x14ac:dyDescent="0.3">
      <c r="A50" t="s">
        <v>126</v>
      </c>
      <c r="B50" t="s">
        <v>127</v>
      </c>
      <c r="C50" t="s">
        <v>31</v>
      </c>
      <c r="D50" t="s">
        <v>32</v>
      </c>
      <c r="E50" t="s">
        <v>39</v>
      </c>
      <c r="F50" t="s">
        <v>15</v>
      </c>
      <c r="G50">
        <v>6</v>
      </c>
      <c r="H50">
        <v>1500</v>
      </c>
      <c r="I50">
        <v>10</v>
      </c>
      <c r="J50" t="s">
        <v>22</v>
      </c>
      <c r="L50">
        <f>Table1[[#This Row],[Units]]*Table1[[#This Row],[UnitPrice]]*(1-Table1[[#This Row],[Discount%]]/100)</f>
        <v>8100</v>
      </c>
      <c r="M50" t="str">
        <f t="shared" si="0"/>
        <v/>
      </c>
      <c r="N50" s="9" t="str" cm="1">
        <f t="array" ref="N50">_xlfn.IFS(Table1[[#This Row],[Discount%]]&gt;10,"High Discount",Table1[[#This Row],[Discount%]]&gt;5,"Medium Discount",Table1[[#This Row],[Discount%]]&lt;=5,"Low Discount")</f>
        <v>Medium Discount</v>
      </c>
      <c r="O50" t="str">
        <f>TEXT(Table1[[#This Row],[Date]],"mmm")</f>
        <v>Feb</v>
      </c>
      <c r="P50" t="str">
        <f>Table1[[#This Row],[OrderID]]&amp;" "&amp;Table1[[#This Row],[SalesPerson]]</f>
        <v>O049 Vikram</v>
      </c>
    </row>
    <row r="51" spans="1:16" x14ac:dyDescent="0.3">
      <c r="A51" t="s">
        <v>128</v>
      </c>
      <c r="B51" t="s">
        <v>129</v>
      </c>
      <c r="C51" t="s">
        <v>37</v>
      </c>
      <c r="D51" t="s">
        <v>38</v>
      </c>
      <c r="E51" t="s">
        <v>27</v>
      </c>
      <c r="F51" t="s">
        <v>15</v>
      </c>
      <c r="G51">
        <v>3</v>
      </c>
      <c r="H51">
        <v>30000</v>
      </c>
      <c r="I51">
        <v>5</v>
      </c>
      <c r="J51" t="s">
        <v>28</v>
      </c>
      <c r="L51">
        <f>Table1[[#This Row],[Units]]*Table1[[#This Row],[UnitPrice]]*(1-Table1[[#This Row],[Discount%]]/100)</f>
        <v>85500</v>
      </c>
      <c r="M51" t="str">
        <f t="shared" si="0"/>
        <v>High Value Order</v>
      </c>
      <c r="N51" s="9" t="str" cm="1">
        <f t="array" ref="N51">_xlfn.IFS(Table1[[#This Row],[Discount%]]&gt;10,"High Discount",Table1[[#This Row],[Discount%]]&gt;5,"Medium Discount",Table1[[#This Row],[Discount%]]&lt;=5,"Low Discount")</f>
        <v>Low Discount</v>
      </c>
      <c r="O51" t="str">
        <f>TEXT(Table1[[#This Row],[Date]],"mmm")</f>
        <v>Feb</v>
      </c>
      <c r="P51" t="str">
        <f>Table1[[#This Row],[OrderID]]&amp;" "&amp;Table1[[#This Row],[SalesPerson]]</f>
        <v>O050 Priya</v>
      </c>
    </row>
    <row r="52" spans="1:16" x14ac:dyDescent="0.3">
      <c r="A52" t="s">
        <v>130</v>
      </c>
      <c r="B52" t="s">
        <v>131</v>
      </c>
      <c r="C52" t="s">
        <v>12</v>
      </c>
      <c r="D52" t="s">
        <v>13</v>
      </c>
      <c r="E52" t="s">
        <v>14</v>
      </c>
      <c r="F52" t="s">
        <v>15</v>
      </c>
      <c r="G52">
        <v>1</v>
      </c>
      <c r="H52">
        <v>50000</v>
      </c>
      <c r="I52">
        <v>15</v>
      </c>
      <c r="J52" t="s">
        <v>16</v>
      </c>
      <c r="L52">
        <f>Table1[[#This Row],[Units]]*Table1[[#This Row],[UnitPrice]]*(1-Table1[[#This Row],[Discount%]]/100)</f>
        <v>42500</v>
      </c>
      <c r="M52" t="str">
        <f t="shared" si="0"/>
        <v/>
      </c>
      <c r="N52" s="9" t="str" cm="1">
        <f t="array" ref="N52">_xlfn.IFS(Table1[[#This Row],[Discount%]]&gt;10,"High Discount",Table1[[#This Row],[Discount%]]&gt;5,"Medium Discount",Table1[[#This Row],[Discount%]]&lt;=5,"Low Discount")</f>
        <v>High Discount</v>
      </c>
      <c r="O52" t="str">
        <f>TEXT(Table1[[#This Row],[Date]],"mmm")</f>
        <v>Feb</v>
      </c>
      <c r="P52" t="str">
        <f>Table1[[#This Row],[OrderID]]&amp;" "&amp;Table1[[#This Row],[SalesPerson]]</f>
        <v>O051 Asha</v>
      </c>
    </row>
    <row r="53" spans="1:16" x14ac:dyDescent="0.3">
      <c r="A53" t="s">
        <v>132</v>
      </c>
      <c r="B53" t="s">
        <v>133</v>
      </c>
      <c r="C53" t="s">
        <v>19</v>
      </c>
      <c r="D53" t="s">
        <v>20</v>
      </c>
      <c r="E53" t="s">
        <v>21</v>
      </c>
      <c r="F53" t="s">
        <v>15</v>
      </c>
      <c r="G53">
        <v>4</v>
      </c>
      <c r="H53">
        <v>20000</v>
      </c>
      <c r="I53">
        <v>10</v>
      </c>
      <c r="J53" t="s">
        <v>22</v>
      </c>
      <c r="L53">
        <f>Table1[[#This Row],[Units]]*Table1[[#This Row],[UnitPrice]]*(1-Table1[[#This Row],[Discount%]]/100)</f>
        <v>72000</v>
      </c>
      <c r="M53" t="str">
        <f t="shared" si="0"/>
        <v>High Value Order</v>
      </c>
      <c r="N53" s="9" t="str" cm="1">
        <f t="array" ref="N53">_xlfn.IFS(Table1[[#This Row],[Discount%]]&gt;10,"High Discount",Table1[[#This Row],[Discount%]]&gt;5,"Medium Discount",Table1[[#This Row],[Discount%]]&lt;=5,"Low Discount")</f>
        <v>Medium Discount</v>
      </c>
      <c r="O53" t="str">
        <f>TEXT(Table1[[#This Row],[Date]],"mmm")</f>
        <v>Feb</v>
      </c>
      <c r="P53" t="str">
        <f>Table1[[#This Row],[OrderID]]&amp;" "&amp;Table1[[#This Row],[SalesPerson]]</f>
        <v>O052 Rahul</v>
      </c>
    </row>
    <row r="54" spans="1:16" x14ac:dyDescent="0.3">
      <c r="A54" t="s">
        <v>134</v>
      </c>
      <c r="B54" t="s">
        <v>135</v>
      </c>
      <c r="C54" t="s">
        <v>25</v>
      </c>
      <c r="D54" t="s">
        <v>26</v>
      </c>
      <c r="E54" t="s">
        <v>33</v>
      </c>
      <c r="F54" t="s">
        <v>15</v>
      </c>
      <c r="G54">
        <v>5</v>
      </c>
      <c r="H54">
        <v>2000</v>
      </c>
      <c r="I54">
        <v>0</v>
      </c>
      <c r="J54" t="s">
        <v>28</v>
      </c>
      <c r="L54">
        <f>Table1[[#This Row],[Units]]*Table1[[#This Row],[UnitPrice]]*(1-Table1[[#This Row],[Discount%]]/100)</f>
        <v>10000</v>
      </c>
      <c r="M54" t="str">
        <f t="shared" si="0"/>
        <v/>
      </c>
      <c r="N54" s="9" t="str" cm="1">
        <f t="array" ref="N54">_xlfn.IFS(Table1[[#This Row],[Discount%]]&gt;10,"High Discount",Table1[[#This Row],[Discount%]]&gt;5,"Medium Discount",Table1[[#This Row],[Discount%]]&lt;=5,"Low Discount")</f>
        <v>Low Discount</v>
      </c>
      <c r="O54" t="str">
        <f>TEXT(Table1[[#This Row],[Date]],"mmm")</f>
        <v>Feb</v>
      </c>
      <c r="P54" t="str">
        <f>Table1[[#This Row],[OrderID]]&amp;" "&amp;Table1[[#This Row],[SalesPerson]]</f>
        <v>O053 Neha</v>
      </c>
    </row>
    <row r="55" spans="1:16" x14ac:dyDescent="0.3">
      <c r="A55" t="s">
        <v>136</v>
      </c>
      <c r="B55" t="s">
        <v>137</v>
      </c>
      <c r="C55" t="s">
        <v>31</v>
      </c>
      <c r="D55" t="s">
        <v>32</v>
      </c>
      <c r="E55" t="s">
        <v>27</v>
      </c>
      <c r="F55" t="s">
        <v>15</v>
      </c>
      <c r="G55">
        <v>2</v>
      </c>
      <c r="H55">
        <v>30000</v>
      </c>
      <c r="I55">
        <v>5</v>
      </c>
      <c r="J55" t="s">
        <v>34</v>
      </c>
      <c r="L55">
        <f>Table1[[#This Row],[Units]]*Table1[[#This Row],[UnitPrice]]*(1-Table1[[#This Row],[Discount%]]/100)</f>
        <v>57000</v>
      </c>
      <c r="M55" t="str">
        <f t="shared" si="0"/>
        <v>High Value Order</v>
      </c>
      <c r="N55" s="9" t="str" cm="1">
        <f t="array" ref="N55">_xlfn.IFS(Table1[[#This Row],[Discount%]]&gt;10,"High Discount",Table1[[#This Row],[Discount%]]&gt;5,"Medium Discount",Table1[[#This Row],[Discount%]]&lt;=5,"Low Discount")</f>
        <v>Low Discount</v>
      </c>
      <c r="O55" t="str">
        <f>TEXT(Table1[[#This Row],[Date]],"mmm")</f>
        <v>Feb</v>
      </c>
      <c r="P55" t="str">
        <f>Table1[[#This Row],[OrderID]]&amp;" "&amp;Table1[[#This Row],[SalesPerson]]</f>
        <v>O054 Vikram</v>
      </c>
    </row>
    <row r="56" spans="1:16" x14ac:dyDescent="0.3">
      <c r="A56" t="s">
        <v>138</v>
      </c>
      <c r="B56" t="s">
        <v>139</v>
      </c>
      <c r="C56" t="s">
        <v>37</v>
      </c>
      <c r="D56" t="s">
        <v>38</v>
      </c>
      <c r="E56" t="s">
        <v>39</v>
      </c>
      <c r="F56" t="s">
        <v>15</v>
      </c>
      <c r="G56">
        <v>7</v>
      </c>
      <c r="H56">
        <v>1500</v>
      </c>
      <c r="I56">
        <v>10</v>
      </c>
      <c r="J56" t="s">
        <v>22</v>
      </c>
      <c r="L56">
        <f>Table1[[#This Row],[Units]]*Table1[[#This Row],[UnitPrice]]*(1-Table1[[#This Row],[Discount%]]/100)</f>
        <v>9450</v>
      </c>
      <c r="M56" t="str">
        <f t="shared" si="0"/>
        <v/>
      </c>
      <c r="N56" s="9" t="str" cm="1">
        <f t="array" ref="N56">_xlfn.IFS(Table1[[#This Row],[Discount%]]&gt;10,"High Discount",Table1[[#This Row],[Discount%]]&gt;5,"Medium Discount",Table1[[#This Row],[Discount%]]&lt;=5,"Low Discount")</f>
        <v>Medium Discount</v>
      </c>
      <c r="O56" t="str">
        <f>TEXT(Table1[[#This Row],[Date]],"mmm")</f>
        <v>Feb</v>
      </c>
      <c r="P56" t="str">
        <f>Table1[[#This Row],[OrderID]]&amp;" "&amp;Table1[[#This Row],[SalesPerson]]</f>
        <v>O055 Priya</v>
      </c>
    </row>
    <row r="57" spans="1:16" x14ac:dyDescent="0.3">
      <c r="A57" t="s">
        <v>140</v>
      </c>
      <c r="B57" t="s">
        <v>141</v>
      </c>
      <c r="C57" t="s">
        <v>12</v>
      </c>
      <c r="D57" t="s">
        <v>13</v>
      </c>
      <c r="E57" t="s">
        <v>21</v>
      </c>
      <c r="F57" t="s">
        <v>15</v>
      </c>
      <c r="G57">
        <v>3</v>
      </c>
      <c r="H57">
        <v>20000</v>
      </c>
      <c r="I57">
        <v>5</v>
      </c>
      <c r="J57" t="s">
        <v>16</v>
      </c>
      <c r="L57">
        <f>Table1[[#This Row],[Units]]*Table1[[#This Row],[UnitPrice]]*(1-Table1[[#This Row],[Discount%]]/100)</f>
        <v>57000</v>
      </c>
      <c r="M57" t="str">
        <f t="shared" si="0"/>
        <v>High Value Order</v>
      </c>
      <c r="N57" s="9" t="str" cm="1">
        <f t="array" ref="N57">_xlfn.IFS(Table1[[#This Row],[Discount%]]&gt;10,"High Discount",Table1[[#This Row],[Discount%]]&gt;5,"Medium Discount",Table1[[#This Row],[Discount%]]&lt;=5,"Low Discount")</f>
        <v>Low Discount</v>
      </c>
      <c r="O57" t="str">
        <f>TEXT(Table1[[#This Row],[Date]],"mmm")</f>
        <v>Feb</v>
      </c>
      <c r="P57" t="str">
        <f>Table1[[#This Row],[OrderID]]&amp;" "&amp;Table1[[#This Row],[SalesPerson]]</f>
        <v>O056 Asha</v>
      </c>
    </row>
    <row r="58" spans="1:16" x14ac:dyDescent="0.3">
      <c r="A58" t="s">
        <v>142</v>
      </c>
      <c r="B58" t="s">
        <v>143</v>
      </c>
      <c r="C58" t="s">
        <v>19</v>
      </c>
      <c r="D58" t="s">
        <v>20</v>
      </c>
      <c r="E58" t="s">
        <v>14</v>
      </c>
      <c r="F58" t="s">
        <v>15</v>
      </c>
      <c r="G58">
        <v>2</v>
      </c>
      <c r="H58">
        <v>50000</v>
      </c>
      <c r="I58">
        <v>0</v>
      </c>
      <c r="J58" t="s">
        <v>28</v>
      </c>
      <c r="L58">
        <f>Table1[[#This Row],[Units]]*Table1[[#This Row],[UnitPrice]]*(1-Table1[[#This Row],[Discount%]]/100)</f>
        <v>100000</v>
      </c>
      <c r="M58" t="str">
        <f t="shared" si="0"/>
        <v>High Value Order</v>
      </c>
      <c r="N58" s="9" t="str" cm="1">
        <f t="array" ref="N58">_xlfn.IFS(Table1[[#This Row],[Discount%]]&gt;10,"High Discount",Table1[[#This Row],[Discount%]]&gt;5,"Medium Discount",Table1[[#This Row],[Discount%]]&lt;=5,"Low Discount")</f>
        <v>Low Discount</v>
      </c>
      <c r="O58" t="str">
        <f>TEXT(Table1[[#This Row],[Date]],"mmm")</f>
        <v>Feb</v>
      </c>
      <c r="P58" t="str">
        <f>Table1[[#This Row],[OrderID]]&amp;" "&amp;Table1[[#This Row],[SalesPerson]]</f>
        <v>O057 Rahul</v>
      </c>
    </row>
    <row r="59" spans="1:16" x14ac:dyDescent="0.3">
      <c r="A59" t="s">
        <v>144</v>
      </c>
      <c r="B59" t="s">
        <v>145</v>
      </c>
      <c r="C59" t="s">
        <v>25</v>
      </c>
      <c r="D59" t="s">
        <v>26</v>
      </c>
      <c r="E59" t="s">
        <v>27</v>
      </c>
      <c r="F59" t="s">
        <v>15</v>
      </c>
      <c r="G59">
        <v>4</v>
      </c>
      <c r="H59">
        <v>30000</v>
      </c>
      <c r="I59">
        <v>15</v>
      </c>
      <c r="J59" t="s">
        <v>22</v>
      </c>
      <c r="L59">
        <f>Table1[[#This Row],[Units]]*Table1[[#This Row],[UnitPrice]]*(1-Table1[[#This Row],[Discount%]]/100)</f>
        <v>102000</v>
      </c>
      <c r="M59" t="str">
        <f t="shared" si="0"/>
        <v>High Value Order</v>
      </c>
      <c r="N59" s="9" t="str" cm="1">
        <f t="array" ref="N59">_xlfn.IFS(Table1[[#This Row],[Discount%]]&gt;10,"High Discount",Table1[[#This Row],[Discount%]]&gt;5,"Medium Discount",Table1[[#This Row],[Discount%]]&lt;=5,"Low Discount")</f>
        <v>High Discount</v>
      </c>
      <c r="O59" t="str">
        <f>TEXT(Table1[[#This Row],[Date]],"mmm")</f>
        <v>Feb</v>
      </c>
      <c r="P59" t="str">
        <f>Table1[[#This Row],[OrderID]]&amp;" "&amp;Table1[[#This Row],[SalesPerson]]</f>
        <v>O058 Neha</v>
      </c>
    </row>
    <row r="60" spans="1:16" x14ac:dyDescent="0.3">
      <c r="A60" t="s">
        <v>146</v>
      </c>
      <c r="B60" t="s">
        <v>147</v>
      </c>
      <c r="C60" t="s">
        <v>31</v>
      </c>
      <c r="D60" t="s">
        <v>32</v>
      </c>
      <c r="E60" t="s">
        <v>33</v>
      </c>
      <c r="F60" t="s">
        <v>15</v>
      </c>
      <c r="G60">
        <v>6</v>
      </c>
      <c r="H60">
        <v>2000</v>
      </c>
      <c r="I60">
        <v>10</v>
      </c>
      <c r="J60" t="s">
        <v>34</v>
      </c>
      <c r="L60">
        <f>Table1[[#This Row],[Units]]*Table1[[#This Row],[UnitPrice]]*(1-Table1[[#This Row],[Discount%]]/100)</f>
        <v>10800</v>
      </c>
      <c r="M60" t="str">
        <f t="shared" si="0"/>
        <v/>
      </c>
      <c r="N60" s="9" t="str" cm="1">
        <f t="array" ref="N60">_xlfn.IFS(Table1[[#This Row],[Discount%]]&gt;10,"High Discount",Table1[[#This Row],[Discount%]]&gt;5,"Medium Discount",Table1[[#This Row],[Discount%]]&lt;=5,"Low Discount")</f>
        <v>Medium Discount</v>
      </c>
      <c r="O60" t="str">
        <f>TEXT(Table1[[#This Row],[Date]],"mmm")</f>
        <v>Feb</v>
      </c>
      <c r="P60" t="str">
        <f>Table1[[#This Row],[OrderID]]&amp;" "&amp;Table1[[#This Row],[SalesPerson]]</f>
        <v>O059 Vikram</v>
      </c>
    </row>
    <row r="61" spans="1:16" x14ac:dyDescent="0.3">
      <c r="A61" t="s">
        <v>148</v>
      </c>
      <c r="B61" t="s">
        <v>149</v>
      </c>
      <c r="C61" t="s">
        <v>37</v>
      </c>
      <c r="D61" t="s">
        <v>38</v>
      </c>
      <c r="E61" t="s">
        <v>21</v>
      </c>
      <c r="F61" t="s">
        <v>15</v>
      </c>
      <c r="G61">
        <v>1</v>
      </c>
      <c r="H61">
        <v>20000</v>
      </c>
      <c r="I61">
        <v>5</v>
      </c>
      <c r="J61" t="s">
        <v>28</v>
      </c>
      <c r="L61">
        <f>Table1[[#This Row],[Units]]*Table1[[#This Row],[UnitPrice]]*(1-Table1[[#This Row],[Discount%]]/100)</f>
        <v>19000</v>
      </c>
      <c r="M61" t="str">
        <f t="shared" si="0"/>
        <v/>
      </c>
      <c r="N61" s="9" t="str" cm="1">
        <f t="array" ref="N61">_xlfn.IFS(Table1[[#This Row],[Discount%]]&gt;10,"High Discount",Table1[[#This Row],[Discount%]]&gt;5,"Medium Discount",Table1[[#This Row],[Discount%]]&lt;=5,"Low Discount")</f>
        <v>Low Discount</v>
      </c>
      <c r="O61" t="str">
        <f>TEXT(Table1[[#This Row],[Date]],"mmm")</f>
        <v>Mar</v>
      </c>
      <c r="P61" t="str">
        <f>Table1[[#This Row],[OrderID]]&amp;" "&amp;Table1[[#This Row],[SalesPerson]]</f>
        <v>O060 Priya</v>
      </c>
    </row>
    <row r="62" spans="1:16" x14ac:dyDescent="0.3">
      <c r="A62" t="s">
        <v>150</v>
      </c>
      <c r="B62" t="s">
        <v>151</v>
      </c>
      <c r="C62" t="s">
        <v>12</v>
      </c>
      <c r="D62" t="s">
        <v>13</v>
      </c>
      <c r="E62" t="s">
        <v>39</v>
      </c>
      <c r="F62" t="s">
        <v>15</v>
      </c>
      <c r="G62">
        <v>5</v>
      </c>
      <c r="H62">
        <v>1500</v>
      </c>
      <c r="I62">
        <v>0</v>
      </c>
      <c r="J62" t="s">
        <v>22</v>
      </c>
      <c r="L62">
        <f>Table1[[#This Row],[Units]]*Table1[[#This Row],[UnitPrice]]*(1-Table1[[#This Row],[Discount%]]/100)</f>
        <v>7500</v>
      </c>
      <c r="M62" t="str">
        <f t="shared" si="0"/>
        <v/>
      </c>
      <c r="N62" s="9" t="str" cm="1">
        <f t="array" ref="N62">_xlfn.IFS(Table1[[#This Row],[Discount%]]&gt;10,"High Discount",Table1[[#This Row],[Discount%]]&gt;5,"Medium Discount",Table1[[#This Row],[Discount%]]&lt;=5,"Low Discount")</f>
        <v>Low Discount</v>
      </c>
      <c r="O62" t="str">
        <f>TEXT(Table1[[#This Row],[Date]],"mmm")</f>
        <v>Mar</v>
      </c>
      <c r="P62" t="str">
        <f>Table1[[#This Row],[OrderID]]&amp;" "&amp;Table1[[#This Row],[SalesPerson]]</f>
        <v>O061 Asha</v>
      </c>
    </row>
    <row r="63" spans="1:16" x14ac:dyDescent="0.3">
      <c r="A63" t="s">
        <v>152</v>
      </c>
      <c r="B63" t="s">
        <v>153</v>
      </c>
      <c r="C63" t="s">
        <v>19</v>
      </c>
      <c r="D63" t="s">
        <v>20</v>
      </c>
      <c r="E63" t="s">
        <v>27</v>
      </c>
      <c r="F63" t="s">
        <v>15</v>
      </c>
      <c r="G63">
        <v>2</v>
      </c>
      <c r="H63">
        <v>30000</v>
      </c>
      <c r="I63">
        <v>10</v>
      </c>
      <c r="J63" t="s">
        <v>16</v>
      </c>
      <c r="L63">
        <f>Table1[[#This Row],[Units]]*Table1[[#This Row],[UnitPrice]]*(1-Table1[[#This Row],[Discount%]]/100)</f>
        <v>54000</v>
      </c>
      <c r="M63" t="str">
        <f t="shared" si="0"/>
        <v>High Value Order</v>
      </c>
      <c r="N63" s="9" t="str" cm="1">
        <f t="array" ref="N63">_xlfn.IFS(Table1[[#This Row],[Discount%]]&gt;10,"High Discount",Table1[[#This Row],[Discount%]]&gt;5,"Medium Discount",Table1[[#This Row],[Discount%]]&lt;=5,"Low Discount")</f>
        <v>Medium Discount</v>
      </c>
      <c r="O63" t="str">
        <f>TEXT(Table1[[#This Row],[Date]],"mmm")</f>
        <v>Mar</v>
      </c>
      <c r="P63" t="str">
        <f>Table1[[#This Row],[OrderID]]&amp;" "&amp;Table1[[#This Row],[SalesPerson]]</f>
        <v>O062 Rahul</v>
      </c>
    </row>
    <row r="64" spans="1:16" x14ac:dyDescent="0.3">
      <c r="A64" t="s">
        <v>154</v>
      </c>
      <c r="B64" t="s">
        <v>155</v>
      </c>
      <c r="C64" t="s">
        <v>25</v>
      </c>
      <c r="D64" t="s">
        <v>26</v>
      </c>
      <c r="E64" t="s">
        <v>21</v>
      </c>
      <c r="F64" t="s">
        <v>15</v>
      </c>
      <c r="G64">
        <v>3</v>
      </c>
      <c r="H64">
        <v>20000</v>
      </c>
      <c r="I64">
        <v>5</v>
      </c>
      <c r="J64" t="s">
        <v>28</v>
      </c>
      <c r="L64">
        <f>Table1[[#This Row],[Units]]*Table1[[#This Row],[UnitPrice]]*(1-Table1[[#This Row],[Discount%]]/100)</f>
        <v>57000</v>
      </c>
      <c r="M64" t="str">
        <f t="shared" si="0"/>
        <v>High Value Order</v>
      </c>
      <c r="N64" s="9" t="str" cm="1">
        <f t="array" ref="N64">_xlfn.IFS(Table1[[#This Row],[Discount%]]&gt;10,"High Discount",Table1[[#This Row],[Discount%]]&gt;5,"Medium Discount",Table1[[#This Row],[Discount%]]&lt;=5,"Low Discount")</f>
        <v>Low Discount</v>
      </c>
      <c r="O64" t="str">
        <f>TEXT(Table1[[#This Row],[Date]],"mmm")</f>
        <v>Mar</v>
      </c>
      <c r="P64" t="str">
        <f>Table1[[#This Row],[OrderID]]&amp;" "&amp;Table1[[#This Row],[SalesPerson]]</f>
        <v>O063 Neha</v>
      </c>
    </row>
    <row r="65" spans="1:16" x14ac:dyDescent="0.3">
      <c r="A65" t="s">
        <v>156</v>
      </c>
      <c r="B65" t="s">
        <v>157</v>
      </c>
      <c r="C65" t="s">
        <v>31</v>
      </c>
      <c r="D65" t="s">
        <v>32</v>
      </c>
      <c r="E65" t="s">
        <v>14</v>
      </c>
      <c r="F65" t="s">
        <v>15</v>
      </c>
      <c r="G65">
        <v>1</v>
      </c>
      <c r="H65">
        <v>50000</v>
      </c>
      <c r="I65">
        <v>15</v>
      </c>
      <c r="J65" t="s">
        <v>22</v>
      </c>
      <c r="L65">
        <f>Table1[[#This Row],[Units]]*Table1[[#This Row],[UnitPrice]]*(1-Table1[[#This Row],[Discount%]]/100)</f>
        <v>42500</v>
      </c>
      <c r="M65" t="str">
        <f t="shared" si="0"/>
        <v/>
      </c>
      <c r="N65" s="9" t="str" cm="1">
        <f t="array" ref="N65">_xlfn.IFS(Table1[[#This Row],[Discount%]]&gt;10,"High Discount",Table1[[#This Row],[Discount%]]&gt;5,"Medium Discount",Table1[[#This Row],[Discount%]]&lt;=5,"Low Discount")</f>
        <v>High Discount</v>
      </c>
      <c r="O65" t="str">
        <f>TEXT(Table1[[#This Row],[Date]],"mmm")</f>
        <v>Mar</v>
      </c>
      <c r="P65" t="str">
        <f>Table1[[#This Row],[OrderID]]&amp;" "&amp;Table1[[#This Row],[SalesPerson]]</f>
        <v>O064 Vikram</v>
      </c>
    </row>
    <row r="66" spans="1:16" x14ac:dyDescent="0.3">
      <c r="A66" t="s">
        <v>158</v>
      </c>
      <c r="B66" t="s">
        <v>159</v>
      </c>
      <c r="C66" t="s">
        <v>37</v>
      </c>
      <c r="D66" t="s">
        <v>38</v>
      </c>
      <c r="E66" t="s">
        <v>33</v>
      </c>
      <c r="F66" t="s">
        <v>15</v>
      </c>
      <c r="G66">
        <v>9</v>
      </c>
      <c r="H66">
        <v>2000</v>
      </c>
      <c r="I66">
        <v>10</v>
      </c>
      <c r="J66" t="s">
        <v>34</v>
      </c>
      <c r="L66">
        <f>Table1[[#This Row],[Units]]*Table1[[#This Row],[UnitPrice]]*(1-Table1[[#This Row],[Discount%]]/100)</f>
        <v>16200</v>
      </c>
      <c r="M66" t="str">
        <f t="shared" si="0"/>
        <v/>
      </c>
      <c r="N66" s="9" t="str" cm="1">
        <f t="array" ref="N66">_xlfn.IFS(Table1[[#This Row],[Discount%]]&gt;10,"High Discount",Table1[[#This Row],[Discount%]]&gt;5,"Medium Discount",Table1[[#This Row],[Discount%]]&lt;=5,"Low Discount")</f>
        <v>Medium Discount</v>
      </c>
      <c r="O66" t="str">
        <f>TEXT(Table1[[#This Row],[Date]],"mmm")</f>
        <v>Mar</v>
      </c>
      <c r="P66" t="str">
        <f>Table1[[#This Row],[OrderID]]&amp;" "&amp;Table1[[#This Row],[SalesPerson]]</f>
        <v>O065 Priya</v>
      </c>
    </row>
    <row r="67" spans="1:16" x14ac:dyDescent="0.3">
      <c r="A67" t="s">
        <v>160</v>
      </c>
      <c r="B67" t="s">
        <v>161</v>
      </c>
      <c r="C67" t="s">
        <v>12</v>
      </c>
      <c r="D67" t="s">
        <v>13</v>
      </c>
      <c r="E67" t="s">
        <v>27</v>
      </c>
      <c r="F67" t="s">
        <v>15</v>
      </c>
      <c r="G67">
        <v>2</v>
      </c>
      <c r="H67">
        <v>30000</v>
      </c>
      <c r="I67">
        <v>0</v>
      </c>
      <c r="J67" t="s">
        <v>28</v>
      </c>
      <c r="L67">
        <f>Table1[[#This Row],[Units]]*Table1[[#This Row],[UnitPrice]]*(1-Table1[[#This Row],[Discount%]]/100)</f>
        <v>60000</v>
      </c>
      <c r="M67" t="str">
        <f t="shared" ref="M67:M101" si="1">IF(L67&gt;50000,"High Value Order","")</f>
        <v>High Value Order</v>
      </c>
      <c r="N67" s="9" t="str" cm="1">
        <f t="array" ref="N67">_xlfn.IFS(Table1[[#This Row],[Discount%]]&gt;10,"High Discount",Table1[[#This Row],[Discount%]]&gt;5,"Medium Discount",Table1[[#This Row],[Discount%]]&lt;=5,"Low Discount")</f>
        <v>Low Discount</v>
      </c>
      <c r="O67" t="str">
        <f>TEXT(Table1[[#This Row],[Date]],"mmm")</f>
        <v>Mar</v>
      </c>
      <c r="P67" t="str">
        <f>Table1[[#This Row],[OrderID]]&amp;" "&amp;Table1[[#This Row],[SalesPerson]]</f>
        <v>O066 Asha</v>
      </c>
    </row>
    <row r="68" spans="1:16" x14ac:dyDescent="0.3">
      <c r="A68" t="s">
        <v>162</v>
      </c>
      <c r="B68" t="s">
        <v>163</v>
      </c>
      <c r="C68" t="s">
        <v>19</v>
      </c>
      <c r="D68" t="s">
        <v>20</v>
      </c>
      <c r="E68" t="s">
        <v>39</v>
      </c>
      <c r="F68" t="s">
        <v>15</v>
      </c>
      <c r="G68">
        <v>6</v>
      </c>
      <c r="H68">
        <v>1500</v>
      </c>
      <c r="I68">
        <v>5</v>
      </c>
      <c r="J68" t="s">
        <v>22</v>
      </c>
      <c r="L68">
        <f>Table1[[#This Row],[Units]]*Table1[[#This Row],[UnitPrice]]*(1-Table1[[#This Row],[Discount%]]/100)</f>
        <v>8550</v>
      </c>
      <c r="M68" t="str">
        <f t="shared" si="1"/>
        <v/>
      </c>
      <c r="N68" s="9" t="str" cm="1">
        <f t="array" ref="N68">_xlfn.IFS(Table1[[#This Row],[Discount%]]&gt;10,"High Discount",Table1[[#This Row],[Discount%]]&gt;5,"Medium Discount",Table1[[#This Row],[Discount%]]&lt;=5,"Low Discount")</f>
        <v>Low Discount</v>
      </c>
      <c r="O68" t="str">
        <f>TEXT(Table1[[#This Row],[Date]],"mmm")</f>
        <v>Mar</v>
      </c>
      <c r="P68" t="str">
        <f>Table1[[#This Row],[OrderID]]&amp;" "&amp;Table1[[#This Row],[SalesPerson]]</f>
        <v>O067 Rahul</v>
      </c>
    </row>
    <row r="69" spans="1:16" x14ac:dyDescent="0.3">
      <c r="A69" t="s">
        <v>164</v>
      </c>
      <c r="B69" t="s">
        <v>165</v>
      </c>
      <c r="C69" t="s">
        <v>25</v>
      </c>
      <c r="D69" t="s">
        <v>26</v>
      </c>
      <c r="E69" t="s">
        <v>14</v>
      </c>
      <c r="F69" t="s">
        <v>15</v>
      </c>
      <c r="G69">
        <v>3</v>
      </c>
      <c r="H69">
        <v>50000</v>
      </c>
      <c r="I69">
        <v>10</v>
      </c>
      <c r="J69" t="s">
        <v>16</v>
      </c>
      <c r="L69">
        <f>Table1[[#This Row],[Units]]*Table1[[#This Row],[UnitPrice]]*(1-Table1[[#This Row],[Discount%]]/100)</f>
        <v>135000</v>
      </c>
      <c r="M69" t="str">
        <f t="shared" si="1"/>
        <v>High Value Order</v>
      </c>
      <c r="N69" s="9" t="str" cm="1">
        <f t="array" ref="N69">_xlfn.IFS(Table1[[#This Row],[Discount%]]&gt;10,"High Discount",Table1[[#This Row],[Discount%]]&gt;5,"Medium Discount",Table1[[#This Row],[Discount%]]&lt;=5,"Low Discount")</f>
        <v>Medium Discount</v>
      </c>
      <c r="O69" t="str">
        <f>TEXT(Table1[[#This Row],[Date]],"mmm")</f>
        <v>Mar</v>
      </c>
      <c r="P69" t="str">
        <f>Table1[[#This Row],[OrderID]]&amp;" "&amp;Table1[[#This Row],[SalesPerson]]</f>
        <v>O068 Neha</v>
      </c>
    </row>
    <row r="70" spans="1:16" x14ac:dyDescent="0.3">
      <c r="A70" t="s">
        <v>166</v>
      </c>
      <c r="B70" t="s">
        <v>167</v>
      </c>
      <c r="C70" t="s">
        <v>31</v>
      </c>
      <c r="D70" t="s">
        <v>32</v>
      </c>
      <c r="E70" t="s">
        <v>21</v>
      </c>
      <c r="F70" t="s">
        <v>15</v>
      </c>
      <c r="G70">
        <v>4</v>
      </c>
      <c r="H70">
        <v>20000</v>
      </c>
      <c r="I70">
        <v>0</v>
      </c>
      <c r="J70" t="s">
        <v>28</v>
      </c>
      <c r="L70">
        <f>Table1[[#This Row],[Units]]*Table1[[#This Row],[UnitPrice]]*(1-Table1[[#This Row],[Discount%]]/100)</f>
        <v>80000</v>
      </c>
      <c r="M70" t="str">
        <f t="shared" si="1"/>
        <v>High Value Order</v>
      </c>
      <c r="N70" s="9" t="str" cm="1">
        <f t="array" ref="N70">_xlfn.IFS(Table1[[#This Row],[Discount%]]&gt;10,"High Discount",Table1[[#This Row],[Discount%]]&gt;5,"Medium Discount",Table1[[#This Row],[Discount%]]&lt;=5,"Low Discount")</f>
        <v>Low Discount</v>
      </c>
      <c r="O70" t="str">
        <f>TEXT(Table1[[#This Row],[Date]],"mmm")</f>
        <v>Mar</v>
      </c>
      <c r="P70" t="str">
        <f>Table1[[#This Row],[OrderID]]&amp;" "&amp;Table1[[#This Row],[SalesPerson]]</f>
        <v>O069 Vikram</v>
      </c>
    </row>
    <row r="71" spans="1:16" x14ac:dyDescent="0.3">
      <c r="A71" t="s">
        <v>168</v>
      </c>
      <c r="B71" t="s">
        <v>169</v>
      </c>
      <c r="C71" t="s">
        <v>37</v>
      </c>
      <c r="D71" t="s">
        <v>38</v>
      </c>
      <c r="E71" t="s">
        <v>27</v>
      </c>
      <c r="F71" t="s">
        <v>15</v>
      </c>
      <c r="G71">
        <v>2</v>
      </c>
      <c r="H71">
        <v>30000</v>
      </c>
      <c r="I71">
        <v>15</v>
      </c>
      <c r="J71" t="s">
        <v>22</v>
      </c>
      <c r="L71">
        <f>Table1[[#This Row],[Units]]*Table1[[#This Row],[UnitPrice]]*(1-Table1[[#This Row],[Discount%]]/100)</f>
        <v>51000</v>
      </c>
      <c r="M71" t="str">
        <f t="shared" si="1"/>
        <v>High Value Order</v>
      </c>
      <c r="N71" s="9" t="str" cm="1">
        <f t="array" ref="N71">_xlfn.IFS(Table1[[#This Row],[Discount%]]&gt;10,"High Discount",Table1[[#This Row],[Discount%]]&gt;5,"Medium Discount",Table1[[#This Row],[Discount%]]&lt;=5,"Low Discount")</f>
        <v>High Discount</v>
      </c>
      <c r="O71" t="str">
        <f>TEXT(Table1[[#This Row],[Date]],"mmm")</f>
        <v>Mar</v>
      </c>
      <c r="P71" t="str">
        <f>Table1[[#This Row],[OrderID]]&amp;" "&amp;Table1[[#This Row],[SalesPerson]]</f>
        <v>O070 Priya</v>
      </c>
    </row>
    <row r="72" spans="1:16" x14ac:dyDescent="0.3">
      <c r="A72" t="s">
        <v>170</v>
      </c>
      <c r="B72" t="s">
        <v>171</v>
      </c>
      <c r="C72" t="s">
        <v>12</v>
      </c>
      <c r="D72" t="s">
        <v>13</v>
      </c>
      <c r="E72" t="s">
        <v>14</v>
      </c>
      <c r="F72" t="s">
        <v>15</v>
      </c>
      <c r="G72">
        <v>1</v>
      </c>
      <c r="H72">
        <v>50000</v>
      </c>
      <c r="I72">
        <v>5</v>
      </c>
      <c r="J72" t="s">
        <v>16</v>
      </c>
      <c r="L72">
        <f>Table1[[#This Row],[Units]]*Table1[[#This Row],[UnitPrice]]*(1-Table1[[#This Row],[Discount%]]/100)</f>
        <v>47500</v>
      </c>
      <c r="M72" t="str">
        <f t="shared" si="1"/>
        <v/>
      </c>
      <c r="N72" s="9" t="str" cm="1">
        <f t="array" ref="N72">_xlfn.IFS(Table1[[#This Row],[Discount%]]&gt;10,"High Discount",Table1[[#This Row],[Discount%]]&gt;5,"Medium Discount",Table1[[#This Row],[Discount%]]&lt;=5,"Low Discount")</f>
        <v>Low Discount</v>
      </c>
      <c r="O72" t="str">
        <f>TEXT(Table1[[#This Row],[Date]],"mmm")</f>
        <v>Mar</v>
      </c>
      <c r="P72" t="str">
        <f>Table1[[#This Row],[OrderID]]&amp;" "&amp;Table1[[#This Row],[SalesPerson]]</f>
        <v>O071 Asha</v>
      </c>
    </row>
    <row r="73" spans="1:16" x14ac:dyDescent="0.3">
      <c r="A73" t="s">
        <v>172</v>
      </c>
      <c r="B73" t="s">
        <v>173</v>
      </c>
      <c r="C73" t="s">
        <v>19</v>
      </c>
      <c r="D73" t="s">
        <v>20</v>
      </c>
      <c r="E73" t="s">
        <v>33</v>
      </c>
      <c r="F73" t="s">
        <v>15</v>
      </c>
      <c r="G73">
        <v>7</v>
      </c>
      <c r="H73">
        <v>2000</v>
      </c>
      <c r="I73">
        <v>10</v>
      </c>
      <c r="J73" t="s">
        <v>28</v>
      </c>
      <c r="L73">
        <f>Table1[[#This Row],[Units]]*Table1[[#This Row],[UnitPrice]]*(1-Table1[[#This Row],[Discount%]]/100)</f>
        <v>12600</v>
      </c>
      <c r="M73" t="str">
        <f t="shared" si="1"/>
        <v/>
      </c>
      <c r="N73" s="9" t="str" cm="1">
        <f t="array" ref="N73">_xlfn.IFS(Table1[[#This Row],[Discount%]]&gt;10,"High Discount",Table1[[#This Row],[Discount%]]&gt;5,"Medium Discount",Table1[[#This Row],[Discount%]]&lt;=5,"Low Discount")</f>
        <v>Medium Discount</v>
      </c>
      <c r="O73" t="str">
        <f>TEXT(Table1[[#This Row],[Date]],"mmm")</f>
        <v>Mar</v>
      </c>
      <c r="P73" t="str">
        <f>Table1[[#This Row],[OrderID]]&amp;" "&amp;Table1[[#This Row],[SalesPerson]]</f>
        <v>O072 Rahul</v>
      </c>
    </row>
    <row r="74" spans="1:16" x14ac:dyDescent="0.3">
      <c r="A74" t="s">
        <v>174</v>
      </c>
      <c r="B74" t="s">
        <v>175</v>
      </c>
      <c r="C74" t="s">
        <v>25</v>
      </c>
      <c r="D74" t="s">
        <v>26</v>
      </c>
      <c r="E74" t="s">
        <v>39</v>
      </c>
      <c r="F74" t="s">
        <v>15</v>
      </c>
      <c r="G74">
        <v>5</v>
      </c>
      <c r="H74">
        <v>1500</v>
      </c>
      <c r="I74">
        <v>0</v>
      </c>
      <c r="J74" t="s">
        <v>22</v>
      </c>
      <c r="L74">
        <f>Table1[[#This Row],[Units]]*Table1[[#This Row],[UnitPrice]]*(1-Table1[[#This Row],[Discount%]]/100)</f>
        <v>7500</v>
      </c>
      <c r="M74" t="str">
        <f t="shared" si="1"/>
        <v/>
      </c>
      <c r="N74" s="9" t="str" cm="1">
        <f t="array" ref="N74">_xlfn.IFS(Table1[[#This Row],[Discount%]]&gt;10,"High Discount",Table1[[#This Row],[Discount%]]&gt;5,"Medium Discount",Table1[[#This Row],[Discount%]]&lt;=5,"Low Discount")</f>
        <v>Low Discount</v>
      </c>
      <c r="O74" t="str">
        <f>TEXT(Table1[[#This Row],[Date]],"mmm")</f>
        <v>Mar</v>
      </c>
      <c r="P74" t="str">
        <f>Table1[[#This Row],[OrderID]]&amp;" "&amp;Table1[[#This Row],[SalesPerson]]</f>
        <v>O073 Neha</v>
      </c>
    </row>
    <row r="75" spans="1:16" x14ac:dyDescent="0.3">
      <c r="A75" t="s">
        <v>176</v>
      </c>
      <c r="B75" t="s">
        <v>177</v>
      </c>
      <c r="C75" t="s">
        <v>31</v>
      </c>
      <c r="D75" t="s">
        <v>32</v>
      </c>
      <c r="E75" t="s">
        <v>27</v>
      </c>
      <c r="F75" t="s">
        <v>15</v>
      </c>
      <c r="G75">
        <v>2</v>
      </c>
      <c r="H75">
        <v>30000</v>
      </c>
      <c r="I75">
        <v>5</v>
      </c>
      <c r="J75" t="s">
        <v>34</v>
      </c>
      <c r="L75">
        <f>Table1[[#This Row],[Units]]*Table1[[#This Row],[UnitPrice]]*(1-Table1[[#This Row],[Discount%]]/100)</f>
        <v>57000</v>
      </c>
      <c r="M75" t="str">
        <f t="shared" si="1"/>
        <v>High Value Order</v>
      </c>
      <c r="N75" s="9" t="str" cm="1">
        <f t="array" ref="N75">_xlfn.IFS(Table1[[#This Row],[Discount%]]&gt;10,"High Discount",Table1[[#This Row],[Discount%]]&gt;5,"Medium Discount",Table1[[#This Row],[Discount%]]&lt;=5,"Low Discount")</f>
        <v>Low Discount</v>
      </c>
      <c r="O75" t="str">
        <f>TEXT(Table1[[#This Row],[Date]],"mmm")</f>
        <v>Mar</v>
      </c>
      <c r="P75" t="str">
        <f>Table1[[#This Row],[OrderID]]&amp;" "&amp;Table1[[#This Row],[SalesPerson]]</f>
        <v>O074 Vikram</v>
      </c>
    </row>
    <row r="76" spans="1:16" x14ac:dyDescent="0.3">
      <c r="A76" t="s">
        <v>178</v>
      </c>
      <c r="B76" t="s">
        <v>179</v>
      </c>
      <c r="C76" t="s">
        <v>37</v>
      </c>
      <c r="D76" t="s">
        <v>38</v>
      </c>
      <c r="E76" t="s">
        <v>14</v>
      </c>
      <c r="F76" t="s">
        <v>15</v>
      </c>
      <c r="G76">
        <v>3</v>
      </c>
      <c r="H76">
        <v>50000</v>
      </c>
      <c r="I76">
        <v>10</v>
      </c>
      <c r="J76" t="s">
        <v>28</v>
      </c>
      <c r="L76">
        <f>Table1[[#This Row],[Units]]*Table1[[#This Row],[UnitPrice]]*(1-Table1[[#This Row],[Discount%]]/100)</f>
        <v>135000</v>
      </c>
      <c r="M76" t="str">
        <f t="shared" si="1"/>
        <v>High Value Order</v>
      </c>
      <c r="N76" s="9" t="str" cm="1">
        <f t="array" ref="N76">_xlfn.IFS(Table1[[#This Row],[Discount%]]&gt;10,"High Discount",Table1[[#This Row],[Discount%]]&gt;5,"Medium Discount",Table1[[#This Row],[Discount%]]&lt;=5,"Low Discount")</f>
        <v>Medium Discount</v>
      </c>
      <c r="O76" t="str">
        <f>TEXT(Table1[[#This Row],[Date]],"mmm")</f>
        <v>Mar</v>
      </c>
      <c r="P76" t="str">
        <f>Table1[[#This Row],[OrderID]]&amp;" "&amp;Table1[[#This Row],[SalesPerson]]</f>
        <v>O075 Priya</v>
      </c>
    </row>
    <row r="77" spans="1:16" x14ac:dyDescent="0.3">
      <c r="A77" t="s">
        <v>180</v>
      </c>
      <c r="B77" t="s">
        <v>181</v>
      </c>
      <c r="C77" t="s">
        <v>12</v>
      </c>
      <c r="D77" t="s">
        <v>13</v>
      </c>
      <c r="E77" t="s">
        <v>21</v>
      </c>
      <c r="F77" t="s">
        <v>15</v>
      </c>
      <c r="G77">
        <v>2</v>
      </c>
      <c r="H77">
        <v>20000</v>
      </c>
      <c r="I77">
        <v>0</v>
      </c>
      <c r="J77" t="s">
        <v>22</v>
      </c>
      <c r="L77">
        <f>Table1[[#This Row],[Units]]*Table1[[#This Row],[UnitPrice]]*(1-Table1[[#This Row],[Discount%]]/100)</f>
        <v>40000</v>
      </c>
      <c r="M77" t="str">
        <f t="shared" si="1"/>
        <v/>
      </c>
      <c r="N77" s="9" t="str" cm="1">
        <f t="array" ref="N77">_xlfn.IFS(Table1[[#This Row],[Discount%]]&gt;10,"High Discount",Table1[[#This Row],[Discount%]]&gt;5,"Medium Discount",Table1[[#This Row],[Discount%]]&lt;=5,"Low Discount")</f>
        <v>Low Discount</v>
      </c>
      <c r="O77" t="str">
        <f>TEXT(Table1[[#This Row],[Date]],"mmm")</f>
        <v>Mar</v>
      </c>
      <c r="P77" t="str">
        <f>Table1[[#This Row],[OrderID]]&amp;" "&amp;Table1[[#This Row],[SalesPerson]]</f>
        <v>O076 Asha</v>
      </c>
    </row>
    <row r="78" spans="1:16" x14ac:dyDescent="0.3">
      <c r="A78" t="s">
        <v>182</v>
      </c>
      <c r="B78" t="s">
        <v>183</v>
      </c>
      <c r="C78" t="s">
        <v>19</v>
      </c>
      <c r="D78" t="s">
        <v>20</v>
      </c>
      <c r="E78" t="s">
        <v>27</v>
      </c>
      <c r="F78" t="s">
        <v>15</v>
      </c>
      <c r="G78">
        <v>4</v>
      </c>
      <c r="H78">
        <v>30000</v>
      </c>
      <c r="I78">
        <v>15</v>
      </c>
      <c r="J78" t="s">
        <v>16</v>
      </c>
      <c r="L78">
        <f>Table1[[#This Row],[Units]]*Table1[[#This Row],[UnitPrice]]*(1-Table1[[#This Row],[Discount%]]/100)</f>
        <v>102000</v>
      </c>
      <c r="M78" t="str">
        <f t="shared" si="1"/>
        <v>High Value Order</v>
      </c>
      <c r="N78" s="9" t="str" cm="1">
        <f t="array" ref="N78">_xlfn.IFS(Table1[[#This Row],[Discount%]]&gt;10,"High Discount",Table1[[#This Row],[Discount%]]&gt;5,"Medium Discount",Table1[[#This Row],[Discount%]]&lt;=5,"Low Discount")</f>
        <v>High Discount</v>
      </c>
      <c r="O78" t="str">
        <f>TEXT(Table1[[#This Row],[Date]],"mmm")</f>
        <v>Mar</v>
      </c>
      <c r="P78" t="str">
        <f>Table1[[#This Row],[OrderID]]&amp;" "&amp;Table1[[#This Row],[SalesPerson]]</f>
        <v>O077 Rahul</v>
      </c>
    </row>
    <row r="79" spans="1:16" x14ac:dyDescent="0.3">
      <c r="A79" t="s">
        <v>184</v>
      </c>
      <c r="B79" t="s">
        <v>185</v>
      </c>
      <c r="C79" t="s">
        <v>25</v>
      </c>
      <c r="D79" t="s">
        <v>26</v>
      </c>
      <c r="E79" t="s">
        <v>14</v>
      </c>
      <c r="F79" t="s">
        <v>15</v>
      </c>
      <c r="G79">
        <v>1</v>
      </c>
      <c r="H79">
        <v>50000</v>
      </c>
      <c r="I79">
        <v>5</v>
      </c>
      <c r="J79" t="s">
        <v>28</v>
      </c>
      <c r="L79">
        <f>Table1[[#This Row],[Units]]*Table1[[#This Row],[UnitPrice]]*(1-Table1[[#This Row],[Discount%]]/100)</f>
        <v>47500</v>
      </c>
      <c r="M79" t="str">
        <f t="shared" si="1"/>
        <v/>
      </c>
      <c r="N79" s="9" t="str" cm="1">
        <f t="array" ref="N79">_xlfn.IFS(Table1[[#This Row],[Discount%]]&gt;10,"High Discount",Table1[[#This Row],[Discount%]]&gt;5,"Medium Discount",Table1[[#This Row],[Discount%]]&lt;=5,"Low Discount")</f>
        <v>Low Discount</v>
      </c>
      <c r="O79" t="str">
        <f>TEXT(Table1[[#This Row],[Date]],"mmm")</f>
        <v>Mar</v>
      </c>
      <c r="P79" t="str">
        <f>Table1[[#This Row],[OrderID]]&amp;" "&amp;Table1[[#This Row],[SalesPerson]]</f>
        <v>O078 Neha</v>
      </c>
    </row>
    <row r="80" spans="1:16" x14ac:dyDescent="0.3">
      <c r="A80" t="s">
        <v>186</v>
      </c>
      <c r="B80" t="s">
        <v>187</v>
      </c>
      <c r="C80" t="s">
        <v>31</v>
      </c>
      <c r="D80" t="s">
        <v>32</v>
      </c>
      <c r="E80" t="s">
        <v>33</v>
      </c>
      <c r="F80" t="s">
        <v>15</v>
      </c>
      <c r="G80">
        <v>8</v>
      </c>
      <c r="H80">
        <v>2000</v>
      </c>
      <c r="I80">
        <v>10</v>
      </c>
      <c r="J80" t="s">
        <v>22</v>
      </c>
      <c r="L80">
        <f>Table1[[#This Row],[Units]]*Table1[[#This Row],[UnitPrice]]*(1-Table1[[#This Row],[Discount%]]/100)</f>
        <v>14400</v>
      </c>
      <c r="M80" t="str">
        <f t="shared" si="1"/>
        <v/>
      </c>
      <c r="N80" s="9" t="str" cm="1">
        <f t="array" ref="N80">_xlfn.IFS(Table1[[#This Row],[Discount%]]&gt;10,"High Discount",Table1[[#This Row],[Discount%]]&gt;5,"Medium Discount",Table1[[#This Row],[Discount%]]&lt;=5,"Low Discount")</f>
        <v>Medium Discount</v>
      </c>
      <c r="O80" t="str">
        <f>TEXT(Table1[[#This Row],[Date]],"mmm")</f>
        <v>Mar</v>
      </c>
      <c r="P80" t="str">
        <f>Table1[[#This Row],[OrderID]]&amp;" "&amp;Table1[[#This Row],[SalesPerson]]</f>
        <v>O079 Vikram</v>
      </c>
    </row>
    <row r="81" spans="1:16" x14ac:dyDescent="0.3">
      <c r="A81" t="s">
        <v>188</v>
      </c>
      <c r="B81" t="s">
        <v>189</v>
      </c>
      <c r="C81" t="s">
        <v>37</v>
      </c>
      <c r="D81" t="s">
        <v>38</v>
      </c>
      <c r="E81" t="s">
        <v>39</v>
      </c>
      <c r="F81" t="s">
        <v>15</v>
      </c>
      <c r="G81">
        <v>6</v>
      </c>
      <c r="H81">
        <v>1500</v>
      </c>
      <c r="I81">
        <v>0</v>
      </c>
      <c r="J81" t="s">
        <v>28</v>
      </c>
      <c r="L81">
        <f>Table1[[#This Row],[Units]]*Table1[[#This Row],[UnitPrice]]*(1-Table1[[#This Row],[Discount%]]/100)</f>
        <v>9000</v>
      </c>
      <c r="M81" t="str">
        <f t="shared" si="1"/>
        <v/>
      </c>
      <c r="N81" s="9" t="str" cm="1">
        <f t="array" ref="N81">_xlfn.IFS(Table1[[#This Row],[Discount%]]&gt;10,"High Discount",Table1[[#This Row],[Discount%]]&gt;5,"Medium Discount",Table1[[#This Row],[Discount%]]&lt;=5,"Low Discount")</f>
        <v>Low Discount</v>
      </c>
      <c r="O81" t="str">
        <f>TEXT(Table1[[#This Row],[Date]],"mmm")</f>
        <v>Mar</v>
      </c>
      <c r="P81" t="str">
        <f>Table1[[#This Row],[OrderID]]&amp;" "&amp;Table1[[#This Row],[SalesPerson]]</f>
        <v>O080 Priya</v>
      </c>
    </row>
    <row r="82" spans="1:16" x14ac:dyDescent="0.3">
      <c r="A82" t="s">
        <v>190</v>
      </c>
      <c r="B82" t="s">
        <v>191</v>
      </c>
      <c r="C82" t="s">
        <v>12</v>
      </c>
      <c r="D82" t="s">
        <v>13</v>
      </c>
      <c r="E82" t="s">
        <v>27</v>
      </c>
      <c r="F82" t="s">
        <v>15</v>
      </c>
      <c r="G82">
        <v>3</v>
      </c>
      <c r="H82">
        <v>30000</v>
      </c>
      <c r="I82">
        <v>15</v>
      </c>
      <c r="J82" t="s">
        <v>16</v>
      </c>
      <c r="L82">
        <f>Table1[[#This Row],[Units]]*Table1[[#This Row],[UnitPrice]]*(1-Table1[[#This Row],[Discount%]]/100)</f>
        <v>76500</v>
      </c>
      <c r="M82" t="str">
        <f t="shared" si="1"/>
        <v>High Value Order</v>
      </c>
      <c r="N82" s="9" t="str" cm="1">
        <f t="array" ref="N82">_xlfn.IFS(Table1[[#This Row],[Discount%]]&gt;10,"High Discount",Table1[[#This Row],[Discount%]]&gt;5,"Medium Discount",Table1[[#This Row],[Discount%]]&lt;=5,"Low Discount")</f>
        <v>High Discount</v>
      </c>
      <c r="O82" t="str">
        <f>TEXT(Table1[[#This Row],[Date]],"mmm")</f>
        <v>Mar</v>
      </c>
      <c r="P82" t="str">
        <f>Table1[[#This Row],[OrderID]]&amp;" "&amp;Table1[[#This Row],[SalesPerson]]</f>
        <v>O081 Asha</v>
      </c>
    </row>
    <row r="83" spans="1:16" x14ac:dyDescent="0.3">
      <c r="A83" t="s">
        <v>192</v>
      </c>
      <c r="B83" t="s">
        <v>193</v>
      </c>
      <c r="C83" t="s">
        <v>19</v>
      </c>
      <c r="D83" t="s">
        <v>20</v>
      </c>
      <c r="E83" t="s">
        <v>21</v>
      </c>
      <c r="F83" t="s">
        <v>15</v>
      </c>
      <c r="G83">
        <v>2</v>
      </c>
      <c r="H83">
        <v>20000</v>
      </c>
      <c r="I83">
        <v>10</v>
      </c>
      <c r="J83" t="s">
        <v>22</v>
      </c>
      <c r="L83">
        <f>Table1[[#This Row],[Units]]*Table1[[#This Row],[UnitPrice]]*(1-Table1[[#This Row],[Discount%]]/100)</f>
        <v>36000</v>
      </c>
      <c r="M83" t="str">
        <f t="shared" si="1"/>
        <v/>
      </c>
      <c r="N83" s="9" t="str" cm="1">
        <f t="array" ref="N83">_xlfn.IFS(Table1[[#This Row],[Discount%]]&gt;10,"High Discount",Table1[[#This Row],[Discount%]]&gt;5,"Medium Discount",Table1[[#This Row],[Discount%]]&lt;=5,"Low Discount")</f>
        <v>Medium Discount</v>
      </c>
      <c r="O83" t="str">
        <f>TEXT(Table1[[#This Row],[Date]],"mmm")</f>
        <v>Mar</v>
      </c>
      <c r="P83" t="str">
        <f>Table1[[#This Row],[OrderID]]&amp;" "&amp;Table1[[#This Row],[SalesPerson]]</f>
        <v>O082 Rahul</v>
      </c>
    </row>
    <row r="84" spans="1:16" x14ac:dyDescent="0.3">
      <c r="A84" t="s">
        <v>194</v>
      </c>
      <c r="B84" t="s">
        <v>195</v>
      </c>
      <c r="C84" t="s">
        <v>25</v>
      </c>
      <c r="D84" t="s">
        <v>26</v>
      </c>
      <c r="E84" t="s">
        <v>14</v>
      </c>
      <c r="F84" t="s">
        <v>15</v>
      </c>
      <c r="G84">
        <v>4</v>
      </c>
      <c r="H84">
        <v>50000</v>
      </c>
      <c r="I84">
        <v>0</v>
      </c>
      <c r="J84" t="s">
        <v>28</v>
      </c>
      <c r="L84">
        <f>Table1[[#This Row],[Units]]*Table1[[#This Row],[UnitPrice]]*(1-Table1[[#This Row],[Discount%]]/100)</f>
        <v>200000</v>
      </c>
      <c r="M84" t="str">
        <f t="shared" si="1"/>
        <v>High Value Order</v>
      </c>
      <c r="N84" s="9" t="str" cm="1">
        <f t="array" ref="N84">_xlfn.IFS(Table1[[#This Row],[Discount%]]&gt;10,"High Discount",Table1[[#This Row],[Discount%]]&gt;5,"Medium Discount",Table1[[#This Row],[Discount%]]&lt;=5,"Low Discount")</f>
        <v>Low Discount</v>
      </c>
      <c r="O84" t="str">
        <f>TEXT(Table1[[#This Row],[Date]],"mmm")</f>
        <v>Mar</v>
      </c>
      <c r="P84" t="str">
        <f>Table1[[#This Row],[OrderID]]&amp;" "&amp;Table1[[#This Row],[SalesPerson]]</f>
        <v>O083 Neha</v>
      </c>
    </row>
    <row r="85" spans="1:16" x14ac:dyDescent="0.3">
      <c r="A85" t="s">
        <v>196</v>
      </c>
      <c r="B85" t="s">
        <v>197</v>
      </c>
      <c r="C85" t="s">
        <v>31</v>
      </c>
      <c r="D85" t="s">
        <v>32</v>
      </c>
      <c r="E85" t="s">
        <v>39</v>
      </c>
      <c r="F85" t="s">
        <v>15</v>
      </c>
      <c r="G85">
        <v>5</v>
      </c>
      <c r="H85">
        <v>1500</v>
      </c>
      <c r="I85">
        <v>5</v>
      </c>
      <c r="J85" t="s">
        <v>34</v>
      </c>
      <c r="L85">
        <f>Table1[[#This Row],[Units]]*Table1[[#This Row],[UnitPrice]]*(1-Table1[[#This Row],[Discount%]]/100)</f>
        <v>7125</v>
      </c>
      <c r="M85" t="str">
        <f t="shared" si="1"/>
        <v/>
      </c>
      <c r="N85" s="9" t="str" cm="1">
        <f t="array" ref="N85">_xlfn.IFS(Table1[[#This Row],[Discount%]]&gt;10,"High Discount",Table1[[#This Row],[Discount%]]&gt;5,"Medium Discount",Table1[[#This Row],[Discount%]]&lt;=5,"Low Discount")</f>
        <v>Low Discount</v>
      </c>
      <c r="O85" t="str">
        <f>TEXT(Table1[[#This Row],[Date]],"mmm")</f>
        <v>Mar</v>
      </c>
      <c r="P85" t="str">
        <f>Table1[[#This Row],[OrderID]]&amp;" "&amp;Table1[[#This Row],[SalesPerson]]</f>
        <v>O084 Vikram</v>
      </c>
    </row>
    <row r="86" spans="1:16" x14ac:dyDescent="0.3">
      <c r="A86" t="s">
        <v>198</v>
      </c>
      <c r="B86" t="s">
        <v>199</v>
      </c>
      <c r="C86" t="s">
        <v>37</v>
      </c>
      <c r="D86" t="s">
        <v>38</v>
      </c>
      <c r="E86" t="s">
        <v>21</v>
      </c>
      <c r="F86" t="s">
        <v>15</v>
      </c>
      <c r="G86">
        <v>3</v>
      </c>
      <c r="H86">
        <v>20000</v>
      </c>
      <c r="I86">
        <v>10</v>
      </c>
      <c r="J86" t="s">
        <v>22</v>
      </c>
      <c r="L86">
        <f>Table1[[#This Row],[Units]]*Table1[[#This Row],[UnitPrice]]*(1-Table1[[#This Row],[Discount%]]/100)</f>
        <v>54000</v>
      </c>
      <c r="M86" t="str">
        <f t="shared" si="1"/>
        <v>High Value Order</v>
      </c>
      <c r="N86" s="9" t="str" cm="1">
        <f t="array" ref="N86">_xlfn.IFS(Table1[[#This Row],[Discount%]]&gt;10,"High Discount",Table1[[#This Row],[Discount%]]&gt;5,"Medium Discount",Table1[[#This Row],[Discount%]]&lt;=5,"Low Discount")</f>
        <v>Medium Discount</v>
      </c>
      <c r="O86" t="str">
        <f>TEXT(Table1[[#This Row],[Date]],"mmm")</f>
        <v>Mar</v>
      </c>
      <c r="P86" t="str">
        <f>Table1[[#This Row],[OrderID]]&amp;" "&amp;Table1[[#This Row],[SalesPerson]]</f>
        <v>O085 Priya</v>
      </c>
    </row>
    <row r="87" spans="1:16" x14ac:dyDescent="0.3">
      <c r="A87" t="s">
        <v>200</v>
      </c>
      <c r="B87" t="s">
        <v>201</v>
      </c>
      <c r="C87" t="s">
        <v>12</v>
      </c>
      <c r="D87" t="s">
        <v>13</v>
      </c>
      <c r="E87" t="s">
        <v>33</v>
      </c>
      <c r="F87" t="s">
        <v>15</v>
      </c>
      <c r="G87">
        <v>6</v>
      </c>
      <c r="H87">
        <v>2000</v>
      </c>
      <c r="I87">
        <v>0</v>
      </c>
      <c r="J87" t="s">
        <v>28</v>
      </c>
      <c r="L87">
        <f>Table1[[#This Row],[Units]]*Table1[[#This Row],[UnitPrice]]*(1-Table1[[#This Row],[Discount%]]/100)</f>
        <v>12000</v>
      </c>
      <c r="M87" t="str">
        <f t="shared" si="1"/>
        <v/>
      </c>
      <c r="N87" s="9" t="str" cm="1">
        <f t="array" ref="N87">_xlfn.IFS(Table1[[#This Row],[Discount%]]&gt;10,"High Discount",Table1[[#This Row],[Discount%]]&gt;5,"Medium Discount",Table1[[#This Row],[Discount%]]&lt;=5,"Low Discount")</f>
        <v>Low Discount</v>
      </c>
      <c r="O87" t="str">
        <f>TEXT(Table1[[#This Row],[Date]],"mmm")</f>
        <v>Mar</v>
      </c>
      <c r="P87" t="str">
        <f>Table1[[#This Row],[OrderID]]&amp;" "&amp;Table1[[#This Row],[SalesPerson]]</f>
        <v>O086 Asha</v>
      </c>
    </row>
    <row r="88" spans="1:16" x14ac:dyDescent="0.3">
      <c r="A88" t="s">
        <v>202</v>
      </c>
      <c r="B88" t="s">
        <v>203</v>
      </c>
      <c r="C88" t="s">
        <v>19</v>
      </c>
      <c r="D88" t="s">
        <v>20</v>
      </c>
      <c r="E88" t="s">
        <v>27</v>
      </c>
      <c r="F88" t="s">
        <v>15</v>
      </c>
      <c r="G88">
        <v>1</v>
      </c>
      <c r="H88">
        <v>30000</v>
      </c>
      <c r="I88">
        <v>15</v>
      </c>
      <c r="J88" t="s">
        <v>16</v>
      </c>
      <c r="L88">
        <f>Table1[[#This Row],[Units]]*Table1[[#This Row],[UnitPrice]]*(1-Table1[[#This Row],[Discount%]]/100)</f>
        <v>25500</v>
      </c>
      <c r="M88" t="str">
        <f t="shared" si="1"/>
        <v/>
      </c>
      <c r="N88" s="9" t="str" cm="1">
        <f t="array" ref="N88">_xlfn.IFS(Table1[[#This Row],[Discount%]]&gt;10,"High Discount",Table1[[#This Row],[Discount%]]&gt;5,"Medium Discount",Table1[[#This Row],[Discount%]]&lt;=5,"Low Discount")</f>
        <v>High Discount</v>
      </c>
      <c r="O88" t="str">
        <f>TEXT(Table1[[#This Row],[Date]],"mmm")</f>
        <v>Mar</v>
      </c>
      <c r="P88" t="str">
        <f>Table1[[#This Row],[OrderID]]&amp;" "&amp;Table1[[#This Row],[SalesPerson]]</f>
        <v>O087 Rahul</v>
      </c>
    </row>
    <row r="89" spans="1:16" x14ac:dyDescent="0.3">
      <c r="A89" t="s">
        <v>204</v>
      </c>
      <c r="B89" t="s">
        <v>205</v>
      </c>
      <c r="C89" t="s">
        <v>25</v>
      </c>
      <c r="D89" t="s">
        <v>26</v>
      </c>
      <c r="E89" t="s">
        <v>21</v>
      </c>
      <c r="F89" t="s">
        <v>15</v>
      </c>
      <c r="G89">
        <v>2</v>
      </c>
      <c r="H89">
        <v>20000</v>
      </c>
      <c r="I89">
        <v>5</v>
      </c>
      <c r="J89" t="s">
        <v>22</v>
      </c>
      <c r="L89">
        <f>Table1[[#This Row],[Units]]*Table1[[#This Row],[UnitPrice]]*(1-Table1[[#This Row],[Discount%]]/100)</f>
        <v>38000</v>
      </c>
      <c r="M89" t="str">
        <f t="shared" si="1"/>
        <v/>
      </c>
      <c r="N89" s="9" t="str" cm="1">
        <f t="array" ref="N89">_xlfn.IFS(Table1[[#This Row],[Discount%]]&gt;10,"High Discount",Table1[[#This Row],[Discount%]]&gt;5,"Medium Discount",Table1[[#This Row],[Discount%]]&lt;=5,"Low Discount")</f>
        <v>Low Discount</v>
      </c>
      <c r="O89" t="str">
        <f>TEXT(Table1[[#This Row],[Date]],"mmm")</f>
        <v>Mar</v>
      </c>
      <c r="P89" t="str">
        <f>Table1[[#This Row],[OrderID]]&amp;" "&amp;Table1[[#This Row],[SalesPerson]]</f>
        <v>O088 Neha</v>
      </c>
    </row>
    <row r="90" spans="1:16" x14ac:dyDescent="0.3">
      <c r="A90" t="s">
        <v>206</v>
      </c>
      <c r="B90" t="s">
        <v>207</v>
      </c>
      <c r="C90" t="s">
        <v>31</v>
      </c>
      <c r="D90" t="s">
        <v>32</v>
      </c>
      <c r="E90" t="s">
        <v>14</v>
      </c>
      <c r="F90" t="s">
        <v>15</v>
      </c>
      <c r="G90">
        <v>3</v>
      </c>
      <c r="H90">
        <v>50000</v>
      </c>
      <c r="I90">
        <v>10</v>
      </c>
      <c r="J90" t="s">
        <v>28</v>
      </c>
      <c r="L90">
        <f>Table1[[#This Row],[Units]]*Table1[[#This Row],[UnitPrice]]*(1-Table1[[#This Row],[Discount%]]/100)</f>
        <v>135000</v>
      </c>
      <c r="M90" t="str">
        <f t="shared" si="1"/>
        <v>High Value Order</v>
      </c>
      <c r="N90" s="9" t="str" cm="1">
        <f t="array" ref="N90">_xlfn.IFS(Table1[[#This Row],[Discount%]]&gt;10,"High Discount",Table1[[#This Row],[Discount%]]&gt;5,"Medium Discount",Table1[[#This Row],[Discount%]]&lt;=5,"Low Discount")</f>
        <v>Medium Discount</v>
      </c>
      <c r="O90" t="str">
        <f>TEXT(Table1[[#This Row],[Date]],"mmm")</f>
        <v>Mar</v>
      </c>
      <c r="P90" t="str">
        <f>Table1[[#This Row],[OrderID]]&amp;" "&amp;Table1[[#This Row],[SalesPerson]]</f>
        <v>O089 Vikram</v>
      </c>
    </row>
    <row r="91" spans="1:16" x14ac:dyDescent="0.3">
      <c r="A91" t="s">
        <v>208</v>
      </c>
      <c r="B91" t="s">
        <v>209</v>
      </c>
      <c r="C91" t="s">
        <v>37</v>
      </c>
      <c r="D91" t="s">
        <v>38</v>
      </c>
      <c r="E91" t="s">
        <v>39</v>
      </c>
      <c r="F91" t="s">
        <v>15</v>
      </c>
      <c r="G91">
        <v>4</v>
      </c>
      <c r="H91">
        <v>1500</v>
      </c>
      <c r="I91">
        <v>0</v>
      </c>
      <c r="J91" t="s">
        <v>34</v>
      </c>
      <c r="L91">
        <f>Table1[[#This Row],[Units]]*Table1[[#This Row],[UnitPrice]]*(1-Table1[[#This Row],[Discount%]]/100)</f>
        <v>6000</v>
      </c>
      <c r="M91" t="str">
        <f t="shared" si="1"/>
        <v/>
      </c>
      <c r="N91" s="9" t="str" cm="1">
        <f t="array" ref="N91">_xlfn.IFS(Table1[[#This Row],[Discount%]]&gt;10,"High Discount",Table1[[#This Row],[Discount%]]&gt;5,"Medium Discount",Table1[[#This Row],[Discount%]]&lt;=5,"Low Discount")</f>
        <v>Low Discount</v>
      </c>
      <c r="O91" t="str">
        <f>TEXT(Table1[[#This Row],[Date]],"mmm")</f>
        <v>Mar</v>
      </c>
      <c r="P91" t="str">
        <f>Table1[[#This Row],[OrderID]]&amp;" "&amp;Table1[[#This Row],[SalesPerson]]</f>
        <v>O090 Priya</v>
      </c>
    </row>
    <row r="92" spans="1:16" x14ac:dyDescent="0.3">
      <c r="A92" t="s">
        <v>210</v>
      </c>
      <c r="B92" t="s">
        <v>211</v>
      </c>
      <c r="C92" t="s">
        <v>12</v>
      </c>
      <c r="D92" t="s">
        <v>13</v>
      </c>
      <c r="E92" t="s">
        <v>27</v>
      </c>
      <c r="F92" t="s">
        <v>15</v>
      </c>
      <c r="G92">
        <v>2</v>
      </c>
      <c r="H92">
        <v>30000</v>
      </c>
      <c r="I92">
        <v>5</v>
      </c>
      <c r="J92" t="s">
        <v>22</v>
      </c>
      <c r="L92">
        <f>Table1[[#This Row],[Units]]*Table1[[#This Row],[UnitPrice]]*(1-Table1[[#This Row],[Discount%]]/100)</f>
        <v>57000</v>
      </c>
      <c r="M92" t="str">
        <f t="shared" si="1"/>
        <v>High Value Order</v>
      </c>
      <c r="N92" s="9" t="str" cm="1">
        <f t="array" ref="N92">_xlfn.IFS(Table1[[#This Row],[Discount%]]&gt;10,"High Discount",Table1[[#This Row],[Discount%]]&gt;5,"Medium Discount",Table1[[#This Row],[Discount%]]&lt;=5,"Low Discount")</f>
        <v>Low Discount</v>
      </c>
      <c r="O92" t="str">
        <f>TEXT(Table1[[#This Row],[Date]],"mmm")</f>
        <v>Apr</v>
      </c>
      <c r="P92" t="str">
        <f>Table1[[#This Row],[OrderID]]&amp;" "&amp;Table1[[#This Row],[SalesPerson]]</f>
        <v>O091 Asha</v>
      </c>
    </row>
    <row r="93" spans="1:16" x14ac:dyDescent="0.3">
      <c r="A93" t="s">
        <v>212</v>
      </c>
      <c r="B93" t="s">
        <v>213</v>
      </c>
      <c r="C93" t="s">
        <v>19</v>
      </c>
      <c r="D93" t="s">
        <v>20</v>
      </c>
      <c r="E93" t="s">
        <v>33</v>
      </c>
      <c r="F93" t="s">
        <v>15</v>
      </c>
      <c r="G93">
        <v>7</v>
      </c>
      <c r="H93">
        <v>2000</v>
      </c>
      <c r="I93">
        <v>10</v>
      </c>
      <c r="J93" t="s">
        <v>28</v>
      </c>
      <c r="L93">
        <f>Table1[[#This Row],[Units]]*Table1[[#This Row],[UnitPrice]]*(1-Table1[[#This Row],[Discount%]]/100)</f>
        <v>12600</v>
      </c>
      <c r="M93" t="str">
        <f t="shared" si="1"/>
        <v/>
      </c>
      <c r="N93" s="9" t="str" cm="1">
        <f t="array" ref="N93">_xlfn.IFS(Table1[[#This Row],[Discount%]]&gt;10,"High Discount",Table1[[#This Row],[Discount%]]&gt;5,"Medium Discount",Table1[[#This Row],[Discount%]]&lt;=5,"Low Discount")</f>
        <v>Medium Discount</v>
      </c>
      <c r="O93" t="str">
        <f>TEXT(Table1[[#This Row],[Date]],"mmm")</f>
        <v>Apr</v>
      </c>
      <c r="P93" t="str">
        <f>Table1[[#This Row],[OrderID]]&amp;" "&amp;Table1[[#This Row],[SalesPerson]]</f>
        <v>O092 Rahul</v>
      </c>
    </row>
    <row r="94" spans="1:16" x14ac:dyDescent="0.3">
      <c r="A94" t="s">
        <v>214</v>
      </c>
      <c r="B94" t="s">
        <v>215</v>
      </c>
      <c r="C94" t="s">
        <v>25</v>
      </c>
      <c r="D94" t="s">
        <v>26</v>
      </c>
      <c r="E94" t="s">
        <v>14</v>
      </c>
      <c r="F94" t="s">
        <v>15</v>
      </c>
      <c r="G94">
        <v>1</v>
      </c>
      <c r="H94">
        <v>50000</v>
      </c>
      <c r="I94">
        <v>15</v>
      </c>
      <c r="J94" t="s">
        <v>16</v>
      </c>
      <c r="L94">
        <f>Table1[[#This Row],[Units]]*Table1[[#This Row],[UnitPrice]]*(1-Table1[[#This Row],[Discount%]]/100)</f>
        <v>42500</v>
      </c>
      <c r="M94" t="str">
        <f t="shared" si="1"/>
        <v/>
      </c>
      <c r="N94" s="9" t="str" cm="1">
        <f t="array" ref="N94">_xlfn.IFS(Table1[[#This Row],[Discount%]]&gt;10,"High Discount",Table1[[#This Row],[Discount%]]&gt;5,"Medium Discount",Table1[[#This Row],[Discount%]]&lt;=5,"Low Discount")</f>
        <v>High Discount</v>
      </c>
      <c r="O94" t="str">
        <f>TEXT(Table1[[#This Row],[Date]],"mmm")</f>
        <v>Apr</v>
      </c>
      <c r="P94" t="str">
        <f>Table1[[#This Row],[OrderID]]&amp;" "&amp;Table1[[#This Row],[SalesPerson]]</f>
        <v>O093 Neha</v>
      </c>
    </row>
    <row r="95" spans="1:16" x14ac:dyDescent="0.3">
      <c r="A95" t="s">
        <v>216</v>
      </c>
      <c r="B95" t="s">
        <v>217</v>
      </c>
      <c r="C95" t="s">
        <v>31</v>
      </c>
      <c r="D95" t="s">
        <v>32</v>
      </c>
      <c r="E95" t="s">
        <v>21</v>
      </c>
      <c r="F95" t="s">
        <v>15</v>
      </c>
      <c r="G95">
        <v>5</v>
      </c>
      <c r="H95">
        <v>20000</v>
      </c>
      <c r="I95">
        <v>0</v>
      </c>
      <c r="J95" t="s">
        <v>22</v>
      </c>
      <c r="L95">
        <f>Table1[[#This Row],[Units]]*Table1[[#This Row],[UnitPrice]]*(1-Table1[[#This Row],[Discount%]]/100)</f>
        <v>100000</v>
      </c>
      <c r="M95" t="str">
        <f t="shared" si="1"/>
        <v>High Value Order</v>
      </c>
      <c r="N95" s="9" t="str" cm="1">
        <f t="array" ref="N95">_xlfn.IFS(Table1[[#This Row],[Discount%]]&gt;10,"High Discount",Table1[[#This Row],[Discount%]]&gt;5,"Medium Discount",Table1[[#This Row],[Discount%]]&lt;=5,"Low Discount")</f>
        <v>Low Discount</v>
      </c>
      <c r="O95" t="str">
        <f>TEXT(Table1[[#This Row],[Date]],"mmm")</f>
        <v>Apr</v>
      </c>
      <c r="P95" t="str">
        <f>Table1[[#This Row],[OrderID]]&amp;" "&amp;Table1[[#This Row],[SalesPerson]]</f>
        <v>O094 Vikram</v>
      </c>
    </row>
    <row r="96" spans="1:16" x14ac:dyDescent="0.3">
      <c r="A96" t="s">
        <v>218</v>
      </c>
      <c r="B96" t="s">
        <v>219</v>
      </c>
      <c r="C96" t="s">
        <v>37</v>
      </c>
      <c r="D96" t="s">
        <v>38</v>
      </c>
      <c r="E96" t="s">
        <v>27</v>
      </c>
      <c r="F96" t="s">
        <v>15</v>
      </c>
      <c r="G96">
        <v>3</v>
      </c>
      <c r="H96">
        <v>30000</v>
      </c>
      <c r="I96">
        <v>10</v>
      </c>
      <c r="J96" t="s">
        <v>28</v>
      </c>
      <c r="L96">
        <f>Table1[[#This Row],[Units]]*Table1[[#This Row],[UnitPrice]]*(1-Table1[[#This Row],[Discount%]]/100)</f>
        <v>81000</v>
      </c>
      <c r="M96" t="str">
        <f t="shared" si="1"/>
        <v>High Value Order</v>
      </c>
      <c r="N96" s="9" t="str" cm="1">
        <f t="array" ref="N96">_xlfn.IFS(Table1[[#This Row],[Discount%]]&gt;10,"High Discount",Table1[[#This Row],[Discount%]]&gt;5,"Medium Discount",Table1[[#This Row],[Discount%]]&lt;=5,"Low Discount")</f>
        <v>Medium Discount</v>
      </c>
      <c r="O96" t="str">
        <f>TEXT(Table1[[#This Row],[Date]],"mmm")</f>
        <v>Apr</v>
      </c>
      <c r="P96" t="str">
        <f>Table1[[#This Row],[OrderID]]&amp;" "&amp;Table1[[#This Row],[SalesPerson]]</f>
        <v>O095 Priya</v>
      </c>
    </row>
    <row r="97" spans="1:16" x14ac:dyDescent="0.3">
      <c r="A97" t="s">
        <v>220</v>
      </c>
      <c r="B97" t="s">
        <v>221</v>
      </c>
      <c r="C97" t="s">
        <v>12</v>
      </c>
      <c r="D97" t="s">
        <v>13</v>
      </c>
      <c r="E97" t="s">
        <v>39</v>
      </c>
      <c r="F97" t="s">
        <v>15</v>
      </c>
      <c r="G97">
        <v>6</v>
      </c>
      <c r="H97">
        <v>1500</v>
      </c>
      <c r="I97">
        <v>5</v>
      </c>
      <c r="J97" t="s">
        <v>16</v>
      </c>
      <c r="L97">
        <f>Table1[[#This Row],[Units]]*Table1[[#This Row],[UnitPrice]]*(1-Table1[[#This Row],[Discount%]]/100)</f>
        <v>8550</v>
      </c>
      <c r="M97" t="str">
        <f t="shared" si="1"/>
        <v/>
      </c>
      <c r="N97" s="9" t="str" cm="1">
        <f t="array" ref="N97">_xlfn.IFS(Table1[[#This Row],[Discount%]]&gt;10,"High Discount",Table1[[#This Row],[Discount%]]&gt;5,"Medium Discount",Table1[[#This Row],[Discount%]]&lt;=5,"Low Discount")</f>
        <v>Low Discount</v>
      </c>
      <c r="O97" t="str">
        <f>TEXT(Table1[[#This Row],[Date]],"mmm")</f>
        <v>Apr</v>
      </c>
      <c r="P97" t="str">
        <f>Table1[[#This Row],[OrderID]]&amp;" "&amp;Table1[[#This Row],[SalesPerson]]</f>
        <v>O096 Asha</v>
      </c>
    </row>
    <row r="98" spans="1:16" x14ac:dyDescent="0.3">
      <c r="A98" t="s">
        <v>222</v>
      </c>
      <c r="B98" t="s">
        <v>223</v>
      </c>
      <c r="C98" t="s">
        <v>19</v>
      </c>
      <c r="D98" t="s">
        <v>20</v>
      </c>
      <c r="E98" t="s">
        <v>14</v>
      </c>
      <c r="F98" t="s">
        <v>15</v>
      </c>
      <c r="G98">
        <v>2</v>
      </c>
      <c r="H98">
        <v>50000</v>
      </c>
      <c r="I98">
        <v>0</v>
      </c>
      <c r="J98" t="s">
        <v>22</v>
      </c>
      <c r="L98">
        <f>Table1[[#This Row],[Units]]*Table1[[#This Row],[UnitPrice]]*(1-Table1[[#This Row],[Discount%]]/100)</f>
        <v>100000</v>
      </c>
      <c r="M98" t="str">
        <f t="shared" si="1"/>
        <v>High Value Order</v>
      </c>
      <c r="N98" s="9" t="str" cm="1">
        <f t="array" ref="N98">_xlfn.IFS(Table1[[#This Row],[Discount%]]&gt;10,"High Discount",Table1[[#This Row],[Discount%]]&gt;5,"Medium Discount",Table1[[#This Row],[Discount%]]&lt;=5,"Low Discount")</f>
        <v>Low Discount</v>
      </c>
      <c r="O98" t="str">
        <f>TEXT(Table1[[#This Row],[Date]],"mmm")</f>
        <v>Apr</v>
      </c>
      <c r="P98" t="str">
        <f>Table1[[#This Row],[OrderID]]&amp;" "&amp;Table1[[#This Row],[SalesPerson]]</f>
        <v>O097 Rahul</v>
      </c>
    </row>
    <row r="99" spans="1:16" x14ac:dyDescent="0.3">
      <c r="A99" t="s">
        <v>224</v>
      </c>
      <c r="B99" t="s">
        <v>225</v>
      </c>
      <c r="C99" t="s">
        <v>25</v>
      </c>
      <c r="D99" t="s">
        <v>26</v>
      </c>
      <c r="E99" t="s">
        <v>33</v>
      </c>
      <c r="F99" t="s">
        <v>15</v>
      </c>
      <c r="G99">
        <v>4</v>
      </c>
      <c r="H99">
        <v>2000</v>
      </c>
      <c r="I99">
        <v>15</v>
      </c>
      <c r="J99" t="s">
        <v>28</v>
      </c>
      <c r="L99">
        <f>Table1[[#This Row],[Units]]*Table1[[#This Row],[UnitPrice]]*(1-Table1[[#This Row],[Discount%]]/100)</f>
        <v>6800</v>
      </c>
      <c r="M99" t="str">
        <f t="shared" si="1"/>
        <v/>
      </c>
      <c r="N99" s="9" t="str" cm="1">
        <f t="array" ref="N99">_xlfn.IFS(Table1[[#This Row],[Discount%]]&gt;10,"High Discount",Table1[[#This Row],[Discount%]]&gt;5,"Medium Discount",Table1[[#This Row],[Discount%]]&lt;=5,"Low Discount")</f>
        <v>High Discount</v>
      </c>
      <c r="O99" t="str">
        <f>TEXT(Table1[[#This Row],[Date]],"mmm")</f>
        <v>Apr</v>
      </c>
      <c r="P99" t="str">
        <f>Table1[[#This Row],[OrderID]]&amp;" "&amp;Table1[[#This Row],[SalesPerson]]</f>
        <v>O098 Neha</v>
      </c>
    </row>
    <row r="100" spans="1:16" x14ac:dyDescent="0.3">
      <c r="A100" t="s">
        <v>226</v>
      </c>
      <c r="B100" t="s">
        <v>227</v>
      </c>
      <c r="C100" t="s">
        <v>31</v>
      </c>
      <c r="D100" t="s">
        <v>32</v>
      </c>
      <c r="E100" t="s">
        <v>27</v>
      </c>
      <c r="F100" t="s">
        <v>15</v>
      </c>
      <c r="G100">
        <v>1</v>
      </c>
      <c r="H100">
        <v>30000</v>
      </c>
      <c r="I100">
        <v>10</v>
      </c>
      <c r="J100" t="s">
        <v>34</v>
      </c>
      <c r="L100">
        <f>Table1[[#This Row],[Units]]*Table1[[#This Row],[UnitPrice]]*(1-Table1[[#This Row],[Discount%]]/100)</f>
        <v>27000</v>
      </c>
      <c r="M100" t="str">
        <f t="shared" si="1"/>
        <v/>
      </c>
      <c r="N100" s="9" t="str" cm="1">
        <f t="array" ref="N100">_xlfn.IFS(Table1[[#This Row],[Discount%]]&gt;10,"High Discount",Table1[[#This Row],[Discount%]]&gt;5,"Medium Discount",Table1[[#This Row],[Discount%]]&lt;=5,"Low Discount")</f>
        <v>Medium Discount</v>
      </c>
      <c r="O100" t="str">
        <f>TEXT(Table1[[#This Row],[Date]],"mmm")</f>
        <v>Apr</v>
      </c>
      <c r="P100" t="str">
        <f>Table1[[#This Row],[OrderID]]&amp;" "&amp;Table1[[#This Row],[SalesPerson]]</f>
        <v>O099 Vikram</v>
      </c>
    </row>
    <row r="101" spans="1:16" x14ac:dyDescent="0.3">
      <c r="A101" t="s">
        <v>228</v>
      </c>
      <c r="B101" t="s">
        <v>229</v>
      </c>
      <c r="C101" t="s">
        <v>37</v>
      </c>
      <c r="D101" t="s">
        <v>38</v>
      </c>
      <c r="E101" t="s">
        <v>21</v>
      </c>
      <c r="F101" t="s">
        <v>15</v>
      </c>
      <c r="G101">
        <v>2</v>
      </c>
      <c r="H101">
        <v>20000</v>
      </c>
      <c r="I101">
        <v>5</v>
      </c>
      <c r="J101" t="s">
        <v>22</v>
      </c>
      <c r="L101">
        <f>Table1[[#This Row],[Units]]*Table1[[#This Row],[UnitPrice]]*(1-Table1[[#This Row],[Discount%]]/100)</f>
        <v>38000</v>
      </c>
      <c r="M101" t="str">
        <f t="shared" si="1"/>
        <v/>
      </c>
      <c r="N101" s="9" t="str" cm="1">
        <f t="array" ref="N101">_xlfn.IFS(Table1[[#This Row],[Discount%]]&gt;10,"High Discount",Table1[[#This Row],[Discount%]]&gt;5,"Medium Discount",Table1[[#This Row],[Discount%]]&lt;=5,"Low Discount")</f>
        <v>Low Discount</v>
      </c>
      <c r="O101" t="str">
        <f>TEXT(Table1[[#This Row],[Date]],"mmm")</f>
        <v>Apr</v>
      </c>
      <c r="P101" t="str">
        <f>Table1[[#This Row],[OrderID]]&amp;" "&amp;Table1[[#This Row],[SalesPerson]]</f>
        <v>O100 Priya</v>
      </c>
    </row>
  </sheetData>
  <conditionalFormatting sqref="M1:M1048576">
    <cfRule type="notContainsBlanks" dxfId="3" priority="4">
      <formula>LEN(TRIM(M1))&gt;0</formula>
    </cfRule>
    <cfRule type="cellIs" priority="5" operator="notEqual">
      <formula>""""""</formula>
    </cfRule>
  </conditionalFormatting>
  <conditionalFormatting sqref="N2:N101">
    <cfRule type="containsText" dxfId="2" priority="1" operator="containsText" text="High Discount">
      <formula>NOT(ISERROR(SEARCH("High Discount",N2)))</formula>
    </cfRule>
    <cfRule type="containsText" dxfId="1" priority="2" operator="containsText" text="Low Discount">
      <formula>NOT(ISERROR(SEARCH("Low Discount",N2)))</formula>
    </cfRule>
    <cfRule type="containsText" dxfId="0" priority="3" operator="containsText" text="Medium Discount">
      <formula>NOT(ISERROR(SEARCH("Medium Discount",N2)))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selection activeCell="C11" sqref="C11"/>
    </sheetView>
  </sheetViews>
  <sheetFormatPr defaultRowHeight="17.399999999999999" x14ac:dyDescent="0.45"/>
  <cols>
    <col min="1" max="1" width="75.21875" style="3" bestFit="1" customWidth="1"/>
    <col min="2" max="2" width="11.77734375" style="3" bestFit="1" customWidth="1"/>
    <col min="3" max="3" width="15.21875" style="3" bestFit="1" customWidth="1"/>
    <col min="4" max="4" width="14.6640625" style="3" bestFit="1" customWidth="1"/>
    <col min="5" max="5" width="10.33203125" style="3" bestFit="1" customWidth="1"/>
    <col min="6" max="6" width="8.88671875" style="3"/>
    <col min="7" max="7" width="14.6640625" style="3" bestFit="1" customWidth="1"/>
    <col min="8" max="8" width="10.109375" style="3" bestFit="1" customWidth="1"/>
    <col min="9" max="16384" width="8.88671875" style="3"/>
  </cols>
  <sheetData>
    <row r="1" spans="1:8" x14ac:dyDescent="0.45">
      <c r="A1" s="6" t="s">
        <v>230</v>
      </c>
      <c r="B1" s="5" t="s">
        <v>251</v>
      </c>
    </row>
    <row r="2" spans="1:8" x14ac:dyDescent="0.45">
      <c r="A2" s="3" t="s">
        <v>231</v>
      </c>
      <c r="B2" s="3" t="s">
        <v>253</v>
      </c>
      <c r="D2" s="4" t="s">
        <v>255</v>
      </c>
      <c r="G2" s="4" t="s">
        <v>258</v>
      </c>
    </row>
    <row r="3" spans="1:8" x14ac:dyDescent="0.45">
      <c r="A3" s="3" t="s">
        <v>232</v>
      </c>
      <c r="B3" s="3" t="s">
        <v>253</v>
      </c>
      <c r="D3" s="3" t="str" cm="1">
        <f t="array" ref="D3:D9">_xlfn.UNIQUE(Month!D:D)</f>
        <v>SalesPerson</v>
      </c>
      <c r="G3" s="3" t="str" cm="1">
        <f t="array" ref="G3:G9">_xlfn.UNIQUE(Month!C:C)</f>
        <v>Region</v>
      </c>
    </row>
    <row r="4" spans="1:8" x14ac:dyDescent="0.45">
      <c r="A4" s="3" t="s">
        <v>233</v>
      </c>
      <c r="B4" s="3" t="s">
        <v>253</v>
      </c>
      <c r="D4" s="3" t="str">
        <v>Asha</v>
      </c>
      <c r="E4" s="3">
        <f>SUMIF(Month!D:D,"Asha",Month!L:L)</f>
        <v>998250</v>
      </c>
      <c r="G4" s="3" t="str">
        <v>North</v>
      </c>
      <c r="H4" s="3">
        <f>AVERAGEIF(Month!C:C,Questions!G4,Month!G:G)</f>
        <v>3.6</v>
      </c>
    </row>
    <row r="5" spans="1:8" x14ac:dyDescent="0.45">
      <c r="A5" s="3" t="s">
        <v>234</v>
      </c>
      <c r="B5" s="3">
        <f>COUNTIFS(Month!D:D,"Rahul",Month!C:C,"South")</f>
        <v>20</v>
      </c>
      <c r="D5" s="3" t="str">
        <v>Rahul</v>
      </c>
      <c r="E5" s="3">
        <f>SUMIF(Month!D:D,"Rahul",Month!L:L)</f>
        <v>939000</v>
      </c>
      <c r="G5" s="3" t="str">
        <v>South</v>
      </c>
      <c r="H5" s="3">
        <f>AVERAGEIF(Month!C:C,Questions!G5,Month!G:G)</f>
        <v>3.3</v>
      </c>
    </row>
    <row r="6" spans="1:8" x14ac:dyDescent="0.45">
      <c r="A6" s="3" t="s">
        <v>235</v>
      </c>
      <c r="B6" s="3">
        <f>SUMIF(Month!J:J,"UPI",Month!L:L)</f>
        <v>1404675</v>
      </c>
      <c r="D6" s="3" t="str">
        <v>Neha</v>
      </c>
      <c r="E6" s="3">
        <f>SUMIF(Month!D:D,"Neha",Month!L:L)</f>
        <v>1178650</v>
      </c>
      <c r="G6" s="3" t="str">
        <v>East</v>
      </c>
      <c r="H6" s="3">
        <f>AVERAGEIF(Month!C:C,Questions!G6,Month!G:G)</f>
        <v>3.1</v>
      </c>
    </row>
    <row r="7" spans="1:8" x14ac:dyDescent="0.45">
      <c r="A7" s="3" t="s">
        <v>236</v>
      </c>
      <c r="B7" s="3" t="s">
        <v>253</v>
      </c>
      <c r="D7" s="3" t="str">
        <v>Vikram</v>
      </c>
      <c r="E7" s="3">
        <f>SUMIF(Month!D:D,"Vikram",Month!L:L)</f>
        <v>928000</v>
      </c>
      <c r="G7" s="3" t="str">
        <v>West</v>
      </c>
      <c r="H7" s="3">
        <f>AVERAGEIF(Month!C:C,Questions!G7,Month!G:G)</f>
        <v>3.9</v>
      </c>
    </row>
    <row r="8" spans="1:8" x14ac:dyDescent="0.45">
      <c r="A8" s="3" t="s">
        <v>237</v>
      </c>
      <c r="B8" s="3" t="s">
        <v>253</v>
      </c>
      <c r="D8" s="3" t="str">
        <v>Priya</v>
      </c>
      <c r="E8" s="3">
        <f>SUMIF(Month!D:D,"Priya",Month!L:L)</f>
        <v>883700</v>
      </c>
      <c r="G8" s="3" t="str">
        <v>Central</v>
      </c>
    </row>
    <row r="9" spans="1:8" x14ac:dyDescent="0.45">
      <c r="A9" s="3" t="s">
        <v>238</v>
      </c>
      <c r="B9" s="3">
        <f>SUMIF(Month!E:E,"Laptop",Month!L:L)</f>
        <v>2002500</v>
      </c>
      <c r="D9" s="3">
        <v>0</v>
      </c>
      <c r="G9" s="3">
        <v>0</v>
      </c>
    </row>
    <row r="10" spans="1:8" x14ac:dyDescent="0.45">
      <c r="A10" s="3" t="s">
        <v>239</v>
      </c>
      <c r="B10" s="3" t="s">
        <v>253</v>
      </c>
    </row>
    <row r="11" spans="1:8" x14ac:dyDescent="0.45">
      <c r="A11" s="3" t="s">
        <v>240</v>
      </c>
      <c r="B11" s="3">
        <f>COUNTIFS(Month!G:G,"&gt;5",Month!C:C,"East")</f>
        <v>1</v>
      </c>
    </row>
    <row r="12" spans="1:8" x14ac:dyDescent="0.45">
      <c r="A12" s="3" t="s">
        <v>241</v>
      </c>
      <c r="B12" s="3" t="s">
        <v>260</v>
      </c>
      <c r="D12" s="4" t="s">
        <v>254</v>
      </c>
      <c r="G12" s="4" t="s">
        <v>263</v>
      </c>
    </row>
    <row r="13" spans="1:8" x14ac:dyDescent="0.45">
      <c r="A13" s="3" t="s">
        <v>242</v>
      </c>
      <c r="B13" s="3" t="str" cm="1">
        <f t="array" ref="B13">INDEX(Table1[PaymentMode],MODE(MATCH(Table1[PaymentMode],Table1[PaymentMode],0)))</f>
        <v>UPI</v>
      </c>
      <c r="D13" s="3" t="str" cm="1">
        <f t="array" ref="D13:D19">_xlfn.UNIQUE(Month!C:C)</f>
        <v>Region</v>
      </c>
      <c r="G13" s="3" t="str" cm="1">
        <f t="array" ref="G13:G19">_xlfn.UNIQUE(Month!E:E)</f>
        <v>Product</v>
      </c>
    </row>
    <row r="14" spans="1:8" x14ac:dyDescent="0.45">
      <c r="A14" s="3" t="s">
        <v>243</v>
      </c>
      <c r="B14" s="3" t="s">
        <v>260</v>
      </c>
      <c r="D14" s="3" t="str">
        <v>North</v>
      </c>
      <c r="E14" s="3">
        <f>COUNTIF(Month!C:C,Questions!D14)</f>
        <v>20</v>
      </c>
      <c r="G14" s="3" t="str">
        <v>Laptop</v>
      </c>
      <c r="H14" s="3">
        <f>_xlfn.XLOOKUP(G14,Month!E:E,Month!H:H,"",0)</f>
        <v>50000</v>
      </c>
    </row>
    <row r="15" spans="1:8" x14ac:dyDescent="0.45">
      <c r="A15" s="3" t="s">
        <v>244</v>
      </c>
      <c r="B15" s="3" t="s">
        <v>260</v>
      </c>
      <c r="D15" s="3" t="str">
        <v>South</v>
      </c>
      <c r="E15" s="3">
        <f>COUNTIF(Month!C:C,Questions!D15)</f>
        <v>20</v>
      </c>
      <c r="G15" s="3" t="str">
        <v>Phone</v>
      </c>
      <c r="H15" s="3">
        <f>_xlfn.XLOOKUP(G15,Month!E:E,Month!H:H,"",0)</f>
        <v>20000</v>
      </c>
    </row>
    <row r="16" spans="1:8" x14ac:dyDescent="0.45">
      <c r="A16" s="3" t="s">
        <v>245</v>
      </c>
      <c r="B16" s="3">
        <f>MAX(Month!L:L)</f>
        <v>200000</v>
      </c>
      <c r="D16" s="3" t="str">
        <v>East</v>
      </c>
      <c r="E16" s="3">
        <f>COUNTIF(Month!C:C,Questions!D16)</f>
        <v>20</v>
      </c>
      <c r="G16" s="3" t="str">
        <v>Tablet</v>
      </c>
      <c r="H16" s="3">
        <f>_xlfn.XLOOKUP(G16,Month!E:E,Month!H:H,"",0)</f>
        <v>30000</v>
      </c>
    </row>
    <row r="17" spans="1:8" x14ac:dyDescent="0.45">
      <c r="A17" s="3" t="s">
        <v>246</v>
      </c>
      <c r="B17" s="3">
        <f>MIN(Month!H:H)</f>
        <v>1500</v>
      </c>
      <c r="D17" s="3" t="str">
        <v>West</v>
      </c>
      <c r="E17" s="3">
        <f>COUNTIF(Month!C:C,Questions!D17)</f>
        <v>20</v>
      </c>
      <c r="G17" s="3" t="str">
        <v>Headphones</v>
      </c>
      <c r="H17" s="3">
        <f>_xlfn.XLOOKUP(G17,Month!E:E,Month!H:H,"",0)</f>
        <v>2000</v>
      </c>
    </row>
    <row r="18" spans="1:8" x14ac:dyDescent="0.45">
      <c r="A18" s="3" t="s">
        <v>247</v>
      </c>
      <c r="B18" s="3" t="s">
        <v>260</v>
      </c>
      <c r="D18" s="3" t="str">
        <v>Central</v>
      </c>
      <c r="G18" s="3" t="str">
        <v>Keyboard</v>
      </c>
      <c r="H18" s="3">
        <f>_xlfn.XLOOKUP(G18,Month!E:E,Month!H:H,"",0)</f>
        <v>1500</v>
      </c>
    </row>
    <row r="19" spans="1:8" x14ac:dyDescent="0.45">
      <c r="A19" s="3" t="s">
        <v>248</v>
      </c>
      <c r="B19" s="3" t="s">
        <v>260</v>
      </c>
      <c r="D19" s="3">
        <v>0</v>
      </c>
      <c r="G19" s="3">
        <v>0</v>
      </c>
    </row>
    <row r="20" spans="1:8" x14ac:dyDescent="0.45">
      <c r="A20" s="3" t="s">
        <v>249</v>
      </c>
      <c r="B20" s="3">
        <f>COUNTIF(Month!O:O,"Mar")</f>
        <v>31</v>
      </c>
    </row>
    <row r="21" spans="1:8" x14ac:dyDescent="0.45">
      <c r="A21" s="3" t="s">
        <v>250</v>
      </c>
      <c r="B21" s="3" t="s">
        <v>260</v>
      </c>
      <c r="D21" s="4" t="s">
        <v>262</v>
      </c>
    </row>
    <row r="22" spans="1:8" x14ac:dyDescent="0.45">
      <c r="D22" s="3" t="str" cm="1">
        <f t="array" ref="D22:D28">_xlfn.UNIQUE(Month!E:E)</f>
        <v>Product</v>
      </c>
    </row>
    <row r="23" spans="1:8" x14ac:dyDescent="0.45">
      <c r="D23" s="3" t="str">
        <v>Laptop</v>
      </c>
      <c r="E23" s="3">
        <f>COUNTIF(Table1[Product],D23)</f>
        <v>23</v>
      </c>
    </row>
    <row r="24" spans="1:8" x14ac:dyDescent="0.45">
      <c r="A24" s="10" t="s">
        <v>264</v>
      </c>
      <c r="B24" t="s">
        <v>266</v>
      </c>
      <c r="C24" t="s">
        <v>267</v>
      </c>
      <c r="D24" s="3" t="str">
        <v>Phone</v>
      </c>
      <c r="E24" s="3">
        <f>COUNTIF(Table1[Product],D24)</f>
        <v>22</v>
      </c>
    </row>
    <row r="25" spans="1:8" x14ac:dyDescent="0.45">
      <c r="A25" s="11" t="s">
        <v>37</v>
      </c>
      <c r="B25" s="12">
        <v>78</v>
      </c>
      <c r="C25" s="12">
        <v>383500</v>
      </c>
      <c r="D25" s="3" t="str">
        <v>Tablet</v>
      </c>
      <c r="E25" s="3">
        <f>COUNTIF(Table1[Product],D25)</f>
        <v>22</v>
      </c>
    </row>
    <row r="26" spans="1:8" x14ac:dyDescent="0.45">
      <c r="A26" s="11" t="s">
        <v>25</v>
      </c>
      <c r="B26" s="12">
        <v>62</v>
      </c>
      <c r="C26" s="12">
        <v>530500</v>
      </c>
      <c r="D26" s="3" t="str">
        <v>Headphones</v>
      </c>
      <c r="E26" s="3">
        <f>COUNTIF(Table1[Product],D26)</f>
        <v>16</v>
      </c>
    </row>
    <row r="27" spans="1:8" x14ac:dyDescent="0.45">
      <c r="A27" s="11" t="s">
        <v>12</v>
      </c>
      <c r="B27" s="12">
        <v>72</v>
      </c>
      <c r="C27" s="12">
        <v>460500</v>
      </c>
      <c r="D27" s="3" t="str">
        <v>Keyboard</v>
      </c>
      <c r="E27" s="3">
        <f>COUNTIF(Table1[Product],D27)</f>
        <v>17</v>
      </c>
    </row>
    <row r="28" spans="1:8" x14ac:dyDescent="0.45">
      <c r="A28" s="11" t="s">
        <v>19</v>
      </c>
      <c r="B28" s="12">
        <v>66</v>
      </c>
      <c r="C28" s="12">
        <v>490500</v>
      </c>
      <c r="D28" s="3">
        <v>0</v>
      </c>
    </row>
    <row r="29" spans="1:8" x14ac:dyDescent="0.45">
      <c r="A29" s="11" t="s">
        <v>31</v>
      </c>
      <c r="B29" s="12">
        <v>78</v>
      </c>
      <c r="C29" s="12">
        <v>442500</v>
      </c>
    </row>
    <row r="30" spans="1:8" x14ac:dyDescent="0.45">
      <c r="A30" s="11" t="s">
        <v>265</v>
      </c>
      <c r="B30" s="12">
        <v>356</v>
      </c>
      <c r="C30" s="12">
        <v>2307500</v>
      </c>
    </row>
    <row r="31" spans="1:8" x14ac:dyDescent="0.45">
      <c r="A31"/>
      <c r="B31"/>
      <c r="C31"/>
    </row>
    <row r="32" spans="1:8" x14ac:dyDescent="0.45">
      <c r="A32"/>
      <c r="B32"/>
      <c r="C32"/>
    </row>
    <row r="33" spans="1:3" x14ac:dyDescent="0.45">
      <c r="A33"/>
      <c r="B33"/>
      <c r="C33"/>
    </row>
    <row r="34" spans="1:3" x14ac:dyDescent="0.45">
      <c r="A34"/>
      <c r="B34"/>
      <c r="C34"/>
    </row>
    <row r="35" spans="1:3" x14ac:dyDescent="0.45">
      <c r="A35"/>
      <c r="B35"/>
      <c r="C35"/>
    </row>
    <row r="36" spans="1:3" x14ac:dyDescent="0.45">
      <c r="A36"/>
      <c r="B36"/>
      <c r="C36"/>
    </row>
    <row r="37" spans="1:3" x14ac:dyDescent="0.45">
      <c r="A37"/>
      <c r="B37"/>
      <c r="C37"/>
    </row>
    <row r="38" spans="1:3" x14ac:dyDescent="0.45">
      <c r="A38"/>
      <c r="B38"/>
      <c r="C38"/>
    </row>
    <row r="39" spans="1:3" x14ac:dyDescent="0.45">
      <c r="A39"/>
      <c r="B39"/>
      <c r="C39"/>
    </row>
    <row r="40" spans="1:3" x14ac:dyDescent="0.45">
      <c r="A40"/>
      <c r="B40"/>
      <c r="C40"/>
    </row>
    <row r="41" spans="1:3" x14ac:dyDescent="0.45">
      <c r="A41"/>
      <c r="B41"/>
      <c r="C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2026-06-09T06:02:25Z</dcterms:created>
  <dcterms:modified xsi:type="dcterms:W3CDTF">2026-06-13T04:58:10Z</dcterms:modified>
</cp:coreProperties>
</file>