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E45EB8-AC36-428D-8BFB-A07D57BA7F48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Data" sheetId="1" r:id="rId1"/>
    <sheet name="Formula Tes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6" i="2" l="1"/>
  <c r="F37" i="2"/>
  <c r="F38" i="2"/>
  <c r="F39" i="2"/>
  <c r="F40" i="2"/>
  <c r="F41" i="2"/>
  <c r="F42" i="2"/>
  <c r="F43" i="2"/>
  <c r="F44" i="2"/>
  <c r="F35" i="2"/>
  <c r="B36" i="2"/>
  <c r="B37" i="2" a="1"/>
  <c r="B37" i="2" s="1"/>
  <c r="F48" i="2"/>
  <c r="F49" i="2"/>
  <c r="F50" i="2"/>
  <c r="F51" i="2"/>
  <c r="F52" i="2"/>
  <c r="F47" i="2"/>
  <c r="E48" i="2"/>
  <c r="E49" i="2"/>
  <c r="E50" i="2"/>
  <c r="E51" i="2"/>
  <c r="E52" i="2"/>
  <c r="E47" i="2"/>
  <c r="D47" i="2" a="1"/>
  <c r="D47" i="2" s="1"/>
  <c r="E36" i="2"/>
  <c r="E37" i="2"/>
  <c r="E38" i="2"/>
  <c r="E39" i="2"/>
  <c r="E40" i="2"/>
  <c r="E41" i="2"/>
  <c r="E42" i="2"/>
  <c r="E43" i="2"/>
  <c r="E44" i="2"/>
  <c r="E45" i="2"/>
  <c r="E35" i="2"/>
  <c r="D35" i="2" a="1"/>
  <c r="D35" i="2" s="1"/>
  <c r="B25" i="2" a="1"/>
  <c r="B25" i="2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2" i="1"/>
  <c r="B34" i="2"/>
  <c r="B31" i="2"/>
  <c r="B35" i="2" a="1"/>
  <c r="B35" i="2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2" i="1"/>
  <c r="B33" i="2"/>
  <c r="B30" i="2"/>
  <c r="D32" i="2"/>
  <c r="D31" i="2"/>
  <c r="B29" i="2"/>
  <c r="B28" i="2" a="1"/>
  <c r="B28" i="2" s="1"/>
  <c r="B27" i="2"/>
  <c r="B26" i="2" a="1"/>
  <c r="B26" i="2" s="1"/>
  <c r="B24" i="2"/>
  <c r="B23" i="2"/>
  <c r="E27" i="2"/>
  <c r="E28" i="2"/>
  <c r="E26" i="2"/>
  <c r="D26" i="2" a="1"/>
  <c r="D26" i="2" s="1"/>
  <c r="B21" i="2" a="1"/>
  <c r="B21" i="2" s="1"/>
  <c r="B20" i="2"/>
  <c r="B19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B18" i="2"/>
  <c r="B17" i="2"/>
  <c r="B16" i="2" a="1"/>
  <c r="B16" i="2" s="1"/>
  <c r="B15" i="2" a="1"/>
  <c r="B15" i="2" s="1"/>
  <c r="E4" i="2"/>
  <c r="E5" i="2"/>
  <c r="E6" i="2"/>
  <c r="E7" i="2"/>
  <c r="E8" i="2"/>
  <c r="E3" i="2"/>
  <c r="D3" i="2" a="1"/>
  <c r="D3" i="2" s="1"/>
  <c r="B14" i="2"/>
  <c r="F12" i="2" a="1"/>
  <c r="F12" i="2" s="1"/>
  <c r="D12" i="2" a="1"/>
  <c r="D12" i="2" s="1"/>
  <c r="B11" i="2" a="1"/>
  <c r="B11" i="2" s="1"/>
  <c r="B10" i="2"/>
  <c r="B9" i="2"/>
  <c r="B8" i="2"/>
  <c r="B7" i="2"/>
  <c r="B6" i="2"/>
  <c r="B5" i="2"/>
  <c r="B4" i="2"/>
  <c r="B3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<sst xmlns="http://schemas.openxmlformats.org/spreadsheetml/2006/main" count="962" uniqueCount="106">
  <si>
    <t>OrderID</t>
  </si>
  <si>
    <t>OrderDate</t>
  </si>
  <si>
    <t>Customer</t>
  </si>
  <si>
    <t>City</t>
  </si>
  <si>
    <t>Restaurant</t>
  </si>
  <si>
    <t>Cuisine</t>
  </si>
  <si>
    <t>Partner</t>
  </si>
  <si>
    <t>OrderValue</t>
  </si>
  <si>
    <t>DeliveryTimeMins</t>
  </si>
  <si>
    <t>Rating</t>
  </si>
  <si>
    <t>Status</t>
  </si>
  <si>
    <t>Sanjay Verma</t>
  </si>
  <si>
    <t>Delhi</t>
  </si>
  <si>
    <t>Curry House</t>
  </si>
  <si>
    <t>Italian</t>
  </si>
  <si>
    <t>Zomato</t>
  </si>
  <si>
    <t>Delivered</t>
  </si>
  <si>
    <t>Zara Khan</t>
  </si>
  <si>
    <t>Bangalore</t>
  </si>
  <si>
    <t>Spice Route</t>
  </si>
  <si>
    <t>Chinese</t>
  </si>
  <si>
    <t>Ishaan Rao</t>
  </si>
  <si>
    <t>Hyderabad</t>
  </si>
  <si>
    <t>North Indian</t>
  </si>
  <si>
    <t>Cancelled</t>
  </si>
  <si>
    <t>Rohan Gupta</t>
  </si>
  <si>
    <t>Mumbai</t>
  </si>
  <si>
    <t>Swiggy</t>
  </si>
  <si>
    <t>Noodle Bar</t>
  </si>
  <si>
    <t>Own Fleet</t>
  </si>
  <si>
    <t>Simran Kaur</t>
  </si>
  <si>
    <t>Pune</t>
  </si>
  <si>
    <t>Pizza Point</t>
  </si>
  <si>
    <t>Desserts</t>
  </si>
  <si>
    <t>Devansh Shah</t>
  </si>
  <si>
    <t>South Indian</t>
  </si>
  <si>
    <t>Chennai</t>
  </si>
  <si>
    <t>Sweet Tooth</t>
  </si>
  <si>
    <t>Nisha Reddy</t>
  </si>
  <si>
    <t>Dosa Junction</t>
  </si>
  <si>
    <t>Fast Food</t>
  </si>
  <si>
    <t>Diya Kapoor</t>
  </si>
  <si>
    <t>Bella Napoli</t>
  </si>
  <si>
    <t>Farhan Ali</t>
  </si>
  <si>
    <t>Wok This Way</t>
  </si>
  <si>
    <t>Yash Oberoi</t>
  </si>
  <si>
    <t>Burger Barn</t>
  </si>
  <si>
    <t>Karan Malhotra</t>
  </si>
  <si>
    <t>Idli Express</t>
  </si>
  <si>
    <t>Kavya Nair</t>
  </si>
  <si>
    <t>Priyanka Rao</t>
  </si>
  <si>
    <t>Tanvi Joshi</t>
  </si>
  <si>
    <t>Meera Pillai</t>
  </si>
  <si>
    <t>Aarav Mehta</t>
  </si>
  <si>
    <t>Returned</t>
  </si>
  <si>
    <t>Aditya Iyer</t>
  </si>
  <si>
    <t>Ananya Bose</t>
  </si>
  <si>
    <t>Food Delivery Formula Test</t>
  </si>
  <si>
    <t>Use the Data sheet (rows 2-151) as your source. Write one formula per answer cell in column B.</t>
  </si>
  <si>
    <t>Q1. Total OrderValue for orders from 'Pizza Point' delivered by 'Swiggy'.</t>
  </si>
  <si>
    <t>Q2. Count of orders with Status='Cancelled' and Rating less than 3.</t>
  </si>
  <si>
    <t>Q3. Look up the Restaurant for OrderID 20040, with a safe fallback if it isn't found.</t>
  </si>
  <si>
    <t>Q4. Average DeliveryTimeMins for orders in 'Bangalore' delivered by 'Own Fleet'.</t>
  </si>
  <si>
    <t>Q5. Total OrderValue across the entire dataset for Status='Delivered' only, without adding a helper column.</t>
  </si>
  <si>
    <t>Q6. Classify OrderID 20000's delivery speed as 'Fast' (DeliveryTimeMins&lt;=30), 'Moderate' (31-50), or 'Slow' (50+).</t>
  </si>
  <si>
    <t>Q7. Extract the month name and year (e.g. 'March 2025') from the OrderDate of OrderID 20025.</t>
  </si>
  <si>
    <t>Q8. Return the OrderValue where City='Chennai' and Cuisine='South Indian', using an array-style match (no helper column).</t>
  </si>
  <si>
    <t>Q9. Return a unique, alphabetically sorted list of all Restaurants as a spilled array.</t>
  </si>
  <si>
    <t>Q10. Return all OrderIDs where Partner='Own Fleet' AND Rating=5, as a spilled array.</t>
  </si>
  <si>
    <t>Q11. Count how many Customer names contain 'Kaur' anywhere in the dataset.</t>
  </si>
  <si>
    <t>Q12. Find the Cuisine with the highest total OrderValue among orders with Rating=5, using formulas only (no pivot table).</t>
  </si>
  <si>
    <t>Q13. Calculate the total number of unique Customers who ordered from 'Sweet Tooth'.</t>
  </si>
  <si>
    <t>Q14. Find the second-highest DeliveryTimeMins in the entire dataset.</t>
  </si>
  <si>
    <t>Q15. Return the Customer name associated with the single highest OrderValue on record.</t>
  </si>
  <si>
    <t>Q16. Count the number of orders placed in Q1 2025 (Jan-Mar).</t>
  </si>
  <si>
    <t>Q17. Calculate the percentage of orders with Status='Returned'.</t>
  </si>
  <si>
    <t>Q18. Return the most frequently ordered Cuisine overall.</t>
  </si>
  <si>
    <t>Q19. Find the total OrderValue generated by each Partner, broken out into a small 3-row summary table using formulas (not a pivot table).</t>
  </si>
  <si>
    <t>Q20. Extract just the day of the week (e.g. 'Monday') for the OrderDate of OrderID 20060.</t>
  </si>
  <si>
    <t>Q21. Return the average Rating for orders with OrderValue greater than 1500.</t>
  </si>
  <si>
    <t>Q22. Find the Cuisine that appears most often for orders with DeliveryTimeMins greater than 60.</t>
  </si>
  <si>
    <t>Q23. Return the number of distinct Cuisines available in 'Hyderabad'.</t>
  </si>
  <si>
    <t>Q24. Calculate the total number of days between OrderID 20010's OrderDate and today's date.</t>
  </si>
  <si>
    <t>Q25. Return TRUE or FALSE for whether every order from 'Bella Napoli' has a Rating of 3 or higher.</t>
  </si>
  <si>
    <t>Q26. Concatenate the Customer name and City into a single string separated by a hyphen for OrderID 20030 (e.g. 'Aarav Mehta-Delhi').</t>
  </si>
  <si>
    <t>Q27. Find the earliest and latest OrderDate in the dataset, displayed as a single text string like 'Jan 2025 to Dec 2025'.</t>
  </si>
  <si>
    <t>Q28. Return the overall average OrderValue, rounded to the nearest whole number.</t>
  </si>
  <si>
    <t>Q29. Find the Restaurant with the lowest average Rating (only include restaurants with at least 5 orders).</t>
  </si>
  <si>
    <t>Q30. Return the rank (1 = highest) of OrderID 20005's OrderValue among all orders, using RANK.EQ.</t>
  </si>
  <si>
    <t>Q31. Extract just the first word of the Restaurant name for OrderID 20015 (e.g. 'Pizza' from 'Pizza Point').</t>
  </si>
  <si>
    <t>Q32. Calculate the total OrderValue for orders placed on weekends (Saturday or Sunday) using SUMPRODUCT.</t>
  </si>
  <si>
    <t>Q33. Return the number of orders where DeliveryTimeMins is an outlier, defined as more than 1.5x the average DeliveryTimeMins.</t>
  </si>
  <si>
    <t>Q34. Find the City that generates the highest average OrderValue per order (minimum 10 orders), using formulas only.</t>
  </si>
  <si>
    <t>done in right</t>
  </si>
  <si>
    <t>ans9</t>
  </si>
  <si>
    <t>ans10</t>
  </si>
  <si>
    <t>ref ans12</t>
  </si>
  <si>
    <t>quarter</t>
  </si>
  <si>
    <t>year</t>
  </si>
  <si>
    <t>ans19</t>
  </si>
  <si>
    <t>ref ans27</t>
  </si>
  <si>
    <t>day</t>
  </si>
  <si>
    <t>cuisine helper</t>
  </si>
  <si>
    <t>ref ans29</t>
  </si>
  <si>
    <t>ref ans34</t>
  </si>
  <si>
    <t>city 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</si>
</sst>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name val="Arial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4" fillId="0" borderId="0" xfId="0" applyFont="1"/>
    <xf numFmtId="0" fontId="2" fillId="2" borderId="0" xfId="0" applyFont="1" applyFill="1"/>
    <xf numFmtId="0" fontId="3" fillId="2" borderId="0" xfId="0" applyFont="1" applyFill="1"/>
    <xf numFmtId="1" fontId="0" fillId="0" borderId="0" xfId="0" applyNumberFormat="1"/>
    <xf numFmtId="9" fontId="1" fillId="0" borderId="0" xfId="1"/>
    <xf numFmtId="0" fontId="0" fillId="3" borderId="0" xfId="0" applyFont="1" applyFill="1"/>
    <xf numFmtId="0" fontId="5" fillId="2" borderId="0" xfId="0" applyFont="1" applyFill="1"/>
    <xf numFmtId="0" fontId="6" fillId="0" borderId="0" xfId="0" applyFont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zoomScaleNormal="100" workbookViewId="0">
      <pane ySplit="1" topLeftCell="A126" activePane="bottomLeft" state="frozen"/>
      <selection pane="bottomLeft" activeCell="Q2" sqref="Q2"/>
    </sheetView>
  </sheetViews>
  <sheetFormatPr defaultColWidth="8.6640625" defaultRowHeight="14.4" x14ac:dyDescent="0.3"/>
  <cols>
    <col min="1" max="1" width="8.5546875" bestFit="1" customWidth="1"/>
    <col min="2" max="2" width="11.88671875" bestFit="1" customWidth="1"/>
    <col min="3" max="3" width="13.77734375" bestFit="1" customWidth="1"/>
    <col min="4" max="4" width="9.77734375" bestFit="1" customWidth="1"/>
    <col min="5" max="5" width="12.5546875" bestFit="1" customWidth="1"/>
    <col min="6" max="6" width="11.21875" bestFit="1" customWidth="1"/>
    <col min="7" max="7" width="9.21875" bestFit="1" customWidth="1"/>
    <col min="8" max="8" width="12.109375" bestFit="1" customWidth="1"/>
    <col min="9" max="9" width="18.88671875" bestFit="1" customWidth="1"/>
    <col min="10" max="10" width="7.21875" bestFit="1" customWidth="1"/>
    <col min="11" max="11" width="8.88671875" bestFit="1" customWidth="1"/>
    <col min="14" max="14" width="11" bestFit="1" customWidth="1"/>
    <col min="15" max="15" width="10.44140625" bestFit="1" customWidth="1"/>
    <col min="16" max="16" width="14.88671875" bestFit="1" customWidth="1"/>
    <col min="17" max="17" width="17.8867187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3" t="s">
        <v>97</v>
      </c>
      <c r="N1" s="3" t="s">
        <v>98</v>
      </c>
      <c r="O1" s="3" t="s">
        <v>101</v>
      </c>
      <c r="P1" s="3" t="s">
        <v>102</v>
      </c>
      <c r="Q1" s="8" t="s">
        <v>105</v>
      </c>
    </row>
    <row r="2" spans="1:17" x14ac:dyDescent="0.3">
      <c r="A2">
        <v>20000</v>
      </c>
      <c r="B2" s="1">
        <v>45684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1868.93</v>
      </c>
      <c r="I2">
        <v>70</v>
      </c>
      <c r="J2">
        <v>1</v>
      </c>
      <c r="K2" t="s">
        <v>16</v>
      </c>
      <c r="M2">
        <f>ROUNDUP(MONTH(B2)/3,0)</f>
        <v>1</v>
      </c>
      <c r="N2" s="5">
        <f>YEAR(B2)</f>
        <v>2025</v>
      </c>
      <c r="O2" t="str">
        <f>TEXT(B2,"dddd")</f>
        <v>Monday</v>
      </c>
      <c r="P2" t="str">
        <f>IF(I2&gt;60,F2,"")</f>
        <v>Italian</v>
      </c>
    </row>
    <row r="3" spans="1:17" x14ac:dyDescent="0.3">
      <c r="A3">
        <v>20001</v>
      </c>
      <c r="B3" s="1">
        <v>45945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>
        <v>841.29</v>
      </c>
      <c r="I3">
        <v>36</v>
      </c>
      <c r="J3">
        <v>3</v>
      </c>
      <c r="K3" t="s">
        <v>16</v>
      </c>
      <c r="M3">
        <f t="shared" ref="M3:M66" si="0">ROUNDUP(MONTH(B3)/3,0)</f>
        <v>4</v>
      </c>
      <c r="N3" s="5">
        <f t="shared" ref="N3:N66" si="1">YEAR(B3)</f>
        <v>2025</v>
      </c>
      <c r="O3" t="str">
        <f t="shared" ref="O3:O66" si="2">TEXT(B3,"dddd")</f>
        <v>Wednesday</v>
      </c>
      <c r="P3" t="str">
        <f t="shared" ref="P3:P66" si="3">IF(I3&gt;60,F3,"")</f>
        <v/>
      </c>
    </row>
    <row r="4" spans="1:17" x14ac:dyDescent="0.3">
      <c r="A4">
        <v>20002</v>
      </c>
      <c r="B4" s="1">
        <v>45881</v>
      </c>
      <c r="C4" t="s">
        <v>21</v>
      </c>
      <c r="D4" t="s">
        <v>22</v>
      </c>
      <c r="E4" t="s">
        <v>13</v>
      </c>
      <c r="F4" t="s">
        <v>23</v>
      </c>
      <c r="G4" t="s">
        <v>15</v>
      </c>
      <c r="H4">
        <v>796.69</v>
      </c>
      <c r="I4">
        <v>43</v>
      </c>
      <c r="J4">
        <v>2</v>
      </c>
      <c r="K4" t="s">
        <v>24</v>
      </c>
      <c r="M4">
        <f t="shared" si="0"/>
        <v>3</v>
      </c>
      <c r="N4" s="5">
        <f t="shared" si="1"/>
        <v>2025</v>
      </c>
      <c r="O4" t="str">
        <f t="shared" si="2"/>
        <v>Tuesday</v>
      </c>
      <c r="P4" t="str">
        <f t="shared" si="3"/>
        <v/>
      </c>
    </row>
    <row r="5" spans="1:17" x14ac:dyDescent="0.3">
      <c r="A5">
        <v>20003</v>
      </c>
      <c r="B5" s="1">
        <v>45705</v>
      </c>
      <c r="C5" t="s">
        <v>25</v>
      </c>
      <c r="D5" t="s">
        <v>26</v>
      </c>
      <c r="E5" t="s">
        <v>19</v>
      </c>
      <c r="F5" t="s">
        <v>14</v>
      </c>
      <c r="G5" t="s">
        <v>27</v>
      </c>
      <c r="H5">
        <v>1325.49</v>
      </c>
      <c r="I5">
        <v>31</v>
      </c>
      <c r="J5">
        <v>5</v>
      </c>
      <c r="K5" t="s">
        <v>16</v>
      </c>
      <c r="M5">
        <f t="shared" si="0"/>
        <v>1</v>
      </c>
      <c r="N5" s="5">
        <f t="shared" si="1"/>
        <v>2025</v>
      </c>
      <c r="O5" t="str">
        <f t="shared" si="2"/>
        <v>Monday</v>
      </c>
      <c r="P5" t="str">
        <f t="shared" si="3"/>
        <v/>
      </c>
    </row>
    <row r="6" spans="1:17" x14ac:dyDescent="0.3">
      <c r="A6">
        <v>20004</v>
      </c>
      <c r="B6" s="1">
        <v>45814</v>
      </c>
      <c r="C6" t="s">
        <v>17</v>
      </c>
      <c r="D6" t="s">
        <v>22</v>
      </c>
      <c r="E6" t="s">
        <v>28</v>
      </c>
      <c r="F6" t="s">
        <v>20</v>
      </c>
      <c r="G6" t="s">
        <v>29</v>
      </c>
      <c r="H6">
        <v>1459.45</v>
      </c>
      <c r="I6">
        <v>51</v>
      </c>
      <c r="J6">
        <v>4</v>
      </c>
      <c r="K6" t="s">
        <v>16</v>
      </c>
      <c r="M6">
        <f t="shared" si="0"/>
        <v>2</v>
      </c>
      <c r="N6" s="5">
        <f t="shared" si="1"/>
        <v>2025</v>
      </c>
      <c r="O6" t="str">
        <f t="shared" si="2"/>
        <v>Friday</v>
      </c>
      <c r="P6" t="str">
        <f t="shared" si="3"/>
        <v/>
      </c>
    </row>
    <row r="7" spans="1:17" x14ac:dyDescent="0.3">
      <c r="A7">
        <v>20005</v>
      </c>
      <c r="B7" s="1">
        <v>45988</v>
      </c>
      <c r="C7" t="s">
        <v>30</v>
      </c>
      <c r="D7" t="s">
        <v>31</v>
      </c>
      <c r="E7" t="s">
        <v>32</v>
      </c>
      <c r="F7" t="s">
        <v>33</v>
      </c>
      <c r="G7" t="s">
        <v>29</v>
      </c>
      <c r="H7">
        <v>1372.83</v>
      </c>
      <c r="I7">
        <v>68</v>
      </c>
      <c r="J7">
        <v>5</v>
      </c>
      <c r="K7" t="s">
        <v>16</v>
      </c>
      <c r="M7">
        <f t="shared" si="0"/>
        <v>4</v>
      </c>
      <c r="N7" s="5">
        <f t="shared" si="1"/>
        <v>2025</v>
      </c>
      <c r="O7" t="str">
        <f t="shared" si="2"/>
        <v>Thursday</v>
      </c>
      <c r="P7" t="str">
        <f t="shared" si="3"/>
        <v>Desserts</v>
      </c>
    </row>
    <row r="8" spans="1:17" x14ac:dyDescent="0.3">
      <c r="A8">
        <v>20006</v>
      </c>
      <c r="B8" s="1">
        <v>45872</v>
      </c>
      <c r="C8" t="s">
        <v>34</v>
      </c>
      <c r="D8" t="s">
        <v>22</v>
      </c>
      <c r="E8" t="s">
        <v>19</v>
      </c>
      <c r="F8" t="s">
        <v>33</v>
      </c>
      <c r="G8" t="s">
        <v>15</v>
      </c>
      <c r="H8">
        <v>1637.95</v>
      </c>
      <c r="I8">
        <v>20</v>
      </c>
      <c r="J8">
        <v>5</v>
      </c>
      <c r="K8" t="s">
        <v>16</v>
      </c>
      <c r="M8">
        <f t="shared" si="0"/>
        <v>3</v>
      </c>
      <c r="N8" s="5">
        <f t="shared" si="1"/>
        <v>2025</v>
      </c>
      <c r="O8" t="str">
        <f t="shared" si="2"/>
        <v>Sunday</v>
      </c>
      <c r="P8" t="str">
        <f t="shared" si="3"/>
        <v/>
      </c>
    </row>
    <row r="9" spans="1:17" x14ac:dyDescent="0.3">
      <c r="A9">
        <v>20007</v>
      </c>
      <c r="B9" s="1">
        <v>45745</v>
      </c>
      <c r="C9" t="s">
        <v>17</v>
      </c>
      <c r="D9" t="s">
        <v>18</v>
      </c>
      <c r="E9" t="s">
        <v>32</v>
      </c>
      <c r="F9" t="s">
        <v>35</v>
      </c>
      <c r="G9" t="s">
        <v>15</v>
      </c>
      <c r="H9">
        <v>1632.38</v>
      </c>
      <c r="I9">
        <v>39</v>
      </c>
      <c r="J9">
        <v>4</v>
      </c>
      <c r="K9" t="s">
        <v>16</v>
      </c>
      <c r="M9">
        <f t="shared" si="0"/>
        <v>1</v>
      </c>
      <c r="N9" s="5">
        <f t="shared" si="1"/>
        <v>2025</v>
      </c>
      <c r="O9" t="str">
        <f t="shared" si="2"/>
        <v>Saturday</v>
      </c>
      <c r="P9" t="str">
        <f t="shared" si="3"/>
        <v/>
      </c>
    </row>
    <row r="10" spans="1:17" x14ac:dyDescent="0.3">
      <c r="A10">
        <v>20008</v>
      </c>
      <c r="B10" s="1">
        <v>45958</v>
      </c>
      <c r="C10" t="s">
        <v>21</v>
      </c>
      <c r="D10" t="s">
        <v>36</v>
      </c>
      <c r="E10" t="s">
        <v>37</v>
      </c>
      <c r="F10" t="s">
        <v>23</v>
      </c>
      <c r="G10" t="s">
        <v>27</v>
      </c>
      <c r="H10">
        <v>2194.98</v>
      </c>
      <c r="I10">
        <v>40</v>
      </c>
      <c r="J10">
        <v>5</v>
      </c>
      <c r="K10" t="s">
        <v>16</v>
      </c>
      <c r="M10">
        <f t="shared" si="0"/>
        <v>4</v>
      </c>
      <c r="N10" s="5">
        <f t="shared" si="1"/>
        <v>2025</v>
      </c>
      <c r="O10" t="str">
        <f t="shared" si="2"/>
        <v>Tuesday</v>
      </c>
      <c r="P10" t="str">
        <f t="shared" si="3"/>
        <v/>
      </c>
    </row>
    <row r="11" spans="1:17" x14ac:dyDescent="0.3">
      <c r="A11">
        <v>20009</v>
      </c>
      <c r="B11" s="1">
        <v>45688</v>
      </c>
      <c r="C11" t="s">
        <v>38</v>
      </c>
      <c r="D11" t="s">
        <v>31</v>
      </c>
      <c r="E11" t="s">
        <v>39</v>
      </c>
      <c r="F11" t="s">
        <v>40</v>
      </c>
      <c r="G11" t="s">
        <v>27</v>
      </c>
      <c r="H11">
        <v>2160.38</v>
      </c>
      <c r="I11">
        <v>24</v>
      </c>
      <c r="J11">
        <v>5</v>
      </c>
      <c r="K11" t="s">
        <v>16</v>
      </c>
      <c r="M11">
        <f t="shared" si="0"/>
        <v>1</v>
      </c>
      <c r="N11" s="5">
        <f t="shared" si="1"/>
        <v>2025</v>
      </c>
      <c r="O11" t="str">
        <f t="shared" si="2"/>
        <v>Friday</v>
      </c>
      <c r="P11" t="str">
        <f t="shared" si="3"/>
        <v/>
      </c>
    </row>
    <row r="12" spans="1:17" x14ac:dyDescent="0.3">
      <c r="A12">
        <v>20010</v>
      </c>
      <c r="B12" s="1">
        <v>45894</v>
      </c>
      <c r="C12" t="s">
        <v>41</v>
      </c>
      <c r="D12" t="s">
        <v>12</v>
      </c>
      <c r="E12" t="s">
        <v>42</v>
      </c>
      <c r="F12" t="s">
        <v>35</v>
      </c>
      <c r="G12" t="s">
        <v>15</v>
      </c>
      <c r="H12">
        <v>193.07</v>
      </c>
      <c r="I12">
        <v>66</v>
      </c>
      <c r="J12">
        <v>4</v>
      </c>
      <c r="K12" t="s">
        <v>16</v>
      </c>
      <c r="M12">
        <f t="shared" si="0"/>
        <v>3</v>
      </c>
      <c r="N12" s="5">
        <f t="shared" si="1"/>
        <v>2025</v>
      </c>
      <c r="O12" t="str">
        <f t="shared" si="2"/>
        <v>Monday</v>
      </c>
      <c r="P12" t="str">
        <f t="shared" si="3"/>
        <v>South Indian</v>
      </c>
    </row>
    <row r="13" spans="1:17" x14ac:dyDescent="0.3">
      <c r="A13">
        <v>20011</v>
      </c>
      <c r="B13" s="1">
        <v>45880</v>
      </c>
      <c r="C13" t="s">
        <v>43</v>
      </c>
      <c r="D13" t="s">
        <v>12</v>
      </c>
      <c r="E13" t="s">
        <v>44</v>
      </c>
      <c r="F13" t="s">
        <v>40</v>
      </c>
      <c r="G13" t="s">
        <v>15</v>
      </c>
      <c r="H13">
        <v>1196.1600000000001</v>
      </c>
      <c r="I13">
        <v>60</v>
      </c>
      <c r="J13">
        <v>2</v>
      </c>
      <c r="K13" t="s">
        <v>16</v>
      </c>
      <c r="M13">
        <f t="shared" si="0"/>
        <v>3</v>
      </c>
      <c r="N13" s="5">
        <f t="shared" si="1"/>
        <v>2025</v>
      </c>
      <c r="O13" t="str">
        <f t="shared" si="2"/>
        <v>Monday</v>
      </c>
      <c r="P13" t="str">
        <f t="shared" si="3"/>
        <v/>
      </c>
    </row>
    <row r="14" spans="1:17" x14ac:dyDescent="0.3">
      <c r="A14">
        <v>20012</v>
      </c>
      <c r="B14" s="1">
        <v>45662</v>
      </c>
      <c r="C14" t="s">
        <v>45</v>
      </c>
      <c r="D14" t="s">
        <v>31</v>
      </c>
      <c r="E14" t="s">
        <v>44</v>
      </c>
      <c r="F14" t="s">
        <v>40</v>
      </c>
      <c r="G14" t="s">
        <v>29</v>
      </c>
      <c r="H14">
        <v>1451.94</v>
      </c>
      <c r="I14">
        <v>16</v>
      </c>
      <c r="J14">
        <v>4</v>
      </c>
      <c r="K14" t="s">
        <v>16</v>
      </c>
      <c r="M14">
        <f t="shared" si="0"/>
        <v>1</v>
      </c>
      <c r="N14" s="5">
        <f t="shared" si="1"/>
        <v>2025</v>
      </c>
      <c r="O14" t="str">
        <f t="shared" si="2"/>
        <v>Sunday</v>
      </c>
      <c r="P14" t="str">
        <f t="shared" si="3"/>
        <v/>
      </c>
    </row>
    <row r="15" spans="1:17" x14ac:dyDescent="0.3">
      <c r="A15">
        <v>20013</v>
      </c>
      <c r="B15" s="1">
        <v>45899</v>
      </c>
      <c r="C15" t="s">
        <v>41</v>
      </c>
      <c r="D15" t="s">
        <v>22</v>
      </c>
      <c r="E15" t="s">
        <v>37</v>
      </c>
      <c r="F15" t="s">
        <v>35</v>
      </c>
      <c r="G15" t="s">
        <v>27</v>
      </c>
      <c r="H15">
        <v>198.77</v>
      </c>
      <c r="I15">
        <v>55</v>
      </c>
      <c r="J15">
        <v>3</v>
      </c>
      <c r="K15" t="s">
        <v>24</v>
      </c>
      <c r="M15">
        <f t="shared" si="0"/>
        <v>3</v>
      </c>
      <c r="N15" s="5">
        <f t="shared" si="1"/>
        <v>2025</v>
      </c>
      <c r="O15" t="str">
        <f t="shared" si="2"/>
        <v>Saturday</v>
      </c>
      <c r="P15" t="str">
        <f t="shared" si="3"/>
        <v/>
      </c>
    </row>
    <row r="16" spans="1:17" x14ac:dyDescent="0.3">
      <c r="A16">
        <v>20014</v>
      </c>
      <c r="B16" s="1">
        <v>45872</v>
      </c>
      <c r="C16" t="s">
        <v>21</v>
      </c>
      <c r="D16" t="s">
        <v>36</v>
      </c>
      <c r="E16" t="s">
        <v>42</v>
      </c>
      <c r="F16" t="s">
        <v>14</v>
      </c>
      <c r="G16" t="s">
        <v>29</v>
      </c>
      <c r="H16">
        <v>631.67999999999995</v>
      </c>
      <c r="I16">
        <v>20</v>
      </c>
      <c r="J16">
        <v>1</v>
      </c>
      <c r="K16" t="s">
        <v>16</v>
      </c>
      <c r="M16">
        <f t="shared" si="0"/>
        <v>3</v>
      </c>
      <c r="N16" s="5">
        <f t="shared" si="1"/>
        <v>2025</v>
      </c>
      <c r="O16" t="str">
        <f t="shared" si="2"/>
        <v>Sunday</v>
      </c>
      <c r="P16" t="str">
        <f t="shared" si="3"/>
        <v/>
      </c>
    </row>
    <row r="17" spans="1:16" x14ac:dyDescent="0.3">
      <c r="A17">
        <v>20015</v>
      </c>
      <c r="B17" s="1">
        <v>45856</v>
      </c>
      <c r="C17" t="s">
        <v>45</v>
      </c>
      <c r="D17" t="s">
        <v>18</v>
      </c>
      <c r="E17" t="s">
        <v>42</v>
      </c>
      <c r="F17" t="s">
        <v>33</v>
      </c>
      <c r="G17" t="s">
        <v>27</v>
      </c>
      <c r="H17">
        <v>1741.07</v>
      </c>
      <c r="I17">
        <v>39</v>
      </c>
      <c r="J17">
        <v>4</v>
      </c>
      <c r="K17" t="s">
        <v>16</v>
      </c>
      <c r="M17">
        <f t="shared" si="0"/>
        <v>3</v>
      </c>
      <c r="N17" s="5">
        <f t="shared" si="1"/>
        <v>2025</v>
      </c>
      <c r="O17" t="str">
        <f t="shared" si="2"/>
        <v>Friday</v>
      </c>
      <c r="P17" t="str">
        <f t="shared" si="3"/>
        <v/>
      </c>
    </row>
    <row r="18" spans="1:16" x14ac:dyDescent="0.3">
      <c r="A18">
        <v>20016</v>
      </c>
      <c r="B18" s="1">
        <v>45830</v>
      </c>
      <c r="C18" t="s">
        <v>30</v>
      </c>
      <c r="D18" t="s">
        <v>12</v>
      </c>
      <c r="E18" t="s">
        <v>42</v>
      </c>
      <c r="F18" t="s">
        <v>40</v>
      </c>
      <c r="G18" t="s">
        <v>27</v>
      </c>
      <c r="H18">
        <v>1035.97</v>
      </c>
      <c r="I18">
        <v>62</v>
      </c>
      <c r="J18">
        <v>3</v>
      </c>
      <c r="K18" t="s">
        <v>16</v>
      </c>
      <c r="M18">
        <f t="shared" si="0"/>
        <v>2</v>
      </c>
      <c r="N18" s="5">
        <f t="shared" si="1"/>
        <v>2025</v>
      </c>
      <c r="O18" t="str">
        <f t="shared" si="2"/>
        <v>Sunday</v>
      </c>
      <c r="P18" t="str">
        <f t="shared" si="3"/>
        <v>Fast Food</v>
      </c>
    </row>
    <row r="19" spans="1:16" x14ac:dyDescent="0.3">
      <c r="A19">
        <v>20017</v>
      </c>
      <c r="B19" s="1">
        <v>45668</v>
      </c>
      <c r="C19" t="s">
        <v>34</v>
      </c>
      <c r="D19" t="s">
        <v>31</v>
      </c>
      <c r="E19" t="s">
        <v>28</v>
      </c>
      <c r="F19" t="s">
        <v>14</v>
      </c>
      <c r="G19" t="s">
        <v>27</v>
      </c>
      <c r="H19">
        <v>1771.77</v>
      </c>
      <c r="I19">
        <v>16</v>
      </c>
      <c r="J19">
        <v>3</v>
      </c>
      <c r="K19" t="s">
        <v>16</v>
      </c>
      <c r="M19">
        <f t="shared" si="0"/>
        <v>1</v>
      </c>
      <c r="N19" s="5">
        <f t="shared" si="1"/>
        <v>2025</v>
      </c>
      <c r="O19" t="str">
        <f t="shared" si="2"/>
        <v>Saturday</v>
      </c>
      <c r="P19" t="str">
        <f t="shared" si="3"/>
        <v/>
      </c>
    </row>
    <row r="20" spans="1:16" x14ac:dyDescent="0.3">
      <c r="A20">
        <v>20018</v>
      </c>
      <c r="B20" s="1">
        <v>45922</v>
      </c>
      <c r="C20" t="s">
        <v>30</v>
      </c>
      <c r="D20" t="s">
        <v>22</v>
      </c>
      <c r="E20" t="s">
        <v>42</v>
      </c>
      <c r="F20" t="s">
        <v>14</v>
      </c>
      <c r="G20" t="s">
        <v>29</v>
      </c>
      <c r="H20">
        <v>364.79</v>
      </c>
      <c r="I20">
        <v>61</v>
      </c>
      <c r="J20">
        <v>4</v>
      </c>
      <c r="K20" t="s">
        <v>16</v>
      </c>
      <c r="M20">
        <f t="shared" si="0"/>
        <v>3</v>
      </c>
      <c r="N20" s="5">
        <f t="shared" si="1"/>
        <v>2025</v>
      </c>
      <c r="O20" t="str">
        <f t="shared" si="2"/>
        <v>Monday</v>
      </c>
      <c r="P20" t="str">
        <f t="shared" si="3"/>
        <v>Italian</v>
      </c>
    </row>
    <row r="21" spans="1:16" x14ac:dyDescent="0.3">
      <c r="A21">
        <v>20019</v>
      </c>
      <c r="B21" s="1">
        <v>45949</v>
      </c>
      <c r="C21" t="s">
        <v>17</v>
      </c>
      <c r="D21" t="s">
        <v>12</v>
      </c>
      <c r="E21" t="s">
        <v>46</v>
      </c>
      <c r="F21" t="s">
        <v>40</v>
      </c>
      <c r="G21" t="s">
        <v>15</v>
      </c>
      <c r="H21">
        <v>566.71</v>
      </c>
      <c r="I21">
        <v>35</v>
      </c>
      <c r="J21">
        <v>4</v>
      </c>
      <c r="K21" t="s">
        <v>16</v>
      </c>
      <c r="M21">
        <f t="shared" si="0"/>
        <v>4</v>
      </c>
      <c r="N21" s="5">
        <f t="shared" si="1"/>
        <v>2025</v>
      </c>
      <c r="O21" t="str">
        <f t="shared" si="2"/>
        <v>Sunday</v>
      </c>
      <c r="P21" t="str">
        <f t="shared" si="3"/>
        <v/>
      </c>
    </row>
    <row r="22" spans="1:16" x14ac:dyDescent="0.3">
      <c r="A22">
        <v>20020</v>
      </c>
      <c r="B22" s="1">
        <v>45914</v>
      </c>
      <c r="C22" t="s">
        <v>21</v>
      </c>
      <c r="D22" t="s">
        <v>26</v>
      </c>
      <c r="E22" t="s">
        <v>32</v>
      </c>
      <c r="F22" t="s">
        <v>20</v>
      </c>
      <c r="G22" t="s">
        <v>15</v>
      </c>
      <c r="H22">
        <v>548.03</v>
      </c>
      <c r="I22">
        <v>51</v>
      </c>
      <c r="J22">
        <v>3</v>
      </c>
      <c r="K22" t="s">
        <v>16</v>
      </c>
      <c r="M22">
        <f t="shared" si="0"/>
        <v>3</v>
      </c>
      <c r="N22" s="5">
        <f t="shared" si="1"/>
        <v>2025</v>
      </c>
      <c r="O22" t="str">
        <f t="shared" si="2"/>
        <v>Sunday</v>
      </c>
      <c r="P22" t="str">
        <f t="shared" si="3"/>
        <v/>
      </c>
    </row>
    <row r="23" spans="1:16" x14ac:dyDescent="0.3">
      <c r="A23">
        <v>20021</v>
      </c>
      <c r="B23" s="1">
        <v>45820</v>
      </c>
      <c r="C23" t="s">
        <v>21</v>
      </c>
      <c r="D23" t="s">
        <v>18</v>
      </c>
      <c r="E23" t="s">
        <v>32</v>
      </c>
      <c r="F23" t="s">
        <v>40</v>
      </c>
      <c r="G23" t="s">
        <v>15</v>
      </c>
      <c r="H23">
        <v>2055.2199999999998</v>
      </c>
      <c r="I23">
        <v>66</v>
      </c>
      <c r="J23">
        <v>5</v>
      </c>
      <c r="K23" t="s">
        <v>16</v>
      </c>
      <c r="M23">
        <f t="shared" si="0"/>
        <v>2</v>
      </c>
      <c r="N23" s="5">
        <f t="shared" si="1"/>
        <v>2025</v>
      </c>
      <c r="O23" t="str">
        <f t="shared" si="2"/>
        <v>Thursday</v>
      </c>
      <c r="P23" t="str">
        <f t="shared" si="3"/>
        <v>Fast Food</v>
      </c>
    </row>
    <row r="24" spans="1:16" x14ac:dyDescent="0.3">
      <c r="A24">
        <v>20022</v>
      </c>
      <c r="B24" s="1">
        <v>45905</v>
      </c>
      <c r="C24" t="s">
        <v>47</v>
      </c>
      <c r="D24" t="s">
        <v>36</v>
      </c>
      <c r="E24" t="s">
        <v>13</v>
      </c>
      <c r="F24" t="s">
        <v>23</v>
      </c>
      <c r="G24" t="s">
        <v>27</v>
      </c>
      <c r="H24">
        <v>1613.21</v>
      </c>
      <c r="I24">
        <v>68</v>
      </c>
      <c r="J24">
        <v>5</v>
      </c>
      <c r="K24" t="s">
        <v>16</v>
      </c>
      <c r="M24">
        <f t="shared" si="0"/>
        <v>3</v>
      </c>
      <c r="N24" s="5">
        <f t="shared" si="1"/>
        <v>2025</v>
      </c>
      <c r="O24" t="str">
        <f t="shared" si="2"/>
        <v>Friday</v>
      </c>
      <c r="P24" t="str">
        <f t="shared" si="3"/>
        <v>North Indian</v>
      </c>
    </row>
    <row r="25" spans="1:16" x14ac:dyDescent="0.3">
      <c r="A25">
        <v>20023</v>
      </c>
      <c r="B25" s="1">
        <v>45772</v>
      </c>
      <c r="C25" t="s">
        <v>30</v>
      </c>
      <c r="D25" t="s">
        <v>26</v>
      </c>
      <c r="E25" t="s">
        <v>48</v>
      </c>
      <c r="F25" t="s">
        <v>33</v>
      </c>
      <c r="G25" t="s">
        <v>15</v>
      </c>
      <c r="H25">
        <v>1991.45</v>
      </c>
      <c r="I25">
        <v>65</v>
      </c>
      <c r="J25">
        <v>5</v>
      </c>
      <c r="K25" t="s">
        <v>16</v>
      </c>
      <c r="M25">
        <f t="shared" si="0"/>
        <v>2</v>
      </c>
      <c r="N25" s="5">
        <f t="shared" si="1"/>
        <v>2025</v>
      </c>
      <c r="O25" t="str">
        <f t="shared" si="2"/>
        <v>Friday</v>
      </c>
      <c r="P25" t="str">
        <f t="shared" si="3"/>
        <v>Desserts</v>
      </c>
    </row>
    <row r="26" spans="1:16" x14ac:dyDescent="0.3">
      <c r="A26">
        <v>20024</v>
      </c>
      <c r="B26" s="1">
        <v>45957</v>
      </c>
      <c r="C26" t="s">
        <v>49</v>
      </c>
      <c r="D26" t="s">
        <v>36</v>
      </c>
      <c r="E26" t="s">
        <v>19</v>
      </c>
      <c r="F26" t="s">
        <v>14</v>
      </c>
      <c r="G26" t="s">
        <v>27</v>
      </c>
      <c r="H26">
        <v>891.77</v>
      </c>
      <c r="I26">
        <v>57</v>
      </c>
      <c r="J26">
        <v>4</v>
      </c>
      <c r="K26" t="s">
        <v>16</v>
      </c>
      <c r="M26">
        <f t="shared" si="0"/>
        <v>4</v>
      </c>
      <c r="N26" s="5">
        <f t="shared" si="1"/>
        <v>2025</v>
      </c>
      <c r="O26" t="str">
        <f t="shared" si="2"/>
        <v>Monday</v>
      </c>
      <c r="P26" t="str">
        <f t="shared" si="3"/>
        <v/>
      </c>
    </row>
    <row r="27" spans="1:16" x14ac:dyDescent="0.3">
      <c r="A27">
        <v>20025</v>
      </c>
      <c r="B27" s="1">
        <v>45768</v>
      </c>
      <c r="C27" t="s">
        <v>50</v>
      </c>
      <c r="D27" t="s">
        <v>18</v>
      </c>
      <c r="E27" t="s">
        <v>39</v>
      </c>
      <c r="F27" t="s">
        <v>20</v>
      </c>
      <c r="G27" t="s">
        <v>27</v>
      </c>
      <c r="H27">
        <v>2153.3200000000002</v>
      </c>
      <c r="I27">
        <v>18</v>
      </c>
      <c r="J27">
        <v>4</v>
      </c>
      <c r="K27" t="s">
        <v>16</v>
      </c>
      <c r="M27">
        <f t="shared" si="0"/>
        <v>2</v>
      </c>
      <c r="N27" s="5">
        <f t="shared" si="1"/>
        <v>2025</v>
      </c>
      <c r="O27" t="str">
        <f t="shared" si="2"/>
        <v>Monday</v>
      </c>
      <c r="P27" t="str">
        <f t="shared" si="3"/>
        <v/>
      </c>
    </row>
    <row r="28" spans="1:16" x14ac:dyDescent="0.3">
      <c r="A28">
        <v>20026</v>
      </c>
      <c r="B28" s="1">
        <v>45793</v>
      </c>
      <c r="C28" t="s">
        <v>51</v>
      </c>
      <c r="D28" t="s">
        <v>22</v>
      </c>
      <c r="E28" t="s">
        <v>13</v>
      </c>
      <c r="F28" t="s">
        <v>14</v>
      </c>
      <c r="G28" t="s">
        <v>15</v>
      </c>
      <c r="H28">
        <v>2039.45</v>
      </c>
      <c r="I28">
        <v>22</v>
      </c>
      <c r="J28">
        <v>4</v>
      </c>
      <c r="K28" t="s">
        <v>16</v>
      </c>
      <c r="M28">
        <f t="shared" si="0"/>
        <v>2</v>
      </c>
      <c r="N28" s="5">
        <f t="shared" si="1"/>
        <v>2025</v>
      </c>
      <c r="O28" t="str">
        <f t="shared" si="2"/>
        <v>Friday</v>
      </c>
      <c r="P28" t="str">
        <f t="shared" si="3"/>
        <v/>
      </c>
    </row>
    <row r="29" spans="1:16" x14ac:dyDescent="0.3">
      <c r="A29">
        <v>20027</v>
      </c>
      <c r="B29" s="1">
        <v>45967</v>
      </c>
      <c r="C29" t="s">
        <v>17</v>
      </c>
      <c r="D29" t="s">
        <v>12</v>
      </c>
      <c r="E29" t="s">
        <v>13</v>
      </c>
      <c r="F29" t="s">
        <v>23</v>
      </c>
      <c r="G29" t="s">
        <v>29</v>
      </c>
      <c r="H29">
        <v>946.26</v>
      </c>
      <c r="I29">
        <v>21</v>
      </c>
      <c r="J29">
        <v>5</v>
      </c>
      <c r="K29" t="s">
        <v>16</v>
      </c>
      <c r="M29">
        <f t="shared" si="0"/>
        <v>4</v>
      </c>
      <c r="N29" s="5">
        <f t="shared" si="1"/>
        <v>2025</v>
      </c>
      <c r="O29" t="str">
        <f t="shared" si="2"/>
        <v>Thursday</v>
      </c>
      <c r="P29" t="str">
        <f t="shared" si="3"/>
        <v/>
      </c>
    </row>
    <row r="30" spans="1:16" x14ac:dyDescent="0.3">
      <c r="A30">
        <v>20028</v>
      </c>
      <c r="B30" s="1">
        <v>46019</v>
      </c>
      <c r="C30" t="s">
        <v>17</v>
      </c>
      <c r="D30" t="s">
        <v>26</v>
      </c>
      <c r="E30" t="s">
        <v>28</v>
      </c>
      <c r="F30" t="s">
        <v>14</v>
      </c>
      <c r="G30" t="s">
        <v>27</v>
      </c>
      <c r="H30">
        <v>1303.67</v>
      </c>
      <c r="I30">
        <v>37</v>
      </c>
      <c r="J30">
        <v>3</v>
      </c>
      <c r="K30" t="s">
        <v>24</v>
      </c>
      <c r="M30">
        <f t="shared" si="0"/>
        <v>4</v>
      </c>
      <c r="N30" s="5">
        <f t="shared" si="1"/>
        <v>2025</v>
      </c>
      <c r="O30" t="str">
        <f t="shared" si="2"/>
        <v>Sunday</v>
      </c>
      <c r="P30" t="str">
        <f t="shared" si="3"/>
        <v/>
      </c>
    </row>
    <row r="31" spans="1:16" x14ac:dyDescent="0.3">
      <c r="A31">
        <v>20029</v>
      </c>
      <c r="B31" s="1">
        <v>45891</v>
      </c>
      <c r="C31" t="s">
        <v>30</v>
      </c>
      <c r="D31" t="s">
        <v>22</v>
      </c>
      <c r="E31" t="s">
        <v>46</v>
      </c>
      <c r="F31" t="s">
        <v>14</v>
      </c>
      <c r="G31" t="s">
        <v>15</v>
      </c>
      <c r="H31">
        <v>523.52</v>
      </c>
      <c r="I31">
        <v>16</v>
      </c>
      <c r="J31">
        <v>4</v>
      </c>
      <c r="K31" t="s">
        <v>16</v>
      </c>
      <c r="M31">
        <f t="shared" si="0"/>
        <v>3</v>
      </c>
      <c r="N31" s="5">
        <f t="shared" si="1"/>
        <v>2025</v>
      </c>
      <c r="O31" t="str">
        <f t="shared" si="2"/>
        <v>Friday</v>
      </c>
      <c r="P31" t="str">
        <f t="shared" si="3"/>
        <v/>
      </c>
    </row>
    <row r="32" spans="1:16" x14ac:dyDescent="0.3">
      <c r="A32">
        <v>20030</v>
      </c>
      <c r="B32" s="1">
        <v>45725</v>
      </c>
      <c r="C32" t="s">
        <v>47</v>
      </c>
      <c r="D32" t="s">
        <v>22</v>
      </c>
      <c r="E32" t="s">
        <v>19</v>
      </c>
      <c r="F32" t="s">
        <v>35</v>
      </c>
      <c r="G32" t="s">
        <v>29</v>
      </c>
      <c r="H32">
        <v>440.18</v>
      </c>
      <c r="I32">
        <v>70</v>
      </c>
      <c r="J32">
        <v>4</v>
      </c>
      <c r="K32" t="s">
        <v>24</v>
      </c>
      <c r="M32">
        <f t="shared" si="0"/>
        <v>1</v>
      </c>
      <c r="N32" s="5">
        <f t="shared" si="1"/>
        <v>2025</v>
      </c>
      <c r="O32" t="str">
        <f t="shared" si="2"/>
        <v>Sunday</v>
      </c>
      <c r="P32" t="str">
        <f t="shared" si="3"/>
        <v>South Indian</v>
      </c>
    </row>
    <row r="33" spans="1:16" x14ac:dyDescent="0.3">
      <c r="A33">
        <v>20031</v>
      </c>
      <c r="B33" s="1">
        <v>45771</v>
      </c>
      <c r="C33" t="s">
        <v>41</v>
      </c>
      <c r="D33" t="s">
        <v>31</v>
      </c>
      <c r="E33" t="s">
        <v>32</v>
      </c>
      <c r="F33" t="s">
        <v>40</v>
      </c>
      <c r="G33" t="s">
        <v>27</v>
      </c>
      <c r="H33">
        <v>1596.79</v>
      </c>
      <c r="I33">
        <v>72</v>
      </c>
      <c r="J33">
        <v>1</v>
      </c>
      <c r="K33" t="s">
        <v>16</v>
      </c>
      <c r="M33">
        <f t="shared" si="0"/>
        <v>2</v>
      </c>
      <c r="N33" s="5">
        <f t="shared" si="1"/>
        <v>2025</v>
      </c>
      <c r="O33" t="str">
        <f t="shared" si="2"/>
        <v>Thursday</v>
      </c>
      <c r="P33" t="str">
        <f t="shared" si="3"/>
        <v>Fast Food</v>
      </c>
    </row>
    <row r="34" spans="1:16" x14ac:dyDescent="0.3">
      <c r="A34">
        <v>20032</v>
      </c>
      <c r="B34" s="1">
        <v>45855</v>
      </c>
      <c r="C34" t="s">
        <v>52</v>
      </c>
      <c r="D34" t="s">
        <v>36</v>
      </c>
      <c r="E34" t="s">
        <v>44</v>
      </c>
      <c r="F34" t="s">
        <v>14</v>
      </c>
      <c r="G34" t="s">
        <v>27</v>
      </c>
      <c r="H34">
        <v>494.44</v>
      </c>
      <c r="I34">
        <v>41</v>
      </c>
      <c r="J34">
        <v>4</v>
      </c>
      <c r="K34" t="s">
        <v>16</v>
      </c>
      <c r="M34">
        <f t="shared" si="0"/>
        <v>3</v>
      </c>
      <c r="N34" s="5">
        <f t="shared" si="1"/>
        <v>2025</v>
      </c>
      <c r="O34" t="str">
        <f t="shared" si="2"/>
        <v>Thursday</v>
      </c>
      <c r="P34" t="str">
        <f t="shared" si="3"/>
        <v/>
      </c>
    </row>
    <row r="35" spans="1:16" x14ac:dyDescent="0.3">
      <c r="A35">
        <v>20033</v>
      </c>
      <c r="B35" s="1">
        <v>45968</v>
      </c>
      <c r="C35" t="s">
        <v>53</v>
      </c>
      <c r="D35" t="s">
        <v>31</v>
      </c>
      <c r="E35" t="s">
        <v>42</v>
      </c>
      <c r="F35" t="s">
        <v>20</v>
      </c>
      <c r="G35" t="s">
        <v>15</v>
      </c>
      <c r="H35">
        <v>702.37</v>
      </c>
      <c r="I35">
        <v>25</v>
      </c>
      <c r="J35">
        <v>5</v>
      </c>
      <c r="K35" t="s">
        <v>16</v>
      </c>
      <c r="M35">
        <f t="shared" si="0"/>
        <v>4</v>
      </c>
      <c r="N35" s="5">
        <f t="shared" si="1"/>
        <v>2025</v>
      </c>
      <c r="O35" t="str">
        <f t="shared" si="2"/>
        <v>Friday</v>
      </c>
      <c r="P35" t="str">
        <f t="shared" si="3"/>
        <v/>
      </c>
    </row>
    <row r="36" spans="1:16" x14ac:dyDescent="0.3">
      <c r="A36">
        <v>20034</v>
      </c>
      <c r="B36" s="1">
        <v>45813</v>
      </c>
      <c r="C36" t="s">
        <v>47</v>
      </c>
      <c r="D36" t="s">
        <v>31</v>
      </c>
      <c r="E36" t="s">
        <v>39</v>
      </c>
      <c r="F36" t="s">
        <v>14</v>
      </c>
      <c r="G36" t="s">
        <v>29</v>
      </c>
      <c r="H36">
        <v>338.93</v>
      </c>
      <c r="I36">
        <v>43</v>
      </c>
      <c r="J36">
        <v>5</v>
      </c>
      <c r="K36" t="s">
        <v>16</v>
      </c>
      <c r="M36">
        <f t="shared" si="0"/>
        <v>2</v>
      </c>
      <c r="N36" s="5">
        <f t="shared" si="1"/>
        <v>2025</v>
      </c>
      <c r="O36" t="str">
        <f t="shared" si="2"/>
        <v>Thursday</v>
      </c>
      <c r="P36" t="str">
        <f t="shared" si="3"/>
        <v/>
      </c>
    </row>
    <row r="37" spans="1:16" x14ac:dyDescent="0.3">
      <c r="A37">
        <v>20035</v>
      </c>
      <c r="B37" s="1">
        <v>45757</v>
      </c>
      <c r="C37" t="s">
        <v>30</v>
      </c>
      <c r="D37" t="s">
        <v>12</v>
      </c>
      <c r="E37" t="s">
        <v>13</v>
      </c>
      <c r="F37" t="s">
        <v>35</v>
      </c>
      <c r="G37" t="s">
        <v>27</v>
      </c>
      <c r="H37">
        <v>377.44</v>
      </c>
      <c r="I37">
        <v>51</v>
      </c>
      <c r="J37">
        <v>4</v>
      </c>
      <c r="K37" t="s">
        <v>16</v>
      </c>
      <c r="M37">
        <f t="shared" si="0"/>
        <v>2</v>
      </c>
      <c r="N37" s="5">
        <f t="shared" si="1"/>
        <v>2025</v>
      </c>
      <c r="O37" t="str">
        <f t="shared" si="2"/>
        <v>Thursday</v>
      </c>
      <c r="P37" t="str">
        <f t="shared" si="3"/>
        <v/>
      </c>
    </row>
    <row r="38" spans="1:16" x14ac:dyDescent="0.3">
      <c r="A38">
        <v>20036</v>
      </c>
      <c r="B38" s="1">
        <v>45881</v>
      </c>
      <c r="C38" t="s">
        <v>30</v>
      </c>
      <c r="D38" t="s">
        <v>18</v>
      </c>
      <c r="E38" t="s">
        <v>42</v>
      </c>
      <c r="F38" t="s">
        <v>35</v>
      </c>
      <c r="G38" t="s">
        <v>15</v>
      </c>
      <c r="H38">
        <v>548.64</v>
      </c>
      <c r="I38">
        <v>28</v>
      </c>
      <c r="J38">
        <v>3</v>
      </c>
      <c r="K38" t="s">
        <v>54</v>
      </c>
      <c r="M38">
        <f t="shared" si="0"/>
        <v>3</v>
      </c>
      <c r="N38" s="5">
        <f t="shared" si="1"/>
        <v>2025</v>
      </c>
      <c r="O38" t="str">
        <f t="shared" si="2"/>
        <v>Tuesday</v>
      </c>
      <c r="P38" t="str">
        <f t="shared" si="3"/>
        <v/>
      </c>
    </row>
    <row r="39" spans="1:16" x14ac:dyDescent="0.3">
      <c r="A39">
        <v>20037</v>
      </c>
      <c r="B39" s="1">
        <v>45783</v>
      </c>
      <c r="C39" t="s">
        <v>55</v>
      </c>
      <c r="D39" t="s">
        <v>12</v>
      </c>
      <c r="E39" t="s">
        <v>13</v>
      </c>
      <c r="F39" t="s">
        <v>23</v>
      </c>
      <c r="G39" t="s">
        <v>15</v>
      </c>
      <c r="H39">
        <v>995.06</v>
      </c>
      <c r="I39">
        <v>35</v>
      </c>
      <c r="J39">
        <v>5</v>
      </c>
      <c r="K39" t="s">
        <v>16</v>
      </c>
      <c r="M39">
        <f t="shared" si="0"/>
        <v>2</v>
      </c>
      <c r="N39" s="5">
        <f t="shared" si="1"/>
        <v>2025</v>
      </c>
      <c r="O39" t="str">
        <f t="shared" si="2"/>
        <v>Tuesday</v>
      </c>
      <c r="P39" t="str">
        <f t="shared" si="3"/>
        <v/>
      </c>
    </row>
    <row r="40" spans="1:16" x14ac:dyDescent="0.3">
      <c r="A40">
        <v>20038</v>
      </c>
      <c r="B40" s="1">
        <v>45784</v>
      </c>
      <c r="C40" t="s">
        <v>43</v>
      </c>
      <c r="D40" t="s">
        <v>36</v>
      </c>
      <c r="E40" t="s">
        <v>46</v>
      </c>
      <c r="F40" t="s">
        <v>20</v>
      </c>
      <c r="G40" t="s">
        <v>27</v>
      </c>
      <c r="H40">
        <v>381.07</v>
      </c>
      <c r="I40">
        <v>57</v>
      </c>
      <c r="J40">
        <v>4</v>
      </c>
      <c r="K40" t="s">
        <v>16</v>
      </c>
      <c r="M40">
        <f t="shared" si="0"/>
        <v>2</v>
      </c>
      <c r="N40" s="5">
        <f t="shared" si="1"/>
        <v>2025</v>
      </c>
      <c r="O40" t="str">
        <f t="shared" si="2"/>
        <v>Wednesday</v>
      </c>
      <c r="P40" t="str">
        <f t="shared" si="3"/>
        <v/>
      </c>
    </row>
    <row r="41" spans="1:16" x14ac:dyDescent="0.3">
      <c r="A41">
        <v>20039</v>
      </c>
      <c r="B41" s="1">
        <v>45671</v>
      </c>
      <c r="C41" t="s">
        <v>34</v>
      </c>
      <c r="D41" t="s">
        <v>26</v>
      </c>
      <c r="E41" t="s">
        <v>28</v>
      </c>
      <c r="F41" t="s">
        <v>20</v>
      </c>
      <c r="G41" t="s">
        <v>27</v>
      </c>
      <c r="H41">
        <v>605.20000000000005</v>
      </c>
      <c r="I41">
        <v>57</v>
      </c>
      <c r="J41">
        <v>4</v>
      </c>
      <c r="K41" t="s">
        <v>16</v>
      </c>
      <c r="M41">
        <f t="shared" si="0"/>
        <v>1</v>
      </c>
      <c r="N41" s="5">
        <f t="shared" si="1"/>
        <v>2025</v>
      </c>
      <c r="O41" t="str">
        <f t="shared" si="2"/>
        <v>Tuesday</v>
      </c>
      <c r="P41" t="str">
        <f t="shared" si="3"/>
        <v/>
      </c>
    </row>
    <row r="42" spans="1:16" x14ac:dyDescent="0.3">
      <c r="A42">
        <v>20040</v>
      </c>
      <c r="B42" s="1">
        <v>45754</v>
      </c>
      <c r="C42" t="s">
        <v>56</v>
      </c>
      <c r="D42" t="s">
        <v>12</v>
      </c>
      <c r="E42" t="s">
        <v>28</v>
      </c>
      <c r="F42" t="s">
        <v>23</v>
      </c>
      <c r="G42" t="s">
        <v>27</v>
      </c>
      <c r="H42">
        <v>435.41</v>
      </c>
      <c r="I42">
        <v>61</v>
      </c>
      <c r="J42">
        <v>2</v>
      </c>
      <c r="K42" t="s">
        <v>16</v>
      </c>
      <c r="M42">
        <f t="shared" si="0"/>
        <v>2</v>
      </c>
      <c r="N42" s="5">
        <f t="shared" si="1"/>
        <v>2025</v>
      </c>
      <c r="O42" t="str">
        <f t="shared" si="2"/>
        <v>Monday</v>
      </c>
      <c r="P42" t="str">
        <f t="shared" si="3"/>
        <v>North Indian</v>
      </c>
    </row>
    <row r="43" spans="1:16" x14ac:dyDescent="0.3">
      <c r="A43">
        <v>20041</v>
      </c>
      <c r="B43" s="1">
        <v>45893</v>
      </c>
      <c r="C43" t="s">
        <v>34</v>
      </c>
      <c r="D43" t="s">
        <v>22</v>
      </c>
      <c r="E43" t="s">
        <v>48</v>
      </c>
      <c r="F43" t="s">
        <v>23</v>
      </c>
      <c r="G43" t="s">
        <v>27</v>
      </c>
      <c r="H43">
        <v>1217.79</v>
      </c>
      <c r="I43">
        <v>33</v>
      </c>
      <c r="J43">
        <v>4</v>
      </c>
      <c r="K43" t="s">
        <v>16</v>
      </c>
      <c r="M43">
        <f t="shared" si="0"/>
        <v>3</v>
      </c>
      <c r="N43" s="5">
        <f t="shared" si="1"/>
        <v>2025</v>
      </c>
      <c r="O43" t="str">
        <f t="shared" si="2"/>
        <v>Sunday</v>
      </c>
      <c r="P43" t="str">
        <f t="shared" si="3"/>
        <v/>
      </c>
    </row>
    <row r="44" spans="1:16" x14ac:dyDescent="0.3">
      <c r="A44">
        <v>20042</v>
      </c>
      <c r="B44" s="1">
        <v>45682</v>
      </c>
      <c r="C44" t="s">
        <v>49</v>
      </c>
      <c r="D44" t="s">
        <v>22</v>
      </c>
      <c r="E44" t="s">
        <v>44</v>
      </c>
      <c r="F44" t="s">
        <v>40</v>
      </c>
      <c r="G44" t="s">
        <v>29</v>
      </c>
      <c r="H44">
        <v>815.97</v>
      </c>
      <c r="I44">
        <v>20</v>
      </c>
      <c r="J44">
        <v>3</v>
      </c>
      <c r="K44" t="s">
        <v>54</v>
      </c>
      <c r="M44">
        <f t="shared" si="0"/>
        <v>1</v>
      </c>
      <c r="N44" s="5">
        <f t="shared" si="1"/>
        <v>2025</v>
      </c>
      <c r="O44" t="str">
        <f t="shared" si="2"/>
        <v>Saturday</v>
      </c>
      <c r="P44" t="str">
        <f t="shared" si="3"/>
        <v/>
      </c>
    </row>
    <row r="45" spans="1:16" x14ac:dyDescent="0.3">
      <c r="A45">
        <v>20043</v>
      </c>
      <c r="B45" s="1">
        <v>45750</v>
      </c>
      <c r="C45" t="s">
        <v>43</v>
      </c>
      <c r="D45" t="s">
        <v>26</v>
      </c>
      <c r="E45" t="s">
        <v>28</v>
      </c>
      <c r="F45" t="s">
        <v>20</v>
      </c>
      <c r="G45" t="s">
        <v>15</v>
      </c>
      <c r="H45">
        <v>483.26</v>
      </c>
      <c r="I45">
        <v>65</v>
      </c>
      <c r="J45">
        <v>2</v>
      </c>
      <c r="K45" t="s">
        <v>16</v>
      </c>
      <c r="M45">
        <f t="shared" si="0"/>
        <v>2</v>
      </c>
      <c r="N45" s="5">
        <f t="shared" si="1"/>
        <v>2025</v>
      </c>
      <c r="O45" t="str">
        <f t="shared" si="2"/>
        <v>Thursday</v>
      </c>
      <c r="P45" t="str">
        <f t="shared" si="3"/>
        <v>Chinese</v>
      </c>
    </row>
    <row r="46" spans="1:16" x14ac:dyDescent="0.3">
      <c r="A46">
        <v>20044</v>
      </c>
      <c r="B46" s="1">
        <v>45708</v>
      </c>
      <c r="C46" t="s">
        <v>25</v>
      </c>
      <c r="D46" t="s">
        <v>26</v>
      </c>
      <c r="E46" t="s">
        <v>28</v>
      </c>
      <c r="F46" t="s">
        <v>35</v>
      </c>
      <c r="G46" t="s">
        <v>15</v>
      </c>
      <c r="H46">
        <v>1505.68</v>
      </c>
      <c r="I46">
        <v>18</v>
      </c>
      <c r="J46">
        <v>1</v>
      </c>
      <c r="K46" t="s">
        <v>16</v>
      </c>
      <c r="M46">
        <f t="shared" si="0"/>
        <v>1</v>
      </c>
      <c r="N46" s="5">
        <f t="shared" si="1"/>
        <v>2025</v>
      </c>
      <c r="O46" t="str">
        <f t="shared" si="2"/>
        <v>Thursday</v>
      </c>
      <c r="P46" t="str">
        <f t="shared" si="3"/>
        <v/>
      </c>
    </row>
    <row r="47" spans="1:16" x14ac:dyDescent="0.3">
      <c r="A47">
        <v>20045</v>
      </c>
      <c r="B47" s="1">
        <v>45894</v>
      </c>
      <c r="C47" t="s">
        <v>21</v>
      </c>
      <c r="D47" t="s">
        <v>26</v>
      </c>
      <c r="E47" t="s">
        <v>19</v>
      </c>
      <c r="F47" t="s">
        <v>14</v>
      </c>
      <c r="G47" t="s">
        <v>27</v>
      </c>
      <c r="H47">
        <v>2109.96</v>
      </c>
      <c r="I47">
        <v>67</v>
      </c>
      <c r="J47">
        <v>3</v>
      </c>
      <c r="K47" t="s">
        <v>16</v>
      </c>
      <c r="M47">
        <f t="shared" si="0"/>
        <v>3</v>
      </c>
      <c r="N47" s="5">
        <f t="shared" si="1"/>
        <v>2025</v>
      </c>
      <c r="O47" t="str">
        <f t="shared" si="2"/>
        <v>Monday</v>
      </c>
      <c r="P47" t="str">
        <f t="shared" si="3"/>
        <v>Italian</v>
      </c>
    </row>
    <row r="48" spans="1:16" x14ac:dyDescent="0.3">
      <c r="A48">
        <v>20046</v>
      </c>
      <c r="B48" s="1">
        <v>45778</v>
      </c>
      <c r="C48" t="s">
        <v>43</v>
      </c>
      <c r="D48" t="s">
        <v>18</v>
      </c>
      <c r="E48" t="s">
        <v>42</v>
      </c>
      <c r="F48" t="s">
        <v>23</v>
      </c>
      <c r="G48" t="s">
        <v>29</v>
      </c>
      <c r="H48">
        <v>169.56</v>
      </c>
      <c r="I48">
        <v>35</v>
      </c>
      <c r="J48">
        <v>4</v>
      </c>
      <c r="K48" t="s">
        <v>16</v>
      </c>
      <c r="M48">
        <f t="shared" si="0"/>
        <v>2</v>
      </c>
      <c r="N48" s="5">
        <f t="shared" si="1"/>
        <v>2025</v>
      </c>
      <c r="O48" t="str">
        <f t="shared" si="2"/>
        <v>Thursday</v>
      </c>
      <c r="P48" t="str">
        <f t="shared" si="3"/>
        <v/>
      </c>
    </row>
    <row r="49" spans="1:16" x14ac:dyDescent="0.3">
      <c r="A49">
        <v>20047</v>
      </c>
      <c r="B49" s="1">
        <v>45775</v>
      </c>
      <c r="C49" t="s">
        <v>41</v>
      </c>
      <c r="D49" t="s">
        <v>12</v>
      </c>
      <c r="E49" t="s">
        <v>32</v>
      </c>
      <c r="F49" t="s">
        <v>23</v>
      </c>
      <c r="G49" t="s">
        <v>15</v>
      </c>
      <c r="H49">
        <v>2045.79</v>
      </c>
      <c r="I49">
        <v>33</v>
      </c>
      <c r="J49">
        <v>3</v>
      </c>
      <c r="K49" t="s">
        <v>16</v>
      </c>
      <c r="M49">
        <f t="shared" si="0"/>
        <v>2</v>
      </c>
      <c r="N49" s="5">
        <f t="shared" si="1"/>
        <v>2025</v>
      </c>
      <c r="O49" t="str">
        <f t="shared" si="2"/>
        <v>Monday</v>
      </c>
      <c r="P49" t="str">
        <f t="shared" si="3"/>
        <v/>
      </c>
    </row>
    <row r="50" spans="1:16" x14ac:dyDescent="0.3">
      <c r="A50">
        <v>20048</v>
      </c>
      <c r="B50" s="1">
        <v>45658</v>
      </c>
      <c r="C50" t="s">
        <v>45</v>
      </c>
      <c r="D50" t="s">
        <v>18</v>
      </c>
      <c r="E50" t="s">
        <v>13</v>
      </c>
      <c r="F50" t="s">
        <v>40</v>
      </c>
      <c r="G50" t="s">
        <v>27</v>
      </c>
      <c r="H50">
        <v>909.75</v>
      </c>
      <c r="I50">
        <v>23</v>
      </c>
      <c r="J50">
        <v>4</v>
      </c>
      <c r="K50" t="s">
        <v>24</v>
      </c>
      <c r="M50">
        <f t="shared" si="0"/>
        <v>1</v>
      </c>
      <c r="N50" s="5">
        <f t="shared" si="1"/>
        <v>2025</v>
      </c>
      <c r="O50" t="str">
        <f t="shared" si="2"/>
        <v>Wednesday</v>
      </c>
      <c r="P50" t="str">
        <f t="shared" si="3"/>
        <v/>
      </c>
    </row>
    <row r="51" spans="1:16" x14ac:dyDescent="0.3">
      <c r="A51">
        <v>20049</v>
      </c>
      <c r="B51" s="1">
        <v>45966</v>
      </c>
      <c r="C51" t="s">
        <v>38</v>
      </c>
      <c r="D51" t="s">
        <v>18</v>
      </c>
      <c r="E51" t="s">
        <v>37</v>
      </c>
      <c r="F51" t="s">
        <v>33</v>
      </c>
      <c r="G51" t="s">
        <v>15</v>
      </c>
      <c r="H51">
        <v>1790.97</v>
      </c>
      <c r="I51">
        <v>47</v>
      </c>
      <c r="J51">
        <v>1</v>
      </c>
      <c r="K51" t="s">
        <v>16</v>
      </c>
      <c r="M51">
        <f t="shared" si="0"/>
        <v>4</v>
      </c>
      <c r="N51" s="5">
        <f t="shared" si="1"/>
        <v>2025</v>
      </c>
      <c r="O51" t="str">
        <f t="shared" si="2"/>
        <v>Wednesday</v>
      </c>
      <c r="P51" t="str">
        <f t="shared" si="3"/>
        <v/>
      </c>
    </row>
    <row r="52" spans="1:16" x14ac:dyDescent="0.3">
      <c r="A52">
        <v>20050</v>
      </c>
      <c r="B52" s="1">
        <v>45698</v>
      </c>
      <c r="C52" t="s">
        <v>56</v>
      </c>
      <c r="D52" t="s">
        <v>36</v>
      </c>
      <c r="E52" t="s">
        <v>42</v>
      </c>
      <c r="F52" t="s">
        <v>40</v>
      </c>
      <c r="G52" t="s">
        <v>27</v>
      </c>
      <c r="H52">
        <v>1061.67</v>
      </c>
      <c r="I52">
        <v>21</v>
      </c>
      <c r="J52">
        <v>5</v>
      </c>
      <c r="K52" t="s">
        <v>16</v>
      </c>
      <c r="M52">
        <f t="shared" si="0"/>
        <v>1</v>
      </c>
      <c r="N52" s="5">
        <f t="shared" si="1"/>
        <v>2025</v>
      </c>
      <c r="O52" t="str">
        <f t="shared" si="2"/>
        <v>Monday</v>
      </c>
      <c r="P52" t="str">
        <f t="shared" si="3"/>
        <v/>
      </c>
    </row>
    <row r="53" spans="1:16" x14ac:dyDescent="0.3">
      <c r="A53">
        <v>20051</v>
      </c>
      <c r="B53" s="1">
        <v>45983</v>
      </c>
      <c r="C53" t="s">
        <v>21</v>
      </c>
      <c r="D53" t="s">
        <v>26</v>
      </c>
      <c r="E53" t="s">
        <v>39</v>
      </c>
      <c r="F53" t="s">
        <v>33</v>
      </c>
      <c r="G53" t="s">
        <v>27</v>
      </c>
      <c r="H53">
        <v>1026.1099999999999</v>
      </c>
      <c r="I53">
        <v>45</v>
      </c>
      <c r="J53">
        <v>4</v>
      </c>
      <c r="K53" t="s">
        <v>16</v>
      </c>
      <c r="M53">
        <f t="shared" si="0"/>
        <v>4</v>
      </c>
      <c r="N53" s="5">
        <f t="shared" si="1"/>
        <v>2025</v>
      </c>
      <c r="O53" t="str">
        <f t="shared" si="2"/>
        <v>Saturday</v>
      </c>
      <c r="P53" t="str">
        <f t="shared" si="3"/>
        <v/>
      </c>
    </row>
    <row r="54" spans="1:16" x14ac:dyDescent="0.3">
      <c r="A54">
        <v>20052</v>
      </c>
      <c r="B54" s="1">
        <v>45941</v>
      </c>
      <c r="C54" t="s">
        <v>45</v>
      </c>
      <c r="D54" t="s">
        <v>26</v>
      </c>
      <c r="E54" t="s">
        <v>13</v>
      </c>
      <c r="F54" t="s">
        <v>23</v>
      </c>
      <c r="G54" t="s">
        <v>27</v>
      </c>
      <c r="H54">
        <v>1643.88</v>
      </c>
      <c r="I54">
        <v>63</v>
      </c>
      <c r="J54">
        <v>3</v>
      </c>
      <c r="K54" t="s">
        <v>16</v>
      </c>
      <c r="M54">
        <f t="shared" si="0"/>
        <v>4</v>
      </c>
      <c r="N54" s="5">
        <f t="shared" si="1"/>
        <v>2025</v>
      </c>
      <c r="O54" t="str">
        <f t="shared" si="2"/>
        <v>Saturday</v>
      </c>
      <c r="P54" t="str">
        <f t="shared" si="3"/>
        <v>North Indian</v>
      </c>
    </row>
    <row r="55" spans="1:16" x14ac:dyDescent="0.3">
      <c r="A55">
        <v>20053</v>
      </c>
      <c r="B55" s="1">
        <v>45845</v>
      </c>
      <c r="C55" t="s">
        <v>51</v>
      </c>
      <c r="D55" t="s">
        <v>12</v>
      </c>
      <c r="E55" t="s">
        <v>42</v>
      </c>
      <c r="F55" t="s">
        <v>33</v>
      </c>
      <c r="G55" t="s">
        <v>29</v>
      </c>
      <c r="H55">
        <v>357.86</v>
      </c>
      <c r="I55">
        <v>22</v>
      </c>
      <c r="J55">
        <v>2</v>
      </c>
      <c r="K55" t="s">
        <v>16</v>
      </c>
      <c r="M55">
        <f t="shared" si="0"/>
        <v>3</v>
      </c>
      <c r="N55" s="5">
        <f t="shared" si="1"/>
        <v>2025</v>
      </c>
      <c r="O55" t="str">
        <f t="shared" si="2"/>
        <v>Monday</v>
      </c>
      <c r="P55" t="str">
        <f t="shared" si="3"/>
        <v/>
      </c>
    </row>
    <row r="56" spans="1:16" x14ac:dyDescent="0.3">
      <c r="A56">
        <v>20054</v>
      </c>
      <c r="B56" s="1">
        <v>45788</v>
      </c>
      <c r="C56" t="s">
        <v>34</v>
      </c>
      <c r="D56" t="s">
        <v>26</v>
      </c>
      <c r="E56" t="s">
        <v>46</v>
      </c>
      <c r="F56" t="s">
        <v>35</v>
      </c>
      <c r="G56" t="s">
        <v>15</v>
      </c>
      <c r="H56">
        <v>1423.21</v>
      </c>
      <c r="I56">
        <v>48</v>
      </c>
      <c r="J56">
        <v>5</v>
      </c>
      <c r="K56" t="s">
        <v>24</v>
      </c>
      <c r="M56">
        <f t="shared" si="0"/>
        <v>2</v>
      </c>
      <c r="N56" s="5">
        <f t="shared" si="1"/>
        <v>2025</v>
      </c>
      <c r="O56" t="str">
        <f t="shared" si="2"/>
        <v>Sunday</v>
      </c>
      <c r="P56" t="str">
        <f t="shared" si="3"/>
        <v/>
      </c>
    </row>
    <row r="57" spans="1:16" x14ac:dyDescent="0.3">
      <c r="A57">
        <v>20055</v>
      </c>
      <c r="B57" s="1">
        <v>45999</v>
      </c>
      <c r="C57" t="s">
        <v>45</v>
      </c>
      <c r="D57" t="s">
        <v>12</v>
      </c>
      <c r="E57" t="s">
        <v>37</v>
      </c>
      <c r="F57" t="s">
        <v>14</v>
      </c>
      <c r="G57" t="s">
        <v>29</v>
      </c>
      <c r="H57">
        <v>1926.21</v>
      </c>
      <c r="I57">
        <v>57</v>
      </c>
      <c r="J57">
        <v>4</v>
      </c>
      <c r="K57" t="s">
        <v>16</v>
      </c>
      <c r="M57">
        <f t="shared" si="0"/>
        <v>4</v>
      </c>
      <c r="N57" s="5">
        <f t="shared" si="1"/>
        <v>2025</v>
      </c>
      <c r="O57" t="str">
        <f t="shared" si="2"/>
        <v>Monday</v>
      </c>
      <c r="P57" t="str">
        <f t="shared" si="3"/>
        <v/>
      </c>
    </row>
    <row r="58" spans="1:16" x14ac:dyDescent="0.3">
      <c r="A58">
        <v>20056</v>
      </c>
      <c r="B58" s="1">
        <v>45778</v>
      </c>
      <c r="C58" t="s">
        <v>53</v>
      </c>
      <c r="D58" t="s">
        <v>12</v>
      </c>
      <c r="E58" t="s">
        <v>44</v>
      </c>
      <c r="F58" t="s">
        <v>40</v>
      </c>
      <c r="G58" t="s">
        <v>15</v>
      </c>
      <c r="H58">
        <v>2061.1999999999998</v>
      </c>
      <c r="I58">
        <v>43</v>
      </c>
      <c r="J58">
        <v>4</v>
      </c>
      <c r="K58" t="s">
        <v>16</v>
      </c>
      <c r="M58">
        <f t="shared" si="0"/>
        <v>2</v>
      </c>
      <c r="N58" s="5">
        <f t="shared" si="1"/>
        <v>2025</v>
      </c>
      <c r="O58" t="str">
        <f t="shared" si="2"/>
        <v>Thursday</v>
      </c>
      <c r="P58" t="str">
        <f t="shared" si="3"/>
        <v/>
      </c>
    </row>
    <row r="59" spans="1:16" x14ac:dyDescent="0.3">
      <c r="A59">
        <v>20057</v>
      </c>
      <c r="B59" s="1">
        <v>45841</v>
      </c>
      <c r="C59" t="s">
        <v>51</v>
      </c>
      <c r="D59" t="s">
        <v>26</v>
      </c>
      <c r="E59" t="s">
        <v>13</v>
      </c>
      <c r="F59" t="s">
        <v>23</v>
      </c>
      <c r="G59" t="s">
        <v>27</v>
      </c>
      <c r="H59">
        <v>579.79</v>
      </c>
      <c r="I59">
        <v>73</v>
      </c>
      <c r="J59">
        <v>1</v>
      </c>
      <c r="K59" t="s">
        <v>16</v>
      </c>
      <c r="M59">
        <f t="shared" si="0"/>
        <v>3</v>
      </c>
      <c r="N59" s="5">
        <f t="shared" si="1"/>
        <v>2025</v>
      </c>
      <c r="O59" t="str">
        <f t="shared" si="2"/>
        <v>Thursday</v>
      </c>
      <c r="P59" t="str">
        <f t="shared" si="3"/>
        <v>North Indian</v>
      </c>
    </row>
    <row r="60" spans="1:16" x14ac:dyDescent="0.3">
      <c r="A60">
        <v>20058</v>
      </c>
      <c r="B60" s="1">
        <v>45724</v>
      </c>
      <c r="C60" t="s">
        <v>21</v>
      </c>
      <c r="D60" t="s">
        <v>26</v>
      </c>
      <c r="E60" t="s">
        <v>32</v>
      </c>
      <c r="F60" t="s">
        <v>14</v>
      </c>
      <c r="G60" t="s">
        <v>27</v>
      </c>
      <c r="H60">
        <v>494.7</v>
      </c>
      <c r="I60">
        <v>71</v>
      </c>
      <c r="J60">
        <v>4</v>
      </c>
      <c r="K60" t="s">
        <v>16</v>
      </c>
      <c r="M60">
        <f t="shared" si="0"/>
        <v>1</v>
      </c>
      <c r="N60" s="5">
        <f t="shared" si="1"/>
        <v>2025</v>
      </c>
      <c r="O60" t="str">
        <f t="shared" si="2"/>
        <v>Saturday</v>
      </c>
      <c r="P60" t="str">
        <f t="shared" si="3"/>
        <v>Italian</v>
      </c>
    </row>
    <row r="61" spans="1:16" x14ac:dyDescent="0.3">
      <c r="A61">
        <v>20059</v>
      </c>
      <c r="B61" s="1">
        <v>45691</v>
      </c>
      <c r="C61" t="s">
        <v>53</v>
      </c>
      <c r="D61" t="s">
        <v>12</v>
      </c>
      <c r="E61" t="s">
        <v>48</v>
      </c>
      <c r="F61" t="s">
        <v>35</v>
      </c>
      <c r="G61" t="s">
        <v>27</v>
      </c>
      <c r="H61">
        <v>1315.27</v>
      </c>
      <c r="I61">
        <v>55</v>
      </c>
      <c r="J61">
        <v>5</v>
      </c>
      <c r="K61" t="s">
        <v>16</v>
      </c>
      <c r="M61">
        <f t="shared" si="0"/>
        <v>1</v>
      </c>
      <c r="N61" s="5">
        <f t="shared" si="1"/>
        <v>2025</v>
      </c>
      <c r="O61" t="str">
        <f t="shared" si="2"/>
        <v>Monday</v>
      </c>
      <c r="P61" t="str">
        <f t="shared" si="3"/>
        <v/>
      </c>
    </row>
    <row r="62" spans="1:16" x14ac:dyDescent="0.3">
      <c r="A62">
        <v>20060</v>
      </c>
      <c r="B62" s="1">
        <v>45816</v>
      </c>
      <c r="C62" t="s">
        <v>38</v>
      </c>
      <c r="D62" t="s">
        <v>22</v>
      </c>
      <c r="E62" t="s">
        <v>32</v>
      </c>
      <c r="F62" t="s">
        <v>33</v>
      </c>
      <c r="G62" t="s">
        <v>27</v>
      </c>
      <c r="H62">
        <v>2185.7800000000002</v>
      </c>
      <c r="I62">
        <v>57</v>
      </c>
      <c r="J62">
        <v>3</v>
      </c>
      <c r="K62" t="s">
        <v>16</v>
      </c>
      <c r="M62">
        <f t="shared" si="0"/>
        <v>2</v>
      </c>
      <c r="N62" s="5">
        <f t="shared" si="1"/>
        <v>2025</v>
      </c>
      <c r="O62" t="str">
        <f t="shared" si="2"/>
        <v>Sunday</v>
      </c>
      <c r="P62" t="str">
        <f t="shared" si="3"/>
        <v/>
      </c>
    </row>
    <row r="63" spans="1:16" x14ac:dyDescent="0.3">
      <c r="A63">
        <v>20061</v>
      </c>
      <c r="B63" s="1">
        <v>45760</v>
      </c>
      <c r="C63" t="s">
        <v>43</v>
      </c>
      <c r="D63" t="s">
        <v>26</v>
      </c>
      <c r="E63" t="s">
        <v>28</v>
      </c>
      <c r="F63" t="s">
        <v>23</v>
      </c>
      <c r="G63" t="s">
        <v>27</v>
      </c>
      <c r="H63">
        <v>284.61</v>
      </c>
      <c r="I63">
        <v>66</v>
      </c>
      <c r="J63">
        <v>3</v>
      </c>
      <c r="K63" t="s">
        <v>16</v>
      </c>
      <c r="M63">
        <f t="shared" si="0"/>
        <v>2</v>
      </c>
      <c r="N63" s="5">
        <f t="shared" si="1"/>
        <v>2025</v>
      </c>
      <c r="O63" t="str">
        <f t="shared" si="2"/>
        <v>Sunday</v>
      </c>
      <c r="P63" t="str">
        <f t="shared" si="3"/>
        <v>North Indian</v>
      </c>
    </row>
    <row r="64" spans="1:16" x14ac:dyDescent="0.3">
      <c r="A64">
        <v>20062</v>
      </c>
      <c r="B64" s="1">
        <v>45682</v>
      </c>
      <c r="C64" t="s">
        <v>45</v>
      </c>
      <c r="D64" t="s">
        <v>26</v>
      </c>
      <c r="E64" t="s">
        <v>44</v>
      </c>
      <c r="F64" t="s">
        <v>35</v>
      </c>
      <c r="G64" t="s">
        <v>29</v>
      </c>
      <c r="H64">
        <v>2128.44</v>
      </c>
      <c r="I64">
        <v>40</v>
      </c>
      <c r="J64">
        <v>4</v>
      </c>
      <c r="K64" t="s">
        <v>16</v>
      </c>
      <c r="M64">
        <f t="shared" si="0"/>
        <v>1</v>
      </c>
      <c r="N64" s="5">
        <f t="shared" si="1"/>
        <v>2025</v>
      </c>
      <c r="O64" t="str">
        <f t="shared" si="2"/>
        <v>Saturday</v>
      </c>
      <c r="P64" t="str">
        <f t="shared" si="3"/>
        <v/>
      </c>
    </row>
    <row r="65" spans="1:16" x14ac:dyDescent="0.3">
      <c r="A65">
        <v>20063</v>
      </c>
      <c r="B65" s="1">
        <v>45844</v>
      </c>
      <c r="C65" t="s">
        <v>21</v>
      </c>
      <c r="D65" t="s">
        <v>26</v>
      </c>
      <c r="E65" t="s">
        <v>44</v>
      </c>
      <c r="F65" t="s">
        <v>35</v>
      </c>
      <c r="G65" t="s">
        <v>15</v>
      </c>
      <c r="H65">
        <v>2074.8000000000002</v>
      </c>
      <c r="I65">
        <v>74</v>
      </c>
      <c r="J65">
        <v>4</v>
      </c>
      <c r="K65" t="s">
        <v>16</v>
      </c>
      <c r="M65">
        <f t="shared" si="0"/>
        <v>3</v>
      </c>
      <c r="N65" s="5">
        <f t="shared" si="1"/>
        <v>2025</v>
      </c>
      <c r="O65" t="str">
        <f t="shared" si="2"/>
        <v>Sunday</v>
      </c>
      <c r="P65" t="str">
        <f t="shared" si="3"/>
        <v>South Indian</v>
      </c>
    </row>
    <row r="66" spans="1:16" x14ac:dyDescent="0.3">
      <c r="A66">
        <v>20064</v>
      </c>
      <c r="B66" s="1">
        <v>45764</v>
      </c>
      <c r="C66" t="s">
        <v>41</v>
      </c>
      <c r="D66" t="s">
        <v>26</v>
      </c>
      <c r="E66" t="s">
        <v>32</v>
      </c>
      <c r="F66" t="s">
        <v>23</v>
      </c>
      <c r="G66" t="s">
        <v>29</v>
      </c>
      <c r="H66">
        <v>254.06</v>
      </c>
      <c r="I66">
        <v>41</v>
      </c>
      <c r="J66">
        <v>5</v>
      </c>
      <c r="K66" t="s">
        <v>16</v>
      </c>
      <c r="M66">
        <f t="shared" si="0"/>
        <v>2</v>
      </c>
      <c r="N66" s="5">
        <f t="shared" si="1"/>
        <v>2025</v>
      </c>
      <c r="O66" t="str">
        <f t="shared" si="2"/>
        <v>Thursday</v>
      </c>
      <c r="P66" t="str">
        <f t="shared" si="3"/>
        <v/>
      </c>
    </row>
    <row r="67" spans="1:16" x14ac:dyDescent="0.3">
      <c r="A67">
        <v>20065</v>
      </c>
      <c r="B67" s="1">
        <v>45828</v>
      </c>
      <c r="C67" t="s">
        <v>51</v>
      </c>
      <c r="D67" t="s">
        <v>36</v>
      </c>
      <c r="E67" t="s">
        <v>13</v>
      </c>
      <c r="F67" t="s">
        <v>35</v>
      </c>
      <c r="G67" t="s">
        <v>29</v>
      </c>
      <c r="H67">
        <v>1544.65</v>
      </c>
      <c r="I67">
        <v>20</v>
      </c>
      <c r="J67">
        <v>1</v>
      </c>
      <c r="K67" t="s">
        <v>16</v>
      </c>
      <c r="M67">
        <f t="shared" ref="M67:M130" si="4">ROUNDUP(MONTH(B67)/3,0)</f>
        <v>2</v>
      </c>
      <c r="N67" s="5">
        <f t="shared" ref="N67:N130" si="5">YEAR(B67)</f>
        <v>2025</v>
      </c>
      <c r="O67" t="str">
        <f t="shared" ref="O67:O130" si="6">TEXT(B67,"dddd")</f>
        <v>Friday</v>
      </c>
      <c r="P67" t="str">
        <f t="shared" ref="P67:P130" si="7">IF(I67&gt;60,F67,"")</f>
        <v/>
      </c>
    </row>
    <row r="68" spans="1:16" x14ac:dyDescent="0.3">
      <c r="A68">
        <v>20066</v>
      </c>
      <c r="B68" s="1">
        <v>45994</v>
      </c>
      <c r="C68" t="s">
        <v>25</v>
      </c>
      <c r="D68" t="s">
        <v>36</v>
      </c>
      <c r="E68" t="s">
        <v>48</v>
      </c>
      <c r="F68" t="s">
        <v>14</v>
      </c>
      <c r="G68" t="s">
        <v>27</v>
      </c>
      <c r="H68">
        <v>1195.72</v>
      </c>
      <c r="I68">
        <v>60</v>
      </c>
      <c r="J68">
        <v>4</v>
      </c>
      <c r="K68" t="s">
        <v>16</v>
      </c>
      <c r="M68">
        <f t="shared" si="4"/>
        <v>4</v>
      </c>
      <c r="N68" s="5">
        <f t="shared" si="5"/>
        <v>2025</v>
      </c>
      <c r="O68" t="str">
        <f t="shared" si="6"/>
        <v>Wednesday</v>
      </c>
      <c r="P68" t="str">
        <f t="shared" si="7"/>
        <v/>
      </c>
    </row>
    <row r="69" spans="1:16" x14ac:dyDescent="0.3">
      <c r="A69">
        <v>20067</v>
      </c>
      <c r="B69" s="1">
        <v>45752</v>
      </c>
      <c r="C69" t="s">
        <v>45</v>
      </c>
      <c r="D69" t="s">
        <v>22</v>
      </c>
      <c r="E69" t="s">
        <v>32</v>
      </c>
      <c r="F69" t="s">
        <v>23</v>
      </c>
      <c r="G69" t="s">
        <v>15</v>
      </c>
      <c r="H69">
        <v>1975.08</v>
      </c>
      <c r="I69">
        <v>53</v>
      </c>
      <c r="J69">
        <v>3</v>
      </c>
      <c r="K69" t="s">
        <v>16</v>
      </c>
      <c r="M69">
        <f t="shared" si="4"/>
        <v>2</v>
      </c>
      <c r="N69" s="5">
        <f t="shared" si="5"/>
        <v>2025</v>
      </c>
      <c r="O69" t="str">
        <f t="shared" si="6"/>
        <v>Saturday</v>
      </c>
      <c r="P69" t="str">
        <f t="shared" si="7"/>
        <v/>
      </c>
    </row>
    <row r="70" spans="1:16" x14ac:dyDescent="0.3">
      <c r="A70">
        <v>20068</v>
      </c>
      <c r="B70" s="1">
        <v>45963</v>
      </c>
      <c r="C70" t="s">
        <v>49</v>
      </c>
      <c r="D70" t="s">
        <v>31</v>
      </c>
      <c r="E70" t="s">
        <v>39</v>
      </c>
      <c r="F70" t="s">
        <v>33</v>
      </c>
      <c r="G70" t="s">
        <v>29</v>
      </c>
      <c r="H70">
        <v>1132.77</v>
      </c>
      <c r="I70">
        <v>38</v>
      </c>
      <c r="J70">
        <v>4</v>
      </c>
      <c r="K70" t="s">
        <v>16</v>
      </c>
      <c r="M70">
        <f t="shared" si="4"/>
        <v>4</v>
      </c>
      <c r="N70" s="5">
        <f t="shared" si="5"/>
        <v>2025</v>
      </c>
      <c r="O70" t="str">
        <f t="shared" si="6"/>
        <v>Sunday</v>
      </c>
      <c r="P70" t="str">
        <f t="shared" si="7"/>
        <v/>
      </c>
    </row>
    <row r="71" spans="1:16" x14ac:dyDescent="0.3">
      <c r="A71">
        <v>20069</v>
      </c>
      <c r="B71" s="1">
        <v>45896</v>
      </c>
      <c r="C71" t="s">
        <v>34</v>
      </c>
      <c r="D71" t="s">
        <v>36</v>
      </c>
      <c r="E71" t="s">
        <v>46</v>
      </c>
      <c r="F71" t="s">
        <v>40</v>
      </c>
      <c r="G71" t="s">
        <v>29</v>
      </c>
      <c r="H71">
        <v>2195.29</v>
      </c>
      <c r="I71">
        <v>56</v>
      </c>
      <c r="J71">
        <v>4</v>
      </c>
      <c r="K71" t="s">
        <v>16</v>
      </c>
      <c r="M71">
        <f t="shared" si="4"/>
        <v>3</v>
      </c>
      <c r="N71" s="5">
        <f t="shared" si="5"/>
        <v>2025</v>
      </c>
      <c r="O71" t="str">
        <f t="shared" si="6"/>
        <v>Wednesday</v>
      </c>
      <c r="P71" t="str">
        <f t="shared" si="7"/>
        <v/>
      </c>
    </row>
    <row r="72" spans="1:16" x14ac:dyDescent="0.3">
      <c r="A72">
        <v>20070</v>
      </c>
      <c r="B72" s="1">
        <v>45678</v>
      </c>
      <c r="C72" t="s">
        <v>34</v>
      </c>
      <c r="D72" t="s">
        <v>12</v>
      </c>
      <c r="E72" t="s">
        <v>48</v>
      </c>
      <c r="F72" t="s">
        <v>23</v>
      </c>
      <c r="G72" t="s">
        <v>27</v>
      </c>
      <c r="H72">
        <v>1794.56</v>
      </c>
      <c r="I72">
        <v>63</v>
      </c>
      <c r="J72">
        <v>4</v>
      </c>
      <c r="K72" t="s">
        <v>16</v>
      </c>
      <c r="M72">
        <f t="shared" si="4"/>
        <v>1</v>
      </c>
      <c r="N72" s="5">
        <f t="shared" si="5"/>
        <v>2025</v>
      </c>
      <c r="O72" t="str">
        <f t="shared" si="6"/>
        <v>Tuesday</v>
      </c>
      <c r="P72" t="str">
        <f t="shared" si="7"/>
        <v>North Indian</v>
      </c>
    </row>
    <row r="73" spans="1:16" x14ac:dyDescent="0.3">
      <c r="A73">
        <v>20071</v>
      </c>
      <c r="B73" s="1">
        <v>45711</v>
      </c>
      <c r="C73" t="s">
        <v>21</v>
      </c>
      <c r="D73" t="s">
        <v>26</v>
      </c>
      <c r="E73" t="s">
        <v>48</v>
      </c>
      <c r="F73" t="s">
        <v>35</v>
      </c>
      <c r="G73" t="s">
        <v>15</v>
      </c>
      <c r="H73">
        <v>1188.28</v>
      </c>
      <c r="I73">
        <v>60</v>
      </c>
      <c r="J73">
        <v>2</v>
      </c>
      <c r="K73" t="s">
        <v>16</v>
      </c>
      <c r="M73">
        <f t="shared" si="4"/>
        <v>1</v>
      </c>
      <c r="N73" s="5">
        <f t="shared" si="5"/>
        <v>2025</v>
      </c>
      <c r="O73" t="str">
        <f t="shared" si="6"/>
        <v>Sunday</v>
      </c>
      <c r="P73" t="str">
        <f t="shared" si="7"/>
        <v/>
      </c>
    </row>
    <row r="74" spans="1:16" x14ac:dyDescent="0.3">
      <c r="A74">
        <v>20072</v>
      </c>
      <c r="B74" s="1">
        <v>45907</v>
      </c>
      <c r="C74" t="s">
        <v>30</v>
      </c>
      <c r="D74" t="s">
        <v>26</v>
      </c>
      <c r="E74" t="s">
        <v>32</v>
      </c>
      <c r="F74" t="s">
        <v>35</v>
      </c>
      <c r="G74" t="s">
        <v>27</v>
      </c>
      <c r="H74">
        <v>796.37</v>
      </c>
      <c r="I74">
        <v>53</v>
      </c>
      <c r="J74">
        <v>4</v>
      </c>
      <c r="K74" t="s">
        <v>16</v>
      </c>
      <c r="M74">
        <f t="shared" si="4"/>
        <v>3</v>
      </c>
      <c r="N74" s="5">
        <f t="shared" si="5"/>
        <v>2025</v>
      </c>
      <c r="O74" t="str">
        <f t="shared" si="6"/>
        <v>Sunday</v>
      </c>
      <c r="P74" t="str">
        <f t="shared" si="7"/>
        <v/>
      </c>
    </row>
    <row r="75" spans="1:16" x14ac:dyDescent="0.3">
      <c r="A75">
        <v>20073</v>
      </c>
      <c r="B75" s="1">
        <v>45990</v>
      </c>
      <c r="C75" t="s">
        <v>11</v>
      </c>
      <c r="D75" t="s">
        <v>18</v>
      </c>
      <c r="E75" t="s">
        <v>28</v>
      </c>
      <c r="F75" t="s">
        <v>20</v>
      </c>
      <c r="G75" t="s">
        <v>15</v>
      </c>
      <c r="H75">
        <v>359.33</v>
      </c>
      <c r="I75">
        <v>60</v>
      </c>
      <c r="J75">
        <v>1</v>
      </c>
      <c r="K75" t="s">
        <v>16</v>
      </c>
      <c r="M75">
        <f t="shared" si="4"/>
        <v>4</v>
      </c>
      <c r="N75" s="5">
        <f t="shared" si="5"/>
        <v>2025</v>
      </c>
      <c r="O75" t="str">
        <f t="shared" si="6"/>
        <v>Saturday</v>
      </c>
      <c r="P75" t="str">
        <f t="shared" si="7"/>
        <v/>
      </c>
    </row>
    <row r="76" spans="1:16" x14ac:dyDescent="0.3">
      <c r="A76">
        <v>20074</v>
      </c>
      <c r="B76" s="1">
        <v>46022</v>
      </c>
      <c r="C76" t="s">
        <v>25</v>
      </c>
      <c r="D76" t="s">
        <v>18</v>
      </c>
      <c r="E76" t="s">
        <v>19</v>
      </c>
      <c r="F76" t="s">
        <v>20</v>
      </c>
      <c r="G76" t="s">
        <v>15</v>
      </c>
      <c r="H76">
        <v>1804.84</v>
      </c>
      <c r="I76">
        <v>25</v>
      </c>
      <c r="J76">
        <v>4</v>
      </c>
      <c r="K76" t="s">
        <v>16</v>
      </c>
      <c r="M76">
        <f t="shared" si="4"/>
        <v>4</v>
      </c>
      <c r="N76" s="5">
        <f t="shared" si="5"/>
        <v>2025</v>
      </c>
      <c r="O76" t="str">
        <f t="shared" si="6"/>
        <v>Wednesday</v>
      </c>
      <c r="P76" t="str">
        <f t="shared" si="7"/>
        <v/>
      </c>
    </row>
    <row r="77" spans="1:16" x14ac:dyDescent="0.3">
      <c r="A77">
        <v>20075</v>
      </c>
      <c r="B77" s="1">
        <v>45749</v>
      </c>
      <c r="C77" t="s">
        <v>45</v>
      </c>
      <c r="D77" t="s">
        <v>26</v>
      </c>
      <c r="E77" t="s">
        <v>32</v>
      </c>
      <c r="F77" t="s">
        <v>33</v>
      </c>
      <c r="G77" t="s">
        <v>15</v>
      </c>
      <c r="H77">
        <v>1732.52</v>
      </c>
      <c r="I77">
        <v>46</v>
      </c>
      <c r="J77">
        <v>5</v>
      </c>
      <c r="K77" t="s">
        <v>16</v>
      </c>
      <c r="M77">
        <f t="shared" si="4"/>
        <v>2</v>
      </c>
      <c r="N77" s="5">
        <f t="shared" si="5"/>
        <v>2025</v>
      </c>
      <c r="O77" t="str">
        <f t="shared" si="6"/>
        <v>Wednesday</v>
      </c>
      <c r="P77" t="str">
        <f t="shared" si="7"/>
        <v/>
      </c>
    </row>
    <row r="78" spans="1:16" x14ac:dyDescent="0.3">
      <c r="A78">
        <v>20076</v>
      </c>
      <c r="B78" s="1">
        <v>45898</v>
      </c>
      <c r="C78" t="s">
        <v>25</v>
      </c>
      <c r="D78" t="s">
        <v>18</v>
      </c>
      <c r="E78" t="s">
        <v>37</v>
      </c>
      <c r="F78" t="s">
        <v>33</v>
      </c>
      <c r="G78" t="s">
        <v>29</v>
      </c>
      <c r="H78">
        <v>1458.84</v>
      </c>
      <c r="I78">
        <v>29</v>
      </c>
      <c r="J78">
        <v>2</v>
      </c>
      <c r="K78" t="s">
        <v>16</v>
      </c>
      <c r="M78">
        <f t="shared" si="4"/>
        <v>3</v>
      </c>
      <c r="N78" s="5">
        <f t="shared" si="5"/>
        <v>2025</v>
      </c>
      <c r="O78" t="str">
        <f t="shared" si="6"/>
        <v>Friday</v>
      </c>
      <c r="P78" t="str">
        <f t="shared" si="7"/>
        <v/>
      </c>
    </row>
    <row r="79" spans="1:16" x14ac:dyDescent="0.3">
      <c r="A79">
        <v>20077</v>
      </c>
      <c r="B79" s="1">
        <v>45899</v>
      </c>
      <c r="C79" t="s">
        <v>56</v>
      </c>
      <c r="D79" t="s">
        <v>18</v>
      </c>
      <c r="E79" t="s">
        <v>19</v>
      </c>
      <c r="F79" t="s">
        <v>33</v>
      </c>
      <c r="G79" t="s">
        <v>27</v>
      </c>
      <c r="H79">
        <v>1922.82</v>
      </c>
      <c r="I79">
        <v>59</v>
      </c>
      <c r="J79">
        <v>2</v>
      </c>
      <c r="K79" t="s">
        <v>54</v>
      </c>
      <c r="M79">
        <f t="shared" si="4"/>
        <v>3</v>
      </c>
      <c r="N79" s="5">
        <f t="shared" si="5"/>
        <v>2025</v>
      </c>
      <c r="O79" t="str">
        <f t="shared" si="6"/>
        <v>Saturday</v>
      </c>
      <c r="P79" t="str">
        <f t="shared" si="7"/>
        <v/>
      </c>
    </row>
    <row r="80" spans="1:16" x14ac:dyDescent="0.3">
      <c r="A80">
        <v>20078</v>
      </c>
      <c r="B80" s="1">
        <v>45885</v>
      </c>
      <c r="C80" t="s">
        <v>50</v>
      </c>
      <c r="D80" t="s">
        <v>12</v>
      </c>
      <c r="E80" t="s">
        <v>44</v>
      </c>
      <c r="F80" t="s">
        <v>23</v>
      </c>
      <c r="G80" t="s">
        <v>29</v>
      </c>
      <c r="H80">
        <v>2142.23</v>
      </c>
      <c r="I80">
        <v>38</v>
      </c>
      <c r="J80">
        <v>4</v>
      </c>
      <c r="K80" t="s">
        <v>16</v>
      </c>
      <c r="M80">
        <f t="shared" si="4"/>
        <v>3</v>
      </c>
      <c r="N80" s="5">
        <f t="shared" si="5"/>
        <v>2025</v>
      </c>
      <c r="O80" t="str">
        <f t="shared" si="6"/>
        <v>Saturday</v>
      </c>
      <c r="P80" t="str">
        <f t="shared" si="7"/>
        <v/>
      </c>
    </row>
    <row r="81" spans="1:16" x14ac:dyDescent="0.3">
      <c r="A81">
        <v>20079</v>
      </c>
      <c r="B81" s="1">
        <v>46016</v>
      </c>
      <c r="C81" t="s">
        <v>45</v>
      </c>
      <c r="D81" t="s">
        <v>36</v>
      </c>
      <c r="E81" t="s">
        <v>32</v>
      </c>
      <c r="F81" t="s">
        <v>35</v>
      </c>
      <c r="G81" t="s">
        <v>29</v>
      </c>
      <c r="H81">
        <v>1725.72</v>
      </c>
      <c r="I81">
        <v>52</v>
      </c>
      <c r="J81">
        <v>4</v>
      </c>
      <c r="K81" t="s">
        <v>16</v>
      </c>
      <c r="M81">
        <f t="shared" si="4"/>
        <v>4</v>
      </c>
      <c r="N81" s="5">
        <f t="shared" si="5"/>
        <v>2025</v>
      </c>
      <c r="O81" t="str">
        <f t="shared" si="6"/>
        <v>Thursday</v>
      </c>
      <c r="P81" t="str">
        <f t="shared" si="7"/>
        <v/>
      </c>
    </row>
    <row r="82" spans="1:16" x14ac:dyDescent="0.3">
      <c r="A82">
        <v>20080</v>
      </c>
      <c r="B82" s="1">
        <v>45674</v>
      </c>
      <c r="C82" t="s">
        <v>51</v>
      </c>
      <c r="D82" t="s">
        <v>26</v>
      </c>
      <c r="E82" t="s">
        <v>28</v>
      </c>
      <c r="F82" t="s">
        <v>20</v>
      </c>
      <c r="G82" t="s">
        <v>29</v>
      </c>
      <c r="H82">
        <v>1864.75</v>
      </c>
      <c r="I82">
        <v>42</v>
      </c>
      <c r="J82">
        <v>1</v>
      </c>
      <c r="K82" t="s">
        <v>16</v>
      </c>
      <c r="M82">
        <f t="shared" si="4"/>
        <v>1</v>
      </c>
      <c r="N82" s="5">
        <f t="shared" si="5"/>
        <v>2025</v>
      </c>
      <c r="O82" t="str">
        <f t="shared" si="6"/>
        <v>Friday</v>
      </c>
      <c r="P82" t="str">
        <f t="shared" si="7"/>
        <v/>
      </c>
    </row>
    <row r="83" spans="1:16" x14ac:dyDescent="0.3">
      <c r="A83">
        <v>20081</v>
      </c>
      <c r="B83" s="1">
        <v>45990</v>
      </c>
      <c r="C83" t="s">
        <v>25</v>
      </c>
      <c r="D83" t="s">
        <v>18</v>
      </c>
      <c r="E83" t="s">
        <v>37</v>
      </c>
      <c r="F83" t="s">
        <v>40</v>
      </c>
      <c r="G83" t="s">
        <v>27</v>
      </c>
      <c r="H83">
        <v>1531.99</v>
      </c>
      <c r="I83">
        <v>37</v>
      </c>
      <c r="J83">
        <v>3</v>
      </c>
      <c r="K83" t="s">
        <v>16</v>
      </c>
      <c r="M83">
        <f t="shared" si="4"/>
        <v>4</v>
      </c>
      <c r="N83" s="5">
        <f t="shared" si="5"/>
        <v>2025</v>
      </c>
      <c r="O83" t="str">
        <f t="shared" si="6"/>
        <v>Saturday</v>
      </c>
      <c r="P83" t="str">
        <f t="shared" si="7"/>
        <v/>
      </c>
    </row>
    <row r="84" spans="1:16" x14ac:dyDescent="0.3">
      <c r="A84">
        <v>20082</v>
      </c>
      <c r="B84" s="1">
        <v>45718</v>
      </c>
      <c r="C84" t="s">
        <v>45</v>
      </c>
      <c r="D84" t="s">
        <v>26</v>
      </c>
      <c r="E84" t="s">
        <v>32</v>
      </c>
      <c r="F84" t="s">
        <v>23</v>
      </c>
      <c r="G84" t="s">
        <v>29</v>
      </c>
      <c r="H84">
        <v>1146.44</v>
      </c>
      <c r="I84">
        <v>41</v>
      </c>
      <c r="J84">
        <v>4</v>
      </c>
      <c r="K84" t="s">
        <v>16</v>
      </c>
      <c r="M84">
        <f t="shared" si="4"/>
        <v>1</v>
      </c>
      <c r="N84" s="5">
        <f t="shared" si="5"/>
        <v>2025</v>
      </c>
      <c r="O84" t="str">
        <f t="shared" si="6"/>
        <v>Sunday</v>
      </c>
      <c r="P84" t="str">
        <f t="shared" si="7"/>
        <v/>
      </c>
    </row>
    <row r="85" spans="1:16" x14ac:dyDescent="0.3">
      <c r="A85">
        <v>20083</v>
      </c>
      <c r="B85" s="1">
        <v>45690</v>
      </c>
      <c r="C85" t="s">
        <v>55</v>
      </c>
      <c r="D85" t="s">
        <v>26</v>
      </c>
      <c r="E85" t="s">
        <v>37</v>
      </c>
      <c r="F85" t="s">
        <v>20</v>
      </c>
      <c r="G85" t="s">
        <v>27</v>
      </c>
      <c r="H85">
        <v>1580.86</v>
      </c>
      <c r="I85">
        <v>62</v>
      </c>
      <c r="J85">
        <v>5</v>
      </c>
      <c r="K85" t="s">
        <v>16</v>
      </c>
      <c r="M85">
        <f t="shared" si="4"/>
        <v>1</v>
      </c>
      <c r="N85" s="5">
        <f t="shared" si="5"/>
        <v>2025</v>
      </c>
      <c r="O85" t="str">
        <f t="shared" si="6"/>
        <v>Sunday</v>
      </c>
      <c r="P85" t="str">
        <f t="shared" si="7"/>
        <v>Chinese</v>
      </c>
    </row>
    <row r="86" spans="1:16" x14ac:dyDescent="0.3">
      <c r="A86">
        <v>20084</v>
      </c>
      <c r="B86" s="1">
        <v>45695</v>
      </c>
      <c r="C86" t="s">
        <v>34</v>
      </c>
      <c r="D86" t="s">
        <v>22</v>
      </c>
      <c r="E86" t="s">
        <v>13</v>
      </c>
      <c r="F86" t="s">
        <v>23</v>
      </c>
      <c r="G86" t="s">
        <v>15</v>
      </c>
      <c r="H86">
        <v>677.18</v>
      </c>
      <c r="I86">
        <v>59</v>
      </c>
      <c r="J86">
        <v>2</v>
      </c>
      <c r="K86" t="s">
        <v>16</v>
      </c>
      <c r="M86">
        <f t="shared" si="4"/>
        <v>1</v>
      </c>
      <c r="N86" s="5">
        <f t="shared" si="5"/>
        <v>2025</v>
      </c>
      <c r="O86" t="str">
        <f t="shared" si="6"/>
        <v>Friday</v>
      </c>
      <c r="P86" t="str">
        <f t="shared" si="7"/>
        <v/>
      </c>
    </row>
    <row r="87" spans="1:16" x14ac:dyDescent="0.3">
      <c r="A87">
        <v>20085</v>
      </c>
      <c r="B87" s="1">
        <v>45755</v>
      </c>
      <c r="C87" t="s">
        <v>21</v>
      </c>
      <c r="D87" t="s">
        <v>12</v>
      </c>
      <c r="E87" t="s">
        <v>13</v>
      </c>
      <c r="F87" t="s">
        <v>33</v>
      </c>
      <c r="G87" t="s">
        <v>29</v>
      </c>
      <c r="H87">
        <v>2038.99</v>
      </c>
      <c r="I87">
        <v>74</v>
      </c>
      <c r="J87">
        <v>4</v>
      </c>
      <c r="K87" t="s">
        <v>24</v>
      </c>
      <c r="M87">
        <f t="shared" si="4"/>
        <v>2</v>
      </c>
      <c r="N87" s="5">
        <f t="shared" si="5"/>
        <v>2025</v>
      </c>
      <c r="O87" t="str">
        <f t="shared" si="6"/>
        <v>Tuesday</v>
      </c>
      <c r="P87" t="str">
        <f t="shared" si="7"/>
        <v>Desserts</v>
      </c>
    </row>
    <row r="88" spans="1:16" x14ac:dyDescent="0.3">
      <c r="A88">
        <v>20086</v>
      </c>
      <c r="B88" s="1">
        <v>45678</v>
      </c>
      <c r="C88" t="s">
        <v>43</v>
      </c>
      <c r="D88" t="s">
        <v>12</v>
      </c>
      <c r="E88" t="s">
        <v>44</v>
      </c>
      <c r="F88" t="s">
        <v>14</v>
      </c>
      <c r="G88" t="s">
        <v>29</v>
      </c>
      <c r="H88">
        <v>954.79</v>
      </c>
      <c r="I88">
        <v>68</v>
      </c>
      <c r="J88">
        <v>4</v>
      </c>
      <c r="K88" t="s">
        <v>16</v>
      </c>
      <c r="M88">
        <f t="shared" si="4"/>
        <v>1</v>
      </c>
      <c r="N88" s="5">
        <f t="shared" si="5"/>
        <v>2025</v>
      </c>
      <c r="O88" t="str">
        <f t="shared" si="6"/>
        <v>Tuesday</v>
      </c>
      <c r="P88" t="str">
        <f t="shared" si="7"/>
        <v>Italian</v>
      </c>
    </row>
    <row r="89" spans="1:16" x14ac:dyDescent="0.3">
      <c r="A89">
        <v>20087</v>
      </c>
      <c r="B89" s="1">
        <v>45690</v>
      </c>
      <c r="C89" t="s">
        <v>17</v>
      </c>
      <c r="D89" t="s">
        <v>22</v>
      </c>
      <c r="E89" t="s">
        <v>42</v>
      </c>
      <c r="F89" t="s">
        <v>23</v>
      </c>
      <c r="G89" t="s">
        <v>15</v>
      </c>
      <c r="H89">
        <v>1061.01</v>
      </c>
      <c r="I89">
        <v>47</v>
      </c>
      <c r="J89">
        <v>4</v>
      </c>
      <c r="K89" t="s">
        <v>16</v>
      </c>
      <c r="M89">
        <f t="shared" si="4"/>
        <v>1</v>
      </c>
      <c r="N89" s="5">
        <f t="shared" si="5"/>
        <v>2025</v>
      </c>
      <c r="O89" t="str">
        <f t="shared" si="6"/>
        <v>Sunday</v>
      </c>
      <c r="P89" t="str">
        <f t="shared" si="7"/>
        <v/>
      </c>
    </row>
    <row r="90" spans="1:16" x14ac:dyDescent="0.3">
      <c r="A90">
        <v>20088</v>
      </c>
      <c r="B90" s="1">
        <v>45762</v>
      </c>
      <c r="C90" t="s">
        <v>38</v>
      </c>
      <c r="D90" t="s">
        <v>18</v>
      </c>
      <c r="E90" t="s">
        <v>46</v>
      </c>
      <c r="F90" t="s">
        <v>20</v>
      </c>
      <c r="G90" t="s">
        <v>27</v>
      </c>
      <c r="H90">
        <v>1390.19</v>
      </c>
      <c r="I90">
        <v>38</v>
      </c>
      <c r="J90">
        <v>3</v>
      </c>
      <c r="K90" t="s">
        <v>16</v>
      </c>
      <c r="M90">
        <f t="shared" si="4"/>
        <v>2</v>
      </c>
      <c r="N90" s="5">
        <f t="shared" si="5"/>
        <v>2025</v>
      </c>
      <c r="O90" t="str">
        <f t="shared" si="6"/>
        <v>Tuesday</v>
      </c>
      <c r="P90" t="str">
        <f t="shared" si="7"/>
        <v/>
      </c>
    </row>
    <row r="91" spans="1:16" x14ac:dyDescent="0.3">
      <c r="A91">
        <v>20089</v>
      </c>
      <c r="B91" s="1">
        <v>45675</v>
      </c>
      <c r="C91" t="s">
        <v>47</v>
      </c>
      <c r="D91" t="s">
        <v>26</v>
      </c>
      <c r="E91" t="s">
        <v>39</v>
      </c>
      <c r="F91" t="s">
        <v>14</v>
      </c>
      <c r="G91" t="s">
        <v>15</v>
      </c>
      <c r="H91">
        <v>1585.5</v>
      </c>
      <c r="I91">
        <v>50</v>
      </c>
      <c r="J91">
        <v>3</v>
      </c>
      <c r="K91" t="s">
        <v>16</v>
      </c>
      <c r="M91">
        <f t="shared" si="4"/>
        <v>1</v>
      </c>
      <c r="N91" s="5">
        <f t="shared" si="5"/>
        <v>2025</v>
      </c>
      <c r="O91" t="str">
        <f t="shared" si="6"/>
        <v>Saturday</v>
      </c>
      <c r="P91" t="str">
        <f t="shared" si="7"/>
        <v/>
      </c>
    </row>
    <row r="92" spans="1:16" x14ac:dyDescent="0.3">
      <c r="A92">
        <v>20090</v>
      </c>
      <c r="B92" s="1">
        <v>45741</v>
      </c>
      <c r="C92" t="s">
        <v>55</v>
      </c>
      <c r="D92" t="s">
        <v>31</v>
      </c>
      <c r="E92" t="s">
        <v>28</v>
      </c>
      <c r="F92" t="s">
        <v>14</v>
      </c>
      <c r="G92" t="s">
        <v>27</v>
      </c>
      <c r="H92">
        <v>1434.21</v>
      </c>
      <c r="I92">
        <v>44</v>
      </c>
      <c r="J92">
        <v>4</v>
      </c>
      <c r="K92" t="s">
        <v>16</v>
      </c>
      <c r="M92">
        <f t="shared" si="4"/>
        <v>1</v>
      </c>
      <c r="N92" s="5">
        <f t="shared" si="5"/>
        <v>2025</v>
      </c>
      <c r="O92" t="str">
        <f t="shared" si="6"/>
        <v>Tuesday</v>
      </c>
      <c r="P92" t="str">
        <f t="shared" si="7"/>
        <v/>
      </c>
    </row>
    <row r="93" spans="1:16" x14ac:dyDescent="0.3">
      <c r="A93">
        <v>20091</v>
      </c>
      <c r="B93" s="1">
        <v>45808</v>
      </c>
      <c r="C93" t="s">
        <v>21</v>
      </c>
      <c r="D93" t="s">
        <v>36</v>
      </c>
      <c r="E93" t="s">
        <v>13</v>
      </c>
      <c r="F93" t="s">
        <v>35</v>
      </c>
      <c r="G93" t="s">
        <v>15</v>
      </c>
      <c r="H93">
        <v>2008.26</v>
      </c>
      <c r="I93">
        <v>54</v>
      </c>
      <c r="J93">
        <v>4</v>
      </c>
      <c r="K93" t="s">
        <v>16</v>
      </c>
      <c r="M93">
        <f t="shared" si="4"/>
        <v>2</v>
      </c>
      <c r="N93" s="5">
        <f t="shared" si="5"/>
        <v>2025</v>
      </c>
      <c r="O93" t="str">
        <f t="shared" si="6"/>
        <v>Saturday</v>
      </c>
      <c r="P93" t="str">
        <f t="shared" si="7"/>
        <v/>
      </c>
    </row>
    <row r="94" spans="1:16" x14ac:dyDescent="0.3">
      <c r="A94">
        <v>20092</v>
      </c>
      <c r="B94" s="1">
        <v>45946</v>
      </c>
      <c r="C94" t="s">
        <v>30</v>
      </c>
      <c r="D94" t="s">
        <v>26</v>
      </c>
      <c r="E94" t="s">
        <v>39</v>
      </c>
      <c r="F94" t="s">
        <v>23</v>
      </c>
      <c r="G94" t="s">
        <v>15</v>
      </c>
      <c r="H94">
        <v>1577.13</v>
      </c>
      <c r="I94">
        <v>65</v>
      </c>
      <c r="J94">
        <v>5</v>
      </c>
      <c r="K94" t="s">
        <v>16</v>
      </c>
      <c r="M94">
        <f t="shared" si="4"/>
        <v>4</v>
      </c>
      <c r="N94" s="5">
        <f t="shared" si="5"/>
        <v>2025</v>
      </c>
      <c r="O94" t="str">
        <f t="shared" si="6"/>
        <v>Thursday</v>
      </c>
      <c r="P94" t="str">
        <f t="shared" si="7"/>
        <v>North Indian</v>
      </c>
    </row>
    <row r="95" spans="1:16" x14ac:dyDescent="0.3">
      <c r="A95">
        <v>20093</v>
      </c>
      <c r="B95" s="1">
        <v>45970</v>
      </c>
      <c r="C95" t="s">
        <v>11</v>
      </c>
      <c r="D95" t="s">
        <v>22</v>
      </c>
      <c r="E95" t="s">
        <v>39</v>
      </c>
      <c r="F95" t="s">
        <v>14</v>
      </c>
      <c r="G95" t="s">
        <v>15</v>
      </c>
      <c r="H95">
        <v>2012.4</v>
      </c>
      <c r="I95">
        <v>30</v>
      </c>
      <c r="J95">
        <v>4</v>
      </c>
      <c r="K95" t="s">
        <v>16</v>
      </c>
      <c r="M95">
        <f t="shared" si="4"/>
        <v>4</v>
      </c>
      <c r="N95" s="5">
        <f t="shared" si="5"/>
        <v>2025</v>
      </c>
      <c r="O95" t="str">
        <f t="shared" si="6"/>
        <v>Sunday</v>
      </c>
      <c r="P95" t="str">
        <f t="shared" si="7"/>
        <v/>
      </c>
    </row>
    <row r="96" spans="1:16" x14ac:dyDescent="0.3">
      <c r="A96">
        <v>20094</v>
      </c>
      <c r="B96" s="1">
        <v>45700</v>
      </c>
      <c r="C96" t="s">
        <v>56</v>
      </c>
      <c r="D96" t="s">
        <v>22</v>
      </c>
      <c r="E96" t="s">
        <v>44</v>
      </c>
      <c r="F96" t="s">
        <v>14</v>
      </c>
      <c r="G96" t="s">
        <v>27</v>
      </c>
      <c r="H96">
        <v>1573.15</v>
      </c>
      <c r="I96">
        <v>74</v>
      </c>
      <c r="J96">
        <v>3</v>
      </c>
      <c r="K96" t="s">
        <v>54</v>
      </c>
      <c r="M96">
        <f t="shared" si="4"/>
        <v>1</v>
      </c>
      <c r="N96" s="5">
        <f t="shared" si="5"/>
        <v>2025</v>
      </c>
      <c r="O96" t="str">
        <f t="shared" si="6"/>
        <v>Wednesday</v>
      </c>
      <c r="P96" t="str">
        <f t="shared" si="7"/>
        <v>Italian</v>
      </c>
    </row>
    <row r="97" spans="1:16" x14ac:dyDescent="0.3">
      <c r="A97">
        <v>20095</v>
      </c>
      <c r="B97" s="1">
        <v>45834</v>
      </c>
      <c r="C97" t="s">
        <v>25</v>
      </c>
      <c r="D97" t="s">
        <v>26</v>
      </c>
      <c r="E97" t="s">
        <v>46</v>
      </c>
      <c r="F97" t="s">
        <v>35</v>
      </c>
      <c r="G97" t="s">
        <v>15</v>
      </c>
      <c r="H97">
        <v>478.63</v>
      </c>
      <c r="I97">
        <v>32</v>
      </c>
      <c r="J97">
        <v>3</v>
      </c>
      <c r="K97" t="s">
        <v>16</v>
      </c>
      <c r="M97">
        <f t="shared" si="4"/>
        <v>2</v>
      </c>
      <c r="N97" s="5">
        <f t="shared" si="5"/>
        <v>2025</v>
      </c>
      <c r="O97" t="str">
        <f t="shared" si="6"/>
        <v>Thursday</v>
      </c>
      <c r="P97" t="str">
        <f t="shared" si="7"/>
        <v/>
      </c>
    </row>
    <row r="98" spans="1:16" x14ac:dyDescent="0.3">
      <c r="A98">
        <v>20096</v>
      </c>
      <c r="B98" s="1">
        <v>45758</v>
      </c>
      <c r="C98" t="s">
        <v>38</v>
      </c>
      <c r="D98" t="s">
        <v>26</v>
      </c>
      <c r="E98" t="s">
        <v>48</v>
      </c>
      <c r="F98" t="s">
        <v>40</v>
      </c>
      <c r="G98" t="s">
        <v>15</v>
      </c>
      <c r="H98">
        <v>1687.83</v>
      </c>
      <c r="I98">
        <v>34</v>
      </c>
      <c r="J98">
        <v>3</v>
      </c>
      <c r="K98" t="s">
        <v>16</v>
      </c>
      <c r="M98">
        <f t="shared" si="4"/>
        <v>2</v>
      </c>
      <c r="N98" s="5">
        <f t="shared" si="5"/>
        <v>2025</v>
      </c>
      <c r="O98" t="str">
        <f t="shared" si="6"/>
        <v>Friday</v>
      </c>
      <c r="P98" t="str">
        <f t="shared" si="7"/>
        <v/>
      </c>
    </row>
    <row r="99" spans="1:16" x14ac:dyDescent="0.3">
      <c r="A99">
        <v>20097</v>
      </c>
      <c r="B99" s="1">
        <v>45671</v>
      </c>
      <c r="C99" t="s">
        <v>51</v>
      </c>
      <c r="D99" t="s">
        <v>26</v>
      </c>
      <c r="E99" t="s">
        <v>37</v>
      </c>
      <c r="F99" t="s">
        <v>40</v>
      </c>
      <c r="G99" t="s">
        <v>29</v>
      </c>
      <c r="H99">
        <v>1793.15</v>
      </c>
      <c r="I99">
        <v>35</v>
      </c>
      <c r="J99">
        <v>1</v>
      </c>
      <c r="K99" t="s">
        <v>16</v>
      </c>
      <c r="M99">
        <f t="shared" si="4"/>
        <v>1</v>
      </c>
      <c r="N99" s="5">
        <f t="shared" si="5"/>
        <v>2025</v>
      </c>
      <c r="O99" t="str">
        <f t="shared" si="6"/>
        <v>Tuesday</v>
      </c>
      <c r="P99" t="str">
        <f t="shared" si="7"/>
        <v/>
      </c>
    </row>
    <row r="100" spans="1:16" x14ac:dyDescent="0.3">
      <c r="A100">
        <v>20098</v>
      </c>
      <c r="B100" s="1">
        <v>45679</v>
      </c>
      <c r="C100" t="s">
        <v>34</v>
      </c>
      <c r="D100" t="s">
        <v>26</v>
      </c>
      <c r="E100" t="s">
        <v>44</v>
      </c>
      <c r="F100" t="s">
        <v>20</v>
      </c>
      <c r="G100" t="s">
        <v>27</v>
      </c>
      <c r="H100">
        <v>1042.01</v>
      </c>
      <c r="I100">
        <v>21</v>
      </c>
      <c r="J100">
        <v>5</v>
      </c>
      <c r="K100" t="s">
        <v>16</v>
      </c>
      <c r="M100">
        <f t="shared" si="4"/>
        <v>1</v>
      </c>
      <c r="N100" s="5">
        <f t="shared" si="5"/>
        <v>2025</v>
      </c>
      <c r="O100" t="str">
        <f t="shared" si="6"/>
        <v>Wednesday</v>
      </c>
      <c r="P100" t="str">
        <f t="shared" si="7"/>
        <v/>
      </c>
    </row>
    <row r="101" spans="1:16" x14ac:dyDescent="0.3">
      <c r="A101">
        <v>20099</v>
      </c>
      <c r="B101" s="1">
        <v>45968</v>
      </c>
      <c r="C101" t="s">
        <v>52</v>
      </c>
      <c r="D101" t="s">
        <v>36</v>
      </c>
      <c r="E101" t="s">
        <v>44</v>
      </c>
      <c r="F101" t="s">
        <v>35</v>
      </c>
      <c r="G101" t="s">
        <v>15</v>
      </c>
      <c r="H101">
        <v>636.9</v>
      </c>
      <c r="I101">
        <v>34</v>
      </c>
      <c r="J101">
        <v>3</v>
      </c>
      <c r="K101" t="s">
        <v>16</v>
      </c>
      <c r="M101">
        <f t="shared" si="4"/>
        <v>4</v>
      </c>
      <c r="N101" s="5">
        <f t="shared" si="5"/>
        <v>2025</v>
      </c>
      <c r="O101" t="str">
        <f t="shared" si="6"/>
        <v>Friday</v>
      </c>
      <c r="P101" t="str">
        <f t="shared" si="7"/>
        <v/>
      </c>
    </row>
    <row r="102" spans="1:16" x14ac:dyDescent="0.3">
      <c r="A102">
        <v>20100</v>
      </c>
      <c r="B102" s="1">
        <v>45723</v>
      </c>
      <c r="C102" t="s">
        <v>34</v>
      </c>
      <c r="D102" t="s">
        <v>36</v>
      </c>
      <c r="E102" t="s">
        <v>13</v>
      </c>
      <c r="F102" t="s">
        <v>23</v>
      </c>
      <c r="G102" t="s">
        <v>29</v>
      </c>
      <c r="H102">
        <v>1149.3499999999999</v>
      </c>
      <c r="I102">
        <v>42</v>
      </c>
      <c r="J102">
        <v>4</v>
      </c>
      <c r="K102" t="s">
        <v>16</v>
      </c>
      <c r="M102">
        <f t="shared" si="4"/>
        <v>1</v>
      </c>
      <c r="N102" s="5">
        <f t="shared" si="5"/>
        <v>2025</v>
      </c>
      <c r="O102" t="str">
        <f t="shared" si="6"/>
        <v>Friday</v>
      </c>
      <c r="P102" t="str">
        <f t="shared" si="7"/>
        <v/>
      </c>
    </row>
    <row r="103" spans="1:16" x14ac:dyDescent="0.3">
      <c r="A103">
        <v>20101</v>
      </c>
      <c r="B103" s="1">
        <v>45739</v>
      </c>
      <c r="C103" t="s">
        <v>25</v>
      </c>
      <c r="D103" t="s">
        <v>26</v>
      </c>
      <c r="E103" t="s">
        <v>39</v>
      </c>
      <c r="F103" t="s">
        <v>14</v>
      </c>
      <c r="G103" t="s">
        <v>29</v>
      </c>
      <c r="H103">
        <v>1527.65</v>
      </c>
      <c r="I103">
        <v>43</v>
      </c>
      <c r="J103">
        <v>5</v>
      </c>
      <c r="K103" t="s">
        <v>16</v>
      </c>
      <c r="M103">
        <f t="shared" si="4"/>
        <v>1</v>
      </c>
      <c r="N103" s="5">
        <f t="shared" si="5"/>
        <v>2025</v>
      </c>
      <c r="O103" t="str">
        <f t="shared" si="6"/>
        <v>Sunday</v>
      </c>
      <c r="P103" t="str">
        <f t="shared" si="7"/>
        <v/>
      </c>
    </row>
    <row r="104" spans="1:16" x14ac:dyDescent="0.3">
      <c r="A104">
        <v>20102</v>
      </c>
      <c r="B104" s="1">
        <v>46005</v>
      </c>
      <c r="C104" t="s">
        <v>55</v>
      </c>
      <c r="D104" t="s">
        <v>26</v>
      </c>
      <c r="E104" t="s">
        <v>32</v>
      </c>
      <c r="F104" t="s">
        <v>20</v>
      </c>
      <c r="G104" t="s">
        <v>15</v>
      </c>
      <c r="H104">
        <v>1172.1600000000001</v>
      </c>
      <c r="I104">
        <v>62</v>
      </c>
      <c r="J104">
        <v>2</v>
      </c>
      <c r="K104" t="s">
        <v>16</v>
      </c>
      <c r="M104">
        <f t="shared" si="4"/>
        <v>4</v>
      </c>
      <c r="N104" s="5">
        <f t="shared" si="5"/>
        <v>2025</v>
      </c>
      <c r="O104" t="str">
        <f t="shared" si="6"/>
        <v>Sunday</v>
      </c>
      <c r="P104" t="str">
        <f t="shared" si="7"/>
        <v>Chinese</v>
      </c>
    </row>
    <row r="105" spans="1:16" x14ac:dyDescent="0.3">
      <c r="A105">
        <v>20103</v>
      </c>
      <c r="B105" s="1">
        <v>45979</v>
      </c>
      <c r="C105" t="s">
        <v>51</v>
      </c>
      <c r="D105" t="s">
        <v>36</v>
      </c>
      <c r="E105" t="s">
        <v>19</v>
      </c>
      <c r="F105" t="s">
        <v>35</v>
      </c>
      <c r="G105" t="s">
        <v>29</v>
      </c>
      <c r="H105">
        <v>1720.62</v>
      </c>
      <c r="I105">
        <v>74</v>
      </c>
      <c r="J105">
        <v>4</v>
      </c>
      <c r="K105" t="s">
        <v>16</v>
      </c>
      <c r="M105">
        <f t="shared" si="4"/>
        <v>4</v>
      </c>
      <c r="N105" s="5">
        <f t="shared" si="5"/>
        <v>2025</v>
      </c>
      <c r="O105" t="str">
        <f t="shared" si="6"/>
        <v>Tuesday</v>
      </c>
      <c r="P105" t="str">
        <f t="shared" si="7"/>
        <v>South Indian</v>
      </c>
    </row>
    <row r="106" spans="1:16" x14ac:dyDescent="0.3">
      <c r="A106">
        <v>20104</v>
      </c>
      <c r="B106" s="1">
        <v>45984</v>
      </c>
      <c r="C106" t="s">
        <v>52</v>
      </c>
      <c r="D106" t="s">
        <v>22</v>
      </c>
      <c r="E106" t="s">
        <v>13</v>
      </c>
      <c r="F106" t="s">
        <v>33</v>
      </c>
      <c r="G106" t="s">
        <v>15</v>
      </c>
      <c r="H106">
        <v>1770.68</v>
      </c>
      <c r="I106">
        <v>31</v>
      </c>
      <c r="J106">
        <v>5</v>
      </c>
      <c r="K106" t="s">
        <v>16</v>
      </c>
      <c r="M106">
        <f t="shared" si="4"/>
        <v>4</v>
      </c>
      <c r="N106" s="5">
        <f t="shared" si="5"/>
        <v>2025</v>
      </c>
      <c r="O106" t="str">
        <f t="shared" si="6"/>
        <v>Sunday</v>
      </c>
      <c r="P106" t="str">
        <f t="shared" si="7"/>
        <v/>
      </c>
    </row>
    <row r="107" spans="1:16" x14ac:dyDescent="0.3">
      <c r="A107">
        <v>20105</v>
      </c>
      <c r="B107" s="1">
        <v>45778</v>
      </c>
      <c r="C107" t="s">
        <v>25</v>
      </c>
      <c r="D107" t="s">
        <v>22</v>
      </c>
      <c r="E107" t="s">
        <v>39</v>
      </c>
      <c r="F107" t="s">
        <v>20</v>
      </c>
      <c r="G107" t="s">
        <v>15</v>
      </c>
      <c r="H107">
        <v>1503.35</v>
      </c>
      <c r="I107">
        <v>72</v>
      </c>
      <c r="J107">
        <v>2</v>
      </c>
      <c r="K107" t="s">
        <v>16</v>
      </c>
      <c r="M107">
        <f t="shared" si="4"/>
        <v>2</v>
      </c>
      <c r="N107" s="5">
        <f t="shared" si="5"/>
        <v>2025</v>
      </c>
      <c r="O107" t="str">
        <f t="shared" si="6"/>
        <v>Thursday</v>
      </c>
      <c r="P107" t="str">
        <f t="shared" si="7"/>
        <v>Chinese</v>
      </c>
    </row>
    <row r="108" spans="1:16" x14ac:dyDescent="0.3">
      <c r="A108">
        <v>20106</v>
      </c>
      <c r="B108" s="1">
        <v>45812</v>
      </c>
      <c r="C108" t="s">
        <v>47</v>
      </c>
      <c r="D108" t="s">
        <v>12</v>
      </c>
      <c r="E108" t="s">
        <v>42</v>
      </c>
      <c r="F108" t="s">
        <v>35</v>
      </c>
      <c r="G108" t="s">
        <v>27</v>
      </c>
      <c r="H108">
        <v>1184.75</v>
      </c>
      <c r="I108">
        <v>42</v>
      </c>
      <c r="J108">
        <v>5</v>
      </c>
      <c r="K108" t="s">
        <v>16</v>
      </c>
      <c r="M108">
        <f t="shared" si="4"/>
        <v>2</v>
      </c>
      <c r="N108" s="5">
        <f t="shared" si="5"/>
        <v>2025</v>
      </c>
      <c r="O108" t="str">
        <f t="shared" si="6"/>
        <v>Wednesday</v>
      </c>
      <c r="P108" t="str">
        <f t="shared" si="7"/>
        <v/>
      </c>
    </row>
    <row r="109" spans="1:16" x14ac:dyDescent="0.3">
      <c r="A109">
        <v>20107</v>
      </c>
      <c r="B109" s="1">
        <v>45888</v>
      </c>
      <c r="C109" t="s">
        <v>53</v>
      </c>
      <c r="D109" t="s">
        <v>26</v>
      </c>
      <c r="E109" t="s">
        <v>46</v>
      </c>
      <c r="F109" t="s">
        <v>14</v>
      </c>
      <c r="G109" t="s">
        <v>15</v>
      </c>
      <c r="H109">
        <v>1054.1600000000001</v>
      </c>
      <c r="I109">
        <v>62</v>
      </c>
      <c r="J109">
        <v>5</v>
      </c>
      <c r="K109" t="s">
        <v>24</v>
      </c>
      <c r="M109">
        <f t="shared" si="4"/>
        <v>3</v>
      </c>
      <c r="N109" s="5">
        <f t="shared" si="5"/>
        <v>2025</v>
      </c>
      <c r="O109" t="str">
        <f t="shared" si="6"/>
        <v>Tuesday</v>
      </c>
      <c r="P109" t="str">
        <f t="shared" si="7"/>
        <v>Italian</v>
      </c>
    </row>
    <row r="110" spans="1:16" x14ac:dyDescent="0.3">
      <c r="A110">
        <v>20108</v>
      </c>
      <c r="B110" s="1">
        <v>45717</v>
      </c>
      <c r="C110" t="s">
        <v>47</v>
      </c>
      <c r="D110" t="s">
        <v>31</v>
      </c>
      <c r="E110" t="s">
        <v>37</v>
      </c>
      <c r="F110" t="s">
        <v>14</v>
      </c>
      <c r="G110" t="s">
        <v>15</v>
      </c>
      <c r="H110">
        <v>623.11</v>
      </c>
      <c r="I110">
        <v>37</v>
      </c>
      <c r="J110">
        <v>4</v>
      </c>
      <c r="K110" t="s">
        <v>16</v>
      </c>
      <c r="M110">
        <f t="shared" si="4"/>
        <v>1</v>
      </c>
      <c r="N110" s="5">
        <f t="shared" si="5"/>
        <v>2025</v>
      </c>
      <c r="O110" t="str">
        <f t="shared" si="6"/>
        <v>Saturday</v>
      </c>
      <c r="P110" t="str">
        <f t="shared" si="7"/>
        <v/>
      </c>
    </row>
    <row r="111" spans="1:16" x14ac:dyDescent="0.3">
      <c r="A111">
        <v>20109</v>
      </c>
      <c r="B111" s="1">
        <v>45927</v>
      </c>
      <c r="C111" t="s">
        <v>21</v>
      </c>
      <c r="D111" t="s">
        <v>12</v>
      </c>
      <c r="E111" t="s">
        <v>19</v>
      </c>
      <c r="F111" t="s">
        <v>33</v>
      </c>
      <c r="G111" t="s">
        <v>29</v>
      </c>
      <c r="H111">
        <v>860.85</v>
      </c>
      <c r="I111">
        <v>68</v>
      </c>
      <c r="J111">
        <v>5</v>
      </c>
      <c r="K111" t="s">
        <v>16</v>
      </c>
      <c r="M111">
        <f t="shared" si="4"/>
        <v>3</v>
      </c>
      <c r="N111" s="5">
        <f t="shared" si="5"/>
        <v>2025</v>
      </c>
      <c r="O111" t="str">
        <f t="shared" si="6"/>
        <v>Saturday</v>
      </c>
      <c r="P111" t="str">
        <f t="shared" si="7"/>
        <v>Desserts</v>
      </c>
    </row>
    <row r="112" spans="1:16" x14ac:dyDescent="0.3">
      <c r="A112">
        <v>20110</v>
      </c>
      <c r="B112" s="1">
        <v>45735</v>
      </c>
      <c r="C112" t="s">
        <v>51</v>
      </c>
      <c r="D112" t="s">
        <v>26</v>
      </c>
      <c r="E112" t="s">
        <v>42</v>
      </c>
      <c r="F112" t="s">
        <v>33</v>
      </c>
      <c r="G112" t="s">
        <v>29</v>
      </c>
      <c r="H112">
        <v>831.29</v>
      </c>
      <c r="I112">
        <v>61</v>
      </c>
      <c r="J112">
        <v>5</v>
      </c>
      <c r="K112" t="s">
        <v>16</v>
      </c>
      <c r="M112">
        <f t="shared" si="4"/>
        <v>1</v>
      </c>
      <c r="N112" s="5">
        <f t="shared" si="5"/>
        <v>2025</v>
      </c>
      <c r="O112" t="str">
        <f t="shared" si="6"/>
        <v>Wednesday</v>
      </c>
      <c r="P112" t="str">
        <f t="shared" si="7"/>
        <v>Desserts</v>
      </c>
    </row>
    <row r="113" spans="1:16" x14ac:dyDescent="0.3">
      <c r="A113">
        <v>20111</v>
      </c>
      <c r="B113" s="1">
        <v>46003</v>
      </c>
      <c r="C113" t="s">
        <v>45</v>
      </c>
      <c r="D113" t="s">
        <v>26</v>
      </c>
      <c r="E113" t="s">
        <v>13</v>
      </c>
      <c r="F113" t="s">
        <v>14</v>
      </c>
      <c r="G113" t="s">
        <v>27</v>
      </c>
      <c r="H113">
        <v>480.02</v>
      </c>
      <c r="I113">
        <v>51</v>
      </c>
      <c r="J113">
        <v>4</v>
      </c>
      <c r="K113" t="s">
        <v>16</v>
      </c>
      <c r="M113">
        <f t="shared" si="4"/>
        <v>4</v>
      </c>
      <c r="N113" s="5">
        <f t="shared" si="5"/>
        <v>2025</v>
      </c>
      <c r="O113" t="str">
        <f t="shared" si="6"/>
        <v>Friday</v>
      </c>
      <c r="P113" t="str">
        <f t="shared" si="7"/>
        <v/>
      </c>
    </row>
    <row r="114" spans="1:16" x14ac:dyDescent="0.3">
      <c r="A114">
        <v>20112</v>
      </c>
      <c r="B114" s="1">
        <v>45860</v>
      </c>
      <c r="C114" t="s">
        <v>45</v>
      </c>
      <c r="D114" t="s">
        <v>36</v>
      </c>
      <c r="E114" t="s">
        <v>13</v>
      </c>
      <c r="F114" t="s">
        <v>33</v>
      </c>
      <c r="G114" t="s">
        <v>29</v>
      </c>
      <c r="H114">
        <v>161.6</v>
      </c>
      <c r="I114">
        <v>73</v>
      </c>
      <c r="J114">
        <v>3</v>
      </c>
      <c r="K114" t="s">
        <v>54</v>
      </c>
      <c r="M114">
        <f t="shared" si="4"/>
        <v>3</v>
      </c>
      <c r="N114" s="5">
        <f t="shared" si="5"/>
        <v>2025</v>
      </c>
      <c r="O114" t="str">
        <f t="shared" si="6"/>
        <v>Tuesday</v>
      </c>
      <c r="P114" t="str">
        <f t="shared" si="7"/>
        <v>Desserts</v>
      </c>
    </row>
    <row r="115" spans="1:16" x14ac:dyDescent="0.3">
      <c r="A115">
        <v>20113</v>
      </c>
      <c r="B115" s="1">
        <v>45773</v>
      </c>
      <c r="C115" t="s">
        <v>52</v>
      </c>
      <c r="D115" t="s">
        <v>26</v>
      </c>
      <c r="E115" t="s">
        <v>48</v>
      </c>
      <c r="F115" t="s">
        <v>14</v>
      </c>
      <c r="G115" t="s">
        <v>27</v>
      </c>
      <c r="H115">
        <v>1802.25</v>
      </c>
      <c r="I115">
        <v>54</v>
      </c>
      <c r="J115">
        <v>4</v>
      </c>
      <c r="K115" t="s">
        <v>54</v>
      </c>
      <c r="M115">
        <f t="shared" si="4"/>
        <v>2</v>
      </c>
      <c r="N115" s="5">
        <f t="shared" si="5"/>
        <v>2025</v>
      </c>
      <c r="O115" t="str">
        <f t="shared" si="6"/>
        <v>Saturday</v>
      </c>
      <c r="P115" t="str">
        <f t="shared" si="7"/>
        <v/>
      </c>
    </row>
    <row r="116" spans="1:16" x14ac:dyDescent="0.3">
      <c r="A116">
        <v>20114</v>
      </c>
      <c r="B116" s="1">
        <v>45659</v>
      </c>
      <c r="C116" t="s">
        <v>50</v>
      </c>
      <c r="D116" t="s">
        <v>18</v>
      </c>
      <c r="E116" t="s">
        <v>28</v>
      </c>
      <c r="F116" t="s">
        <v>33</v>
      </c>
      <c r="G116" t="s">
        <v>15</v>
      </c>
      <c r="H116">
        <v>636.74</v>
      </c>
      <c r="I116">
        <v>31</v>
      </c>
      <c r="J116">
        <v>3</v>
      </c>
      <c r="K116" t="s">
        <v>16</v>
      </c>
      <c r="M116">
        <f t="shared" si="4"/>
        <v>1</v>
      </c>
      <c r="N116" s="5">
        <f t="shared" si="5"/>
        <v>2025</v>
      </c>
      <c r="O116" t="str">
        <f t="shared" si="6"/>
        <v>Thursday</v>
      </c>
      <c r="P116" t="str">
        <f t="shared" si="7"/>
        <v/>
      </c>
    </row>
    <row r="117" spans="1:16" x14ac:dyDescent="0.3">
      <c r="A117">
        <v>20115</v>
      </c>
      <c r="B117" s="1">
        <v>45751</v>
      </c>
      <c r="C117" t="s">
        <v>47</v>
      </c>
      <c r="D117" t="s">
        <v>26</v>
      </c>
      <c r="E117" t="s">
        <v>42</v>
      </c>
      <c r="F117" t="s">
        <v>20</v>
      </c>
      <c r="G117" t="s">
        <v>29</v>
      </c>
      <c r="H117">
        <v>406.86</v>
      </c>
      <c r="I117">
        <v>56</v>
      </c>
      <c r="J117">
        <v>4</v>
      </c>
      <c r="K117" t="s">
        <v>16</v>
      </c>
      <c r="M117">
        <f t="shared" si="4"/>
        <v>2</v>
      </c>
      <c r="N117" s="5">
        <f t="shared" si="5"/>
        <v>2025</v>
      </c>
      <c r="O117" t="str">
        <f t="shared" si="6"/>
        <v>Friday</v>
      </c>
      <c r="P117" t="str">
        <f t="shared" si="7"/>
        <v/>
      </c>
    </row>
    <row r="118" spans="1:16" x14ac:dyDescent="0.3">
      <c r="A118">
        <v>20116</v>
      </c>
      <c r="B118" s="1">
        <v>45938</v>
      </c>
      <c r="C118" t="s">
        <v>47</v>
      </c>
      <c r="D118" t="s">
        <v>12</v>
      </c>
      <c r="E118" t="s">
        <v>13</v>
      </c>
      <c r="F118" t="s">
        <v>40</v>
      </c>
      <c r="G118" t="s">
        <v>27</v>
      </c>
      <c r="H118">
        <v>682.27</v>
      </c>
      <c r="I118">
        <v>65</v>
      </c>
      <c r="J118">
        <v>4</v>
      </c>
      <c r="K118" t="s">
        <v>16</v>
      </c>
      <c r="M118">
        <f t="shared" si="4"/>
        <v>4</v>
      </c>
      <c r="N118" s="5">
        <f t="shared" si="5"/>
        <v>2025</v>
      </c>
      <c r="O118" t="str">
        <f t="shared" si="6"/>
        <v>Wednesday</v>
      </c>
      <c r="P118" t="str">
        <f t="shared" si="7"/>
        <v>Fast Food</v>
      </c>
    </row>
    <row r="119" spans="1:16" x14ac:dyDescent="0.3">
      <c r="A119">
        <v>20117</v>
      </c>
      <c r="B119" s="1">
        <v>45696</v>
      </c>
      <c r="C119" t="s">
        <v>52</v>
      </c>
      <c r="D119" t="s">
        <v>36</v>
      </c>
      <c r="E119" t="s">
        <v>28</v>
      </c>
      <c r="F119" t="s">
        <v>33</v>
      </c>
      <c r="G119" t="s">
        <v>27</v>
      </c>
      <c r="H119">
        <v>1981.22</v>
      </c>
      <c r="I119">
        <v>73</v>
      </c>
      <c r="J119">
        <v>4</v>
      </c>
      <c r="K119" t="s">
        <v>16</v>
      </c>
      <c r="M119">
        <f t="shared" si="4"/>
        <v>1</v>
      </c>
      <c r="N119" s="5">
        <f t="shared" si="5"/>
        <v>2025</v>
      </c>
      <c r="O119" t="str">
        <f t="shared" si="6"/>
        <v>Saturday</v>
      </c>
      <c r="P119" t="str">
        <f t="shared" si="7"/>
        <v>Desserts</v>
      </c>
    </row>
    <row r="120" spans="1:16" x14ac:dyDescent="0.3">
      <c r="A120">
        <v>20118</v>
      </c>
      <c r="B120" s="1">
        <v>45871</v>
      </c>
      <c r="C120" t="s">
        <v>11</v>
      </c>
      <c r="D120" t="s">
        <v>31</v>
      </c>
      <c r="E120" t="s">
        <v>32</v>
      </c>
      <c r="F120" t="s">
        <v>33</v>
      </c>
      <c r="G120" t="s">
        <v>27</v>
      </c>
      <c r="H120">
        <v>1419.25</v>
      </c>
      <c r="I120">
        <v>18</v>
      </c>
      <c r="J120">
        <v>3</v>
      </c>
      <c r="K120" t="s">
        <v>16</v>
      </c>
      <c r="M120">
        <f t="shared" si="4"/>
        <v>3</v>
      </c>
      <c r="N120" s="5">
        <f t="shared" si="5"/>
        <v>2025</v>
      </c>
      <c r="O120" t="str">
        <f t="shared" si="6"/>
        <v>Saturday</v>
      </c>
      <c r="P120" t="str">
        <f t="shared" si="7"/>
        <v/>
      </c>
    </row>
    <row r="121" spans="1:16" x14ac:dyDescent="0.3">
      <c r="A121">
        <v>20119</v>
      </c>
      <c r="B121" s="1">
        <v>45877</v>
      </c>
      <c r="C121" t="s">
        <v>52</v>
      </c>
      <c r="D121" t="s">
        <v>12</v>
      </c>
      <c r="E121" t="s">
        <v>32</v>
      </c>
      <c r="F121" t="s">
        <v>35</v>
      </c>
      <c r="G121" t="s">
        <v>15</v>
      </c>
      <c r="H121">
        <v>2014.5</v>
      </c>
      <c r="I121">
        <v>54</v>
      </c>
      <c r="J121">
        <v>4</v>
      </c>
      <c r="K121" t="s">
        <v>54</v>
      </c>
      <c r="M121">
        <f t="shared" si="4"/>
        <v>3</v>
      </c>
      <c r="N121" s="5">
        <f t="shared" si="5"/>
        <v>2025</v>
      </c>
      <c r="O121" t="str">
        <f t="shared" si="6"/>
        <v>Friday</v>
      </c>
      <c r="P121" t="str">
        <f t="shared" si="7"/>
        <v/>
      </c>
    </row>
    <row r="122" spans="1:16" x14ac:dyDescent="0.3">
      <c r="A122">
        <v>20120</v>
      </c>
      <c r="B122" s="1">
        <v>45725</v>
      </c>
      <c r="C122" t="s">
        <v>55</v>
      </c>
      <c r="D122" t="s">
        <v>26</v>
      </c>
      <c r="E122" t="s">
        <v>19</v>
      </c>
      <c r="F122" t="s">
        <v>33</v>
      </c>
      <c r="G122" t="s">
        <v>15</v>
      </c>
      <c r="H122">
        <v>298.43</v>
      </c>
      <c r="I122">
        <v>49</v>
      </c>
      <c r="J122">
        <v>5</v>
      </c>
      <c r="K122" t="s">
        <v>16</v>
      </c>
      <c r="M122">
        <f t="shared" si="4"/>
        <v>1</v>
      </c>
      <c r="N122" s="5">
        <f t="shared" si="5"/>
        <v>2025</v>
      </c>
      <c r="O122" t="str">
        <f t="shared" si="6"/>
        <v>Sunday</v>
      </c>
      <c r="P122" t="str">
        <f t="shared" si="7"/>
        <v/>
      </c>
    </row>
    <row r="123" spans="1:16" x14ac:dyDescent="0.3">
      <c r="A123">
        <v>20121</v>
      </c>
      <c r="B123" s="1">
        <v>45978</v>
      </c>
      <c r="C123" t="s">
        <v>47</v>
      </c>
      <c r="D123" t="s">
        <v>18</v>
      </c>
      <c r="E123" t="s">
        <v>39</v>
      </c>
      <c r="F123" t="s">
        <v>14</v>
      </c>
      <c r="G123" t="s">
        <v>27</v>
      </c>
      <c r="H123">
        <v>1801.9</v>
      </c>
      <c r="I123">
        <v>56</v>
      </c>
      <c r="J123">
        <v>3</v>
      </c>
      <c r="K123" t="s">
        <v>16</v>
      </c>
      <c r="M123">
        <f t="shared" si="4"/>
        <v>4</v>
      </c>
      <c r="N123" s="5">
        <f t="shared" si="5"/>
        <v>2025</v>
      </c>
      <c r="O123" t="str">
        <f t="shared" si="6"/>
        <v>Monday</v>
      </c>
      <c r="P123" t="str">
        <f t="shared" si="7"/>
        <v/>
      </c>
    </row>
    <row r="124" spans="1:16" x14ac:dyDescent="0.3">
      <c r="A124">
        <v>20122</v>
      </c>
      <c r="B124" s="1">
        <v>45767</v>
      </c>
      <c r="C124" t="s">
        <v>55</v>
      </c>
      <c r="D124" t="s">
        <v>12</v>
      </c>
      <c r="E124" t="s">
        <v>32</v>
      </c>
      <c r="F124" t="s">
        <v>20</v>
      </c>
      <c r="G124" t="s">
        <v>29</v>
      </c>
      <c r="H124">
        <v>1921.94</v>
      </c>
      <c r="I124">
        <v>32</v>
      </c>
      <c r="J124">
        <v>5</v>
      </c>
      <c r="K124" t="s">
        <v>16</v>
      </c>
      <c r="M124">
        <f t="shared" si="4"/>
        <v>2</v>
      </c>
      <c r="N124" s="5">
        <f t="shared" si="5"/>
        <v>2025</v>
      </c>
      <c r="O124" t="str">
        <f t="shared" si="6"/>
        <v>Sunday</v>
      </c>
      <c r="P124" t="str">
        <f t="shared" si="7"/>
        <v/>
      </c>
    </row>
    <row r="125" spans="1:16" x14ac:dyDescent="0.3">
      <c r="A125">
        <v>20123</v>
      </c>
      <c r="B125" s="1">
        <v>45933</v>
      </c>
      <c r="C125" t="s">
        <v>56</v>
      </c>
      <c r="D125" t="s">
        <v>18</v>
      </c>
      <c r="E125" t="s">
        <v>42</v>
      </c>
      <c r="F125" t="s">
        <v>20</v>
      </c>
      <c r="G125" t="s">
        <v>15</v>
      </c>
      <c r="H125">
        <v>307.83</v>
      </c>
      <c r="I125">
        <v>38</v>
      </c>
      <c r="J125">
        <v>3</v>
      </c>
      <c r="K125" t="s">
        <v>54</v>
      </c>
      <c r="M125">
        <f t="shared" si="4"/>
        <v>4</v>
      </c>
      <c r="N125" s="5">
        <f t="shared" si="5"/>
        <v>2025</v>
      </c>
      <c r="O125" t="str">
        <f t="shared" si="6"/>
        <v>Friday</v>
      </c>
      <c r="P125" t="str">
        <f t="shared" si="7"/>
        <v/>
      </c>
    </row>
    <row r="126" spans="1:16" x14ac:dyDescent="0.3">
      <c r="A126">
        <v>20124</v>
      </c>
      <c r="B126" s="1">
        <v>45712</v>
      </c>
      <c r="C126" t="s">
        <v>50</v>
      </c>
      <c r="D126" t="s">
        <v>12</v>
      </c>
      <c r="E126" t="s">
        <v>19</v>
      </c>
      <c r="F126" t="s">
        <v>14</v>
      </c>
      <c r="G126" t="s">
        <v>29</v>
      </c>
      <c r="H126">
        <v>1703.63</v>
      </c>
      <c r="I126">
        <v>51</v>
      </c>
      <c r="J126">
        <v>1</v>
      </c>
      <c r="K126" t="s">
        <v>16</v>
      </c>
      <c r="M126">
        <f t="shared" si="4"/>
        <v>1</v>
      </c>
      <c r="N126" s="5">
        <f t="shared" si="5"/>
        <v>2025</v>
      </c>
      <c r="O126" t="str">
        <f t="shared" si="6"/>
        <v>Monday</v>
      </c>
      <c r="P126" t="str">
        <f t="shared" si="7"/>
        <v/>
      </c>
    </row>
    <row r="127" spans="1:16" x14ac:dyDescent="0.3">
      <c r="A127">
        <v>20125</v>
      </c>
      <c r="B127" s="1">
        <v>45858</v>
      </c>
      <c r="C127" t="s">
        <v>17</v>
      </c>
      <c r="D127" t="s">
        <v>36</v>
      </c>
      <c r="E127" t="s">
        <v>44</v>
      </c>
      <c r="F127" t="s">
        <v>20</v>
      </c>
      <c r="G127" t="s">
        <v>29</v>
      </c>
      <c r="H127">
        <v>551.62</v>
      </c>
      <c r="I127">
        <v>64</v>
      </c>
      <c r="J127">
        <v>4</v>
      </c>
      <c r="K127" t="s">
        <v>16</v>
      </c>
      <c r="M127">
        <f t="shared" si="4"/>
        <v>3</v>
      </c>
      <c r="N127" s="5">
        <f t="shared" si="5"/>
        <v>2025</v>
      </c>
      <c r="O127" t="str">
        <f t="shared" si="6"/>
        <v>Sunday</v>
      </c>
      <c r="P127" t="str">
        <f t="shared" si="7"/>
        <v>Chinese</v>
      </c>
    </row>
    <row r="128" spans="1:16" x14ac:dyDescent="0.3">
      <c r="A128">
        <v>20126</v>
      </c>
      <c r="B128" s="1">
        <v>45783</v>
      </c>
      <c r="C128" t="s">
        <v>50</v>
      </c>
      <c r="D128" t="s">
        <v>22</v>
      </c>
      <c r="E128" t="s">
        <v>46</v>
      </c>
      <c r="F128" t="s">
        <v>20</v>
      </c>
      <c r="G128" t="s">
        <v>29</v>
      </c>
      <c r="H128">
        <v>827.68</v>
      </c>
      <c r="I128">
        <v>74</v>
      </c>
      <c r="J128">
        <v>5</v>
      </c>
      <c r="K128" t="s">
        <v>16</v>
      </c>
      <c r="M128">
        <f t="shared" si="4"/>
        <v>2</v>
      </c>
      <c r="N128" s="5">
        <f t="shared" si="5"/>
        <v>2025</v>
      </c>
      <c r="O128" t="str">
        <f t="shared" si="6"/>
        <v>Tuesday</v>
      </c>
      <c r="P128" t="str">
        <f t="shared" si="7"/>
        <v>Chinese</v>
      </c>
    </row>
    <row r="129" spans="1:16" x14ac:dyDescent="0.3">
      <c r="A129">
        <v>20127</v>
      </c>
      <c r="B129" s="1">
        <v>46004</v>
      </c>
      <c r="C129" t="s">
        <v>11</v>
      </c>
      <c r="D129" t="s">
        <v>36</v>
      </c>
      <c r="E129" t="s">
        <v>28</v>
      </c>
      <c r="F129" t="s">
        <v>14</v>
      </c>
      <c r="G129" t="s">
        <v>29</v>
      </c>
      <c r="H129">
        <v>1348.01</v>
      </c>
      <c r="I129">
        <v>25</v>
      </c>
      <c r="J129">
        <v>5</v>
      </c>
      <c r="K129" t="s">
        <v>16</v>
      </c>
      <c r="M129">
        <f t="shared" si="4"/>
        <v>4</v>
      </c>
      <c r="N129" s="5">
        <f t="shared" si="5"/>
        <v>2025</v>
      </c>
      <c r="O129" t="str">
        <f t="shared" si="6"/>
        <v>Saturday</v>
      </c>
      <c r="P129" t="str">
        <f t="shared" si="7"/>
        <v/>
      </c>
    </row>
    <row r="130" spans="1:16" x14ac:dyDescent="0.3">
      <c r="A130">
        <v>20128</v>
      </c>
      <c r="B130" s="1">
        <v>45691</v>
      </c>
      <c r="C130" t="s">
        <v>25</v>
      </c>
      <c r="D130" t="s">
        <v>26</v>
      </c>
      <c r="E130" t="s">
        <v>13</v>
      </c>
      <c r="F130" t="s">
        <v>33</v>
      </c>
      <c r="G130" t="s">
        <v>15</v>
      </c>
      <c r="H130">
        <v>1516.53</v>
      </c>
      <c r="I130">
        <v>40</v>
      </c>
      <c r="J130">
        <v>5</v>
      </c>
      <c r="K130" t="s">
        <v>16</v>
      </c>
      <c r="M130">
        <f t="shared" si="4"/>
        <v>1</v>
      </c>
      <c r="N130" s="5">
        <f t="shared" si="5"/>
        <v>2025</v>
      </c>
      <c r="O130" t="str">
        <f t="shared" si="6"/>
        <v>Monday</v>
      </c>
      <c r="P130" t="str">
        <f t="shared" si="7"/>
        <v/>
      </c>
    </row>
    <row r="131" spans="1:16" x14ac:dyDescent="0.3">
      <c r="A131">
        <v>20129</v>
      </c>
      <c r="B131" s="1">
        <v>45765</v>
      </c>
      <c r="C131" t="s">
        <v>17</v>
      </c>
      <c r="D131" t="s">
        <v>12</v>
      </c>
      <c r="E131" t="s">
        <v>39</v>
      </c>
      <c r="F131" t="s">
        <v>33</v>
      </c>
      <c r="G131" t="s">
        <v>15</v>
      </c>
      <c r="H131">
        <v>500.87</v>
      </c>
      <c r="I131">
        <v>54</v>
      </c>
      <c r="J131">
        <v>3</v>
      </c>
      <c r="K131" t="s">
        <v>16</v>
      </c>
      <c r="M131">
        <f t="shared" ref="M131:M151" si="8">ROUNDUP(MONTH(B131)/3,0)</f>
        <v>2</v>
      </c>
      <c r="N131" s="5">
        <f t="shared" ref="N131:N151" si="9">YEAR(B131)</f>
        <v>2025</v>
      </c>
      <c r="O131" t="str">
        <f t="shared" ref="O131:O151" si="10">TEXT(B131,"dddd")</f>
        <v>Friday</v>
      </c>
      <c r="P131" t="str">
        <f t="shared" ref="P131:P151" si="11">IF(I131&gt;60,F131,"")</f>
        <v/>
      </c>
    </row>
    <row r="132" spans="1:16" x14ac:dyDescent="0.3">
      <c r="A132">
        <v>20130</v>
      </c>
      <c r="B132" s="1">
        <v>45880</v>
      </c>
      <c r="C132" t="s">
        <v>25</v>
      </c>
      <c r="D132" t="s">
        <v>22</v>
      </c>
      <c r="E132" t="s">
        <v>32</v>
      </c>
      <c r="F132" t="s">
        <v>35</v>
      </c>
      <c r="G132" t="s">
        <v>27</v>
      </c>
      <c r="H132">
        <v>1684.77</v>
      </c>
      <c r="I132">
        <v>73</v>
      </c>
      <c r="J132">
        <v>1</v>
      </c>
      <c r="K132" t="s">
        <v>16</v>
      </c>
      <c r="M132">
        <f t="shared" si="8"/>
        <v>3</v>
      </c>
      <c r="N132" s="5">
        <f t="shared" si="9"/>
        <v>2025</v>
      </c>
      <c r="O132" t="str">
        <f t="shared" si="10"/>
        <v>Monday</v>
      </c>
      <c r="P132" t="str">
        <f t="shared" si="11"/>
        <v>South Indian</v>
      </c>
    </row>
    <row r="133" spans="1:16" x14ac:dyDescent="0.3">
      <c r="A133">
        <v>20131</v>
      </c>
      <c r="B133" s="1">
        <v>45982</v>
      </c>
      <c r="C133" t="s">
        <v>52</v>
      </c>
      <c r="D133" t="s">
        <v>36</v>
      </c>
      <c r="E133" t="s">
        <v>42</v>
      </c>
      <c r="F133" t="s">
        <v>20</v>
      </c>
      <c r="G133" t="s">
        <v>15</v>
      </c>
      <c r="H133">
        <v>1918.85</v>
      </c>
      <c r="I133">
        <v>36</v>
      </c>
      <c r="J133">
        <v>4</v>
      </c>
      <c r="K133" t="s">
        <v>16</v>
      </c>
      <c r="M133">
        <f t="shared" si="8"/>
        <v>4</v>
      </c>
      <c r="N133" s="5">
        <f t="shared" si="9"/>
        <v>2025</v>
      </c>
      <c r="O133" t="str">
        <f t="shared" si="10"/>
        <v>Friday</v>
      </c>
      <c r="P133" t="str">
        <f t="shared" si="11"/>
        <v/>
      </c>
    </row>
    <row r="134" spans="1:16" x14ac:dyDescent="0.3">
      <c r="A134">
        <v>20132</v>
      </c>
      <c r="B134" s="1">
        <v>45858</v>
      </c>
      <c r="C134" t="s">
        <v>56</v>
      </c>
      <c r="D134" t="s">
        <v>22</v>
      </c>
      <c r="E134" t="s">
        <v>44</v>
      </c>
      <c r="F134" t="s">
        <v>40</v>
      </c>
      <c r="G134" t="s">
        <v>27</v>
      </c>
      <c r="H134">
        <v>1479.52</v>
      </c>
      <c r="I134">
        <v>39</v>
      </c>
      <c r="J134">
        <v>3</v>
      </c>
      <c r="K134" t="s">
        <v>16</v>
      </c>
      <c r="M134">
        <f t="shared" si="8"/>
        <v>3</v>
      </c>
      <c r="N134" s="5">
        <f t="shared" si="9"/>
        <v>2025</v>
      </c>
      <c r="O134" t="str">
        <f t="shared" si="10"/>
        <v>Sunday</v>
      </c>
      <c r="P134" t="str">
        <f t="shared" si="11"/>
        <v/>
      </c>
    </row>
    <row r="135" spans="1:16" x14ac:dyDescent="0.3">
      <c r="A135">
        <v>20133</v>
      </c>
      <c r="B135" s="1">
        <v>45874</v>
      </c>
      <c r="C135" t="s">
        <v>51</v>
      </c>
      <c r="D135" t="s">
        <v>18</v>
      </c>
      <c r="E135" t="s">
        <v>39</v>
      </c>
      <c r="F135" t="s">
        <v>14</v>
      </c>
      <c r="G135" t="s">
        <v>29</v>
      </c>
      <c r="H135">
        <v>1634.69</v>
      </c>
      <c r="I135">
        <v>52</v>
      </c>
      <c r="J135">
        <v>1</v>
      </c>
      <c r="K135" t="s">
        <v>16</v>
      </c>
      <c r="M135">
        <f t="shared" si="8"/>
        <v>3</v>
      </c>
      <c r="N135" s="5">
        <f t="shared" si="9"/>
        <v>2025</v>
      </c>
      <c r="O135" t="str">
        <f t="shared" si="10"/>
        <v>Tuesday</v>
      </c>
      <c r="P135" t="str">
        <f t="shared" si="11"/>
        <v/>
      </c>
    </row>
    <row r="136" spans="1:16" x14ac:dyDescent="0.3">
      <c r="A136">
        <v>20134</v>
      </c>
      <c r="B136" s="1">
        <v>45881</v>
      </c>
      <c r="C136" t="s">
        <v>17</v>
      </c>
      <c r="D136" t="s">
        <v>31</v>
      </c>
      <c r="E136" t="s">
        <v>44</v>
      </c>
      <c r="F136" t="s">
        <v>23</v>
      </c>
      <c r="G136" t="s">
        <v>27</v>
      </c>
      <c r="H136">
        <v>187.78</v>
      </c>
      <c r="I136">
        <v>74</v>
      </c>
      <c r="J136">
        <v>1</v>
      </c>
      <c r="K136" t="s">
        <v>16</v>
      </c>
      <c r="M136">
        <f t="shared" si="8"/>
        <v>3</v>
      </c>
      <c r="N136" s="5">
        <f t="shared" si="9"/>
        <v>2025</v>
      </c>
      <c r="O136" t="str">
        <f t="shared" si="10"/>
        <v>Tuesday</v>
      </c>
      <c r="P136" t="str">
        <f t="shared" si="11"/>
        <v>North Indian</v>
      </c>
    </row>
    <row r="137" spans="1:16" x14ac:dyDescent="0.3">
      <c r="A137">
        <v>20135</v>
      </c>
      <c r="B137" s="1">
        <v>45741</v>
      </c>
      <c r="C137" t="s">
        <v>49</v>
      </c>
      <c r="D137" t="s">
        <v>26</v>
      </c>
      <c r="E137" t="s">
        <v>37</v>
      </c>
      <c r="F137" t="s">
        <v>33</v>
      </c>
      <c r="G137" t="s">
        <v>15</v>
      </c>
      <c r="H137">
        <v>1954.96</v>
      </c>
      <c r="I137">
        <v>30</v>
      </c>
      <c r="J137">
        <v>3</v>
      </c>
      <c r="K137" t="s">
        <v>16</v>
      </c>
      <c r="M137">
        <f t="shared" si="8"/>
        <v>1</v>
      </c>
      <c r="N137" s="5">
        <f t="shared" si="9"/>
        <v>2025</v>
      </c>
      <c r="O137" t="str">
        <f t="shared" si="10"/>
        <v>Tuesday</v>
      </c>
      <c r="P137" t="str">
        <f t="shared" si="11"/>
        <v/>
      </c>
    </row>
    <row r="138" spans="1:16" x14ac:dyDescent="0.3">
      <c r="A138">
        <v>20136</v>
      </c>
      <c r="B138" s="1">
        <v>45884</v>
      </c>
      <c r="C138" t="s">
        <v>53</v>
      </c>
      <c r="D138" t="s">
        <v>12</v>
      </c>
      <c r="E138" t="s">
        <v>44</v>
      </c>
      <c r="F138" t="s">
        <v>40</v>
      </c>
      <c r="G138" t="s">
        <v>15</v>
      </c>
      <c r="H138">
        <v>1127.8800000000001</v>
      </c>
      <c r="I138">
        <v>50</v>
      </c>
      <c r="J138">
        <v>3</v>
      </c>
      <c r="K138" t="s">
        <v>16</v>
      </c>
      <c r="M138">
        <f t="shared" si="8"/>
        <v>3</v>
      </c>
      <c r="N138" s="5">
        <f t="shared" si="9"/>
        <v>2025</v>
      </c>
      <c r="O138" t="str">
        <f t="shared" si="10"/>
        <v>Friday</v>
      </c>
      <c r="P138" t="str">
        <f t="shared" si="11"/>
        <v/>
      </c>
    </row>
    <row r="139" spans="1:16" x14ac:dyDescent="0.3">
      <c r="A139">
        <v>20137</v>
      </c>
      <c r="B139" s="1">
        <v>45912</v>
      </c>
      <c r="C139" t="s">
        <v>47</v>
      </c>
      <c r="D139" t="s">
        <v>22</v>
      </c>
      <c r="E139" t="s">
        <v>48</v>
      </c>
      <c r="F139" t="s">
        <v>20</v>
      </c>
      <c r="G139" t="s">
        <v>15</v>
      </c>
      <c r="H139">
        <v>1016.79</v>
      </c>
      <c r="I139">
        <v>44</v>
      </c>
      <c r="J139">
        <v>2</v>
      </c>
      <c r="K139" t="s">
        <v>16</v>
      </c>
      <c r="M139">
        <f t="shared" si="8"/>
        <v>3</v>
      </c>
      <c r="N139" s="5">
        <f t="shared" si="9"/>
        <v>2025</v>
      </c>
      <c r="O139" t="str">
        <f t="shared" si="10"/>
        <v>Friday</v>
      </c>
      <c r="P139" t="str">
        <f t="shared" si="11"/>
        <v/>
      </c>
    </row>
    <row r="140" spans="1:16" x14ac:dyDescent="0.3">
      <c r="A140">
        <v>20138</v>
      </c>
      <c r="B140" s="1">
        <v>45837</v>
      </c>
      <c r="C140" t="s">
        <v>21</v>
      </c>
      <c r="D140" t="s">
        <v>26</v>
      </c>
      <c r="E140" t="s">
        <v>28</v>
      </c>
      <c r="F140" t="s">
        <v>40</v>
      </c>
      <c r="G140" t="s">
        <v>29</v>
      </c>
      <c r="H140">
        <v>623.51</v>
      </c>
      <c r="I140">
        <v>50</v>
      </c>
      <c r="J140">
        <v>3</v>
      </c>
      <c r="K140" t="s">
        <v>16</v>
      </c>
      <c r="M140">
        <f t="shared" si="8"/>
        <v>2</v>
      </c>
      <c r="N140" s="5">
        <f t="shared" si="9"/>
        <v>2025</v>
      </c>
      <c r="O140" t="str">
        <f t="shared" si="10"/>
        <v>Sunday</v>
      </c>
      <c r="P140" t="str">
        <f t="shared" si="11"/>
        <v/>
      </c>
    </row>
    <row r="141" spans="1:16" x14ac:dyDescent="0.3">
      <c r="A141">
        <v>20139</v>
      </c>
      <c r="B141" s="1">
        <v>45783</v>
      </c>
      <c r="C141" t="s">
        <v>51</v>
      </c>
      <c r="D141" t="s">
        <v>12</v>
      </c>
      <c r="E141" t="s">
        <v>46</v>
      </c>
      <c r="F141" t="s">
        <v>40</v>
      </c>
      <c r="G141" t="s">
        <v>27</v>
      </c>
      <c r="H141">
        <v>344.7</v>
      </c>
      <c r="I141">
        <v>30</v>
      </c>
      <c r="J141">
        <v>1</v>
      </c>
      <c r="K141" t="s">
        <v>16</v>
      </c>
      <c r="M141">
        <f t="shared" si="8"/>
        <v>2</v>
      </c>
      <c r="N141" s="5">
        <f t="shared" si="9"/>
        <v>2025</v>
      </c>
      <c r="O141" t="str">
        <f t="shared" si="10"/>
        <v>Tuesday</v>
      </c>
      <c r="P141" t="str">
        <f t="shared" si="11"/>
        <v/>
      </c>
    </row>
    <row r="142" spans="1:16" x14ac:dyDescent="0.3">
      <c r="A142">
        <v>20140</v>
      </c>
      <c r="B142" s="1">
        <v>45848</v>
      </c>
      <c r="C142" t="s">
        <v>34</v>
      </c>
      <c r="D142" t="s">
        <v>12</v>
      </c>
      <c r="E142" t="s">
        <v>39</v>
      </c>
      <c r="F142" t="s">
        <v>40</v>
      </c>
      <c r="G142" t="s">
        <v>27</v>
      </c>
      <c r="H142">
        <v>178.93</v>
      </c>
      <c r="I142">
        <v>19</v>
      </c>
      <c r="J142">
        <v>4</v>
      </c>
      <c r="K142" t="s">
        <v>16</v>
      </c>
      <c r="M142">
        <f t="shared" si="8"/>
        <v>3</v>
      </c>
      <c r="N142" s="5">
        <f t="shared" si="9"/>
        <v>2025</v>
      </c>
      <c r="O142" t="str">
        <f t="shared" si="10"/>
        <v>Thursday</v>
      </c>
      <c r="P142" t="str">
        <f t="shared" si="11"/>
        <v/>
      </c>
    </row>
    <row r="143" spans="1:16" x14ac:dyDescent="0.3">
      <c r="A143">
        <v>20141</v>
      </c>
      <c r="B143" s="1">
        <v>46001</v>
      </c>
      <c r="C143" t="s">
        <v>30</v>
      </c>
      <c r="D143" t="s">
        <v>36</v>
      </c>
      <c r="E143" t="s">
        <v>32</v>
      </c>
      <c r="F143" t="s">
        <v>35</v>
      </c>
      <c r="G143" t="s">
        <v>15</v>
      </c>
      <c r="H143">
        <v>903.86</v>
      </c>
      <c r="I143">
        <v>36</v>
      </c>
      <c r="J143">
        <v>5</v>
      </c>
      <c r="K143" t="s">
        <v>24</v>
      </c>
      <c r="M143">
        <f t="shared" si="8"/>
        <v>4</v>
      </c>
      <c r="N143" s="5">
        <f t="shared" si="9"/>
        <v>2025</v>
      </c>
      <c r="O143" t="str">
        <f t="shared" si="10"/>
        <v>Wednesday</v>
      </c>
      <c r="P143" t="str">
        <f t="shared" si="11"/>
        <v/>
      </c>
    </row>
    <row r="144" spans="1:16" x14ac:dyDescent="0.3">
      <c r="A144">
        <v>20142</v>
      </c>
      <c r="B144" s="1">
        <v>45765</v>
      </c>
      <c r="C144" t="s">
        <v>45</v>
      </c>
      <c r="D144" t="s">
        <v>31</v>
      </c>
      <c r="E144" t="s">
        <v>28</v>
      </c>
      <c r="F144" t="s">
        <v>23</v>
      </c>
      <c r="G144" t="s">
        <v>15</v>
      </c>
      <c r="H144">
        <v>1753.85</v>
      </c>
      <c r="I144">
        <v>18</v>
      </c>
      <c r="J144">
        <v>2</v>
      </c>
      <c r="K144" t="s">
        <v>16</v>
      </c>
      <c r="M144">
        <f t="shared" si="8"/>
        <v>2</v>
      </c>
      <c r="N144" s="5">
        <f t="shared" si="9"/>
        <v>2025</v>
      </c>
      <c r="O144" t="str">
        <f t="shared" si="10"/>
        <v>Friday</v>
      </c>
      <c r="P144" t="str">
        <f t="shared" si="11"/>
        <v/>
      </c>
    </row>
    <row r="145" spans="1:16" x14ac:dyDescent="0.3">
      <c r="A145">
        <v>20143</v>
      </c>
      <c r="B145" s="1">
        <v>45900</v>
      </c>
      <c r="C145" t="s">
        <v>56</v>
      </c>
      <c r="D145" t="s">
        <v>26</v>
      </c>
      <c r="E145" t="s">
        <v>32</v>
      </c>
      <c r="F145" t="s">
        <v>33</v>
      </c>
      <c r="G145" t="s">
        <v>29</v>
      </c>
      <c r="H145">
        <v>1620.57</v>
      </c>
      <c r="I145">
        <v>15</v>
      </c>
      <c r="J145">
        <v>5</v>
      </c>
      <c r="K145" t="s">
        <v>16</v>
      </c>
      <c r="M145">
        <f t="shared" si="8"/>
        <v>3</v>
      </c>
      <c r="N145" s="5">
        <f t="shared" si="9"/>
        <v>2025</v>
      </c>
      <c r="O145" t="str">
        <f t="shared" si="10"/>
        <v>Sunday</v>
      </c>
      <c r="P145" t="str">
        <f t="shared" si="11"/>
        <v/>
      </c>
    </row>
    <row r="146" spans="1:16" x14ac:dyDescent="0.3">
      <c r="A146">
        <v>20144</v>
      </c>
      <c r="B146" s="1">
        <v>45762</v>
      </c>
      <c r="C146" t="s">
        <v>34</v>
      </c>
      <c r="D146" t="s">
        <v>36</v>
      </c>
      <c r="E146" t="s">
        <v>42</v>
      </c>
      <c r="F146" t="s">
        <v>20</v>
      </c>
      <c r="G146" t="s">
        <v>29</v>
      </c>
      <c r="H146">
        <v>1907.18</v>
      </c>
      <c r="I146">
        <v>51</v>
      </c>
      <c r="J146">
        <v>3</v>
      </c>
      <c r="K146" t="s">
        <v>16</v>
      </c>
      <c r="M146">
        <f t="shared" si="8"/>
        <v>2</v>
      </c>
      <c r="N146" s="5">
        <f t="shared" si="9"/>
        <v>2025</v>
      </c>
      <c r="O146" t="str">
        <f t="shared" si="10"/>
        <v>Tuesday</v>
      </c>
      <c r="P146" t="str">
        <f t="shared" si="11"/>
        <v/>
      </c>
    </row>
    <row r="147" spans="1:16" x14ac:dyDescent="0.3">
      <c r="A147">
        <v>20145</v>
      </c>
      <c r="B147" s="1">
        <v>45954</v>
      </c>
      <c r="C147" t="s">
        <v>38</v>
      </c>
      <c r="D147" t="s">
        <v>18</v>
      </c>
      <c r="E147" t="s">
        <v>44</v>
      </c>
      <c r="F147" t="s">
        <v>35</v>
      </c>
      <c r="G147" t="s">
        <v>15</v>
      </c>
      <c r="H147">
        <v>1923.9</v>
      </c>
      <c r="I147">
        <v>32</v>
      </c>
      <c r="J147">
        <v>5</v>
      </c>
      <c r="K147" t="s">
        <v>16</v>
      </c>
      <c r="M147">
        <f t="shared" si="8"/>
        <v>4</v>
      </c>
      <c r="N147" s="5">
        <f t="shared" si="9"/>
        <v>2025</v>
      </c>
      <c r="O147" t="str">
        <f t="shared" si="10"/>
        <v>Friday</v>
      </c>
      <c r="P147" t="str">
        <f t="shared" si="11"/>
        <v/>
      </c>
    </row>
    <row r="148" spans="1:16" x14ac:dyDescent="0.3">
      <c r="A148">
        <v>20146</v>
      </c>
      <c r="B148" s="1">
        <v>45868</v>
      </c>
      <c r="C148" t="s">
        <v>50</v>
      </c>
      <c r="D148" t="s">
        <v>18</v>
      </c>
      <c r="E148" t="s">
        <v>44</v>
      </c>
      <c r="F148" t="s">
        <v>20</v>
      </c>
      <c r="G148" t="s">
        <v>27</v>
      </c>
      <c r="H148">
        <v>1521.43</v>
      </c>
      <c r="I148">
        <v>65</v>
      </c>
      <c r="J148">
        <v>5</v>
      </c>
      <c r="K148" t="s">
        <v>24</v>
      </c>
      <c r="M148">
        <f t="shared" si="8"/>
        <v>3</v>
      </c>
      <c r="N148" s="5">
        <f t="shared" si="9"/>
        <v>2025</v>
      </c>
      <c r="O148" t="str">
        <f t="shared" si="10"/>
        <v>Wednesday</v>
      </c>
      <c r="P148" t="str">
        <f t="shared" si="11"/>
        <v>Chinese</v>
      </c>
    </row>
    <row r="149" spans="1:16" x14ac:dyDescent="0.3">
      <c r="A149">
        <v>20147</v>
      </c>
      <c r="B149" s="1">
        <v>45973</v>
      </c>
      <c r="C149" t="s">
        <v>38</v>
      </c>
      <c r="D149" t="s">
        <v>22</v>
      </c>
      <c r="E149" t="s">
        <v>32</v>
      </c>
      <c r="F149" t="s">
        <v>14</v>
      </c>
      <c r="G149" t="s">
        <v>27</v>
      </c>
      <c r="H149">
        <v>1447.05</v>
      </c>
      <c r="I149">
        <v>70</v>
      </c>
      <c r="J149">
        <v>4</v>
      </c>
      <c r="K149" t="s">
        <v>16</v>
      </c>
      <c r="M149">
        <f t="shared" si="8"/>
        <v>4</v>
      </c>
      <c r="N149" s="5">
        <f t="shared" si="9"/>
        <v>2025</v>
      </c>
      <c r="O149" t="str">
        <f t="shared" si="10"/>
        <v>Wednesday</v>
      </c>
      <c r="P149" t="str">
        <f t="shared" si="11"/>
        <v>Italian</v>
      </c>
    </row>
    <row r="150" spans="1:16" x14ac:dyDescent="0.3">
      <c r="A150">
        <v>20148</v>
      </c>
      <c r="B150" s="1">
        <v>45772</v>
      </c>
      <c r="C150" t="s">
        <v>50</v>
      </c>
      <c r="D150" t="s">
        <v>18</v>
      </c>
      <c r="E150" t="s">
        <v>44</v>
      </c>
      <c r="F150" t="s">
        <v>23</v>
      </c>
      <c r="G150" t="s">
        <v>27</v>
      </c>
      <c r="H150">
        <v>1944.45</v>
      </c>
      <c r="I150">
        <v>30</v>
      </c>
      <c r="J150">
        <v>5</v>
      </c>
      <c r="K150" t="s">
        <v>16</v>
      </c>
      <c r="M150">
        <f t="shared" si="8"/>
        <v>2</v>
      </c>
      <c r="N150" s="5">
        <f t="shared" si="9"/>
        <v>2025</v>
      </c>
      <c r="O150" t="str">
        <f t="shared" si="10"/>
        <v>Friday</v>
      </c>
      <c r="P150" t="str">
        <f t="shared" si="11"/>
        <v/>
      </c>
    </row>
    <row r="151" spans="1:16" x14ac:dyDescent="0.3">
      <c r="A151">
        <v>20149</v>
      </c>
      <c r="B151" s="1">
        <v>46016</v>
      </c>
      <c r="C151" t="s">
        <v>56</v>
      </c>
      <c r="D151" t="s">
        <v>18</v>
      </c>
      <c r="E151" t="s">
        <v>37</v>
      </c>
      <c r="F151" t="s">
        <v>40</v>
      </c>
      <c r="G151" t="s">
        <v>29</v>
      </c>
      <c r="H151">
        <v>1595.4</v>
      </c>
      <c r="I151">
        <v>32</v>
      </c>
      <c r="J151">
        <v>5</v>
      </c>
      <c r="K151" t="s">
        <v>16</v>
      </c>
      <c r="M151">
        <f t="shared" si="8"/>
        <v>4</v>
      </c>
      <c r="N151" s="5">
        <f t="shared" si="9"/>
        <v>2025</v>
      </c>
      <c r="O151" t="str">
        <f t="shared" si="10"/>
        <v>Thursday</v>
      </c>
      <c r="P151" t="str">
        <f t="shared" si="11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abSelected="1" topLeftCell="A19" zoomScaleNormal="100" workbookViewId="0">
      <selection activeCell="B38" sqref="B38"/>
    </sheetView>
  </sheetViews>
  <sheetFormatPr defaultColWidth="8.6640625" defaultRowHeight="14.4" x14ac:dyDescent="0.3"/>
  <cols>
    <col min="1" max="1" width="125.5546875" bestFit="1" customWidth="1"/>
    <col min="2" max="2" width="40" customWidth="1"/>
    <col min="4" max="4" width="12.5546875" bestFit="1" customWidth="1"/>
  </cols>
  <sheetData>
    <row r="1" spans="1:6" ht="17.399999999999999" x14ac:dyDescent="0.3">
      <c r="A1" s="4" t="s">
        <v>57</v>
      </c>
    </row>
    <row r="2" spans="1:6" x14ac:dyDescent="0.3">
      <c r="A2" t="s">
        <v>58</v>
      </c>
      <c r="D2" t="s">
        <v>96</v>
      </c>
    </row>
    <row r="3" spans="1:6" x14ac:dyDescent="0.3">
      <c r="D3" t="str" cm="1">
        <f t="array" ref="D3:D8">_xlfn.UNIQUE(Data!F2:F151)</f>
        <v>Italian</v>
      </c>
      <c r="E3">
        <f>SUMIFS(Data!H2:H151,Data!J2:J151,"=5",Data!F2:F151,'Formula Test'!D3)</f>
        <v>5594.2400000000007</v>
      </c>
    </row>
    <row r="4" spans="1:6" x14ac:dyDescent="0.3">
      <c r="A4" s="2" t="s">
        <v>59</v>
      </c>
      <c r="B4">
        <f>SUMIFS(Data!H2:H151,Data!E2:E151,"Pizza Point",Data!G2:G151,"Swiggy")</f>
        <v>9624.7099999999991</v>
      </c>
      <c r="D4" t="str">
        <v>Chinese</v>
      </c>
      <c r="E4">
        <f>SUMIFS(Data!H3:H152,Data!J3:J152,"=5",Data!F3:F152,'Formula Test'!D4)</f>
        <v>7596.2900000000009</v>
      </c>
    </row>
    <row r="5" spans="1:6" x14ac:dyDescent="0.3">
      <c r="A5" s="2" t="s">
        <v>60</v>
      </c>
      <c r="B5">
        <f>COUNTIFS(Data!J2:J151,"&lt;3",Data!K2:K151,"Cancelled")</f>
        <v>1</v>
      </c>
      <c r="D5" t="str">
        <v>North Indian</v>
      </c>
      <c r="E5">
        <f>SUMIFS(Data!H4:H153,Data!J4:J153,"=5",Data!F4:F153,'Formula Test'!D5)</f>
        <v>9525.1500000000015</v>
      </c>
    </row>
    <row r="6" spans="1:6" x14ac:dyDescent="0.3">
      <c r="A6" s="2" t="s">
        <v>61</v>
      </c>
      <c r="B6" t="str">
        <f>_xlfn.XLOOKUP(20040,Data!A2:A151,Data!E2:E151,"",0)</f>
        <v>Noodle Bar</v>
      </c>
      <c r="D6" t="str">
        <v>Desserts</v>
      </c>
      <c r="E6">
        <f>SUMIFS(Data!H5:H154,Data!J5:J154,"=5",Data!F5:F154,'Formula Test'!D6)</f>
        <v>13633.1</v>
      </c>
    </row>
    <row r="7" spans="1:6" x14ac:dyDescent="0.3">
      <c r="A7" s="2" t="s">
        <v>62</v>
      </c>
      <c r="B7">
        <f>AVERAGEIFS(Data!I2:I151,Data!D2:D151,"Bangalore",Data!G2:G151,"Own Fleet")</f>
        <v>37</v>
      </c>
      <c r="D7" t="str">
        <v>South Indian</v>
      </c>
      <c r="E7">
        <f>SUMIFS(Data!H6:H155,Data!J6:J155,"=5",Data!F6:F155,'Formula Test'!D7)</f>
        <v>6750.99</v>
      </c>
    </row>
    <row r="8" spans="1:6" x14ac:dyDescent="0.3">
      <c r="A8" s="2" t="s">
        <v>63</v>
      </c>
      <c r="B8">
        <f>SUMIF(Data!K2:K151,"Delivered",Data!H2:H151)</f>
        <v>167128.15999999995</v>
      </c>
      <c r="D8" t="str">
        <v>Fast Food</v>
      </c>
      <c r="E8">
        <f>SUMIFS(Data!H7:H156,Data!J7:J156,"=5",Data!F7:F156,'Formula Test'!D8)</f>
        <v>6872.67</v>
      </c>
    </row>
    <row r="9" spans="1:6" x14ac:dyDescent="0.3">
      <c r="A9" s="2" t="s">
        <v>64</v>
      </c>
      <c r="B9" t="str">
        <f>IF(Data!I2&lt;=30,"Fast",IF(Data!I2&lt;=50,"Medium","Slow"))</f>
        <v>Slow</v>
      </c>
    </row>
    <row r="10" spans="1:6" x14ac:dyDescent="0.3">
      <c r="A10" s="2" t="s">
        <v>65</v>
      </c>
      <c r="B10" t="str">
        <f>TEXT(Data!B27,"mmmm yyyy")</f>
        <v>April 2025</v>
      </c>
    </row>
    <row r="11" spans="1:6" x14ac:dyDescent="0.3">
      <c r="A11" s="2" t="s">
        <v>66</v>
      </c>
      <c r="B11" cm="1">
        <f t="array" ref="B11">SUMPRODUCT((Data!D2:D151="Chennai")*(Data!F2:F151="South Indian"),Data!H2:H151)</f>
        <v>8540.01</v>
      </c>
      <c r="D11" t="s">
        <v>94</v>
      </c>
      <c r="F11" t="s">
        <v>95</v>
      </c>
    </row>
    <row r="12" spans="1:6" x14ac:dyDescent="0.3">
      <c r="A12" s="2" t="s">
        <v>67</v>
      </c>
      <c r="B12" t="s">
        <v>93</v>
      </c>
      <c r="D12" t="str" cm="1">
        <f t="array" ref="D12:D21">_xlfn._xlws.SORT(_xlfn.UNIQUE(Data!E2:E151))</f>
        <v>Bella Napoli</v>
      </c>
      <c r="F12" cm="1">
        <f t="array" ref="F12:F23">_xlfn._xlws.FILTER(Data!A2:A151,(Data!G2:G151="Own Fleet")*(Data!J2:J151=5))</f>
        <v>20005</v>
      </c>
    </row>
    <row r="13" spans="1:6" x14ac:dyDescent="0.3">
      <c r="A13" s="2" t="s">
        <v>68</v>
      </c>
      <c r="B13" t="s">
        <v>93</v>
      </c>
      <c r="D13" t="str">
        <v>Burger Barn</v>
      </c>
      <c r="F13">
        <v>20027</v>
      </c>
    </row>
    <row r="14" spans="1:6" x14ac:dyDescent="0.3">
      <c r="A14" s="2" t="s">
        <v>69</v>
      </c>
      <c r="B14">
        <f>COUNTIF(Data!C2:C151,"*Kaur*")</f>
        <v>10</v>
      </c>
      <c r="D14" t="str">
        <v>Curry House</v>
      </c>
      <c r="F14">
        <v>20034</v>
      </c>
    </row>
    <row r="15" spans="1:6" x14ac:dyDescent="0.3">
      <c r="A15" s="2" t="s">
        <v>70</v>
      </c>
      <c r="B15" t="str" cm="1">
        <f t="array" ref="B15">_xlfn.XLOOKUP(MAX(E3:E8),E3:E8,_xlfn.ANCHORARRAY(D3),"")</f>
        <v>Desserts</v>
      </c>
      <c r="D15" t="str">
        <v>Dosa Junction</v>
      </c>
      <c r="F15">
        <v>20064</v>
      </c>
    </row>
    <row r="16" spans="1:6" x14ac:dyDescent="0.3">
      <c r="A16" s="2" t="s">
        <v>71</v>
      </c>
      <c r="B16" cm="1">
        <f t="array" ref="B16">COUNTA(_xlfn.UNIQUE(_xlfn._xlws.FILTER(Data!C2:C151,Data!E2:E151="Sweet Tooth","")))</f>
        <v>10</v>
      </c>
      <c r="D16" t="str">
        <v>Idli Express</v>
      </c>
      <c r="F16">
        <v>20101</v>
      </c>
    </row>
    <row r="17" spans="1:6" x14ac:dyDescent="0.3">
      <c r="A17" s="2" t="s">
        <v>72</v>
      </c>
      <c r="B17">
        <f>LARGE(Data!I2:I151,2)</f>
        <v>74</v>
      </c>
      <c r="D17" t="str">
        <v>Noodle Bar</v>
      </c>
      <c r="F17">
        <v>20109</v>
      </c>
    </row>
    <row r="18" spans="1:6" x14ac:dyDescent="0.3">
      <c r="A18" s="2" t="s">
        <v>73</v>
      </c>
      <c r="B18" t="str">
        <f>_xlfn.XLOOKUP(MAX(Data!H2:H151),Data!H2:H151,Data!C2:C151,"",0)</f>
        <v>Devansh Shah</v>
      </c>
      <c r="D18" t="str">
        <v>Pizza Point</v>
      </c>
      <c r="F18">
        <v>20110</v>
      </c>
    </row>
    <row r="19" spans="1:6" x14ac:dyDescent="0.3">
      <c r="A19" s="2" t="s">
        <v>74</v>
      </c>
      <c r="B19">
        <f>COUNTIFS(Data!M2:M151,1,Data!N2:N151,2025)</f>
        <v>38</v>
      </c>
      <c r="D19" t="str">
        <v>Spice Route</v>
      </c>
      <c r="F19">
        <v>20122</v>
      </c>
    </row>
    <row r="20" spans="1:6" x14ac:dyDescent="0.3">
      <c r="A20" s="2" t="s">
        <v>75</v>
      </c>
      <c r="B20" s="6">
        <f>COUNTIF(Data!K2:K151,"Returned")/COUNTA(Data!K2:K151)</f>
        <v>5.3333333333333337E-2</v>
      </c>
      <c r="D20" t="str">
        <v>Sweet Tooth</v>
      </c>
      <c r="F20">
        <v>20126</v>
      </c>
    </row>
    <row r="21" spans="1:6" x14ac:dyDescent="0.3">
      <c r="A21" s="2" t="s">
        <v>76</v>
      </c>
      <c r="B21" t="str" cm="1">
        <f t="array" ref="B21">INDEX(Data!F2:F151,MATCH(MAX(COUNTIF(Data!F2:F151,Data!F2:F151)),COUNTIF(Data!F2:F151,Data!F2:F151),0))</f>
        <v>Italian</v>
      </c>
      <c r="D21" t="str">
        <v>Wok This Way</v>
      </c>
      <c r="F21">
        <v>20127</v>
      </c>
    </row>
    <row r="22" spans="1:6" x14ac:dyDescent="0.3">
      <c r="A22" s="2" t="s">
        <v>77</v>
      </c>
      <c r="B22" t="s">
        <v>93</v>
      </c>
      <c r="F22">
        <v>20143</v>
      </c>
    </row>
    <row r="23" spans="1:6" x14ac:dyDescent="0.3">
      <c r="A23" s="2" t="s">
        <v>78</v>
      </c>
      <c r="B23" t="str">
        <f>TEXT(Data!B62,"dddd")</f>
        <v>Sunday</v>
      </c>
      <c r="F23">
        <v>20149</v>
      </c>
    </row>
    <row r="24" spans="1:6" x14ac:dyDescent="0.3">
      <c r="A24" s="2" t="s">
        <v>79</v>
      </c>
      <c r="B24">
        <f>AVERAGEIF(Data!H2:H151,"&gt;1500",Data!J2:J151)</f>
        <v>3.523076923076923</v>
      </c>
    </row>
    <row r="25" spans="1:6" x14ac:dyDescent="0.3">
      <c r="A25" s="2" t="s">
        <v>80</v>
      </c>
      <c r="B25" s="7" t="str" cm="1">
        <f t="array" ref="B25">INDEX(Data!P2:P151,MATCH(MAX(COUNTIF(Data!P2:P151,Data!P2:P151)*(Data!P2:P151&lt;&gt;"")),COUNTIF(Data!P2:P151,Data!P2:P151),0))</f>
        <v>Italian</v>
      </c>
      <c r="D25" t="s">
        <v>99</v>
      </c>
    </row>
    <row r="26" spans="1:6" x14ac:dyDescent="0.3">
      <c r="A26" s="2" t="s">
        <v>81</v>
      </c>
      <c r="B26" cm="1">
        <f t="array" ref="B26">COUNTA(_xlfn.UNIQUE(_xlfn._xlws.FILTER(Data!F2:F151,Data!D2:D151="Hyderabad","")))</f>
        <v>6</v>
      </c>
      <c r="D26" t="str" cm="1">
        <f t="array" ref="D26:D28">_xlfn.UNIQUE(Data!G2:G151)</f>
        <v>Zomato</v>
      </c>
      <c r="E26">
        <f>SUMIF(Data!G2:'Data'!G151,'Formula Test'!D26,Data!H2:H151)</f>
        <v>70305.17</v>
      </c>
    </row>
    <row r="27" spans="1:6" x14ac:dyDescent="0.3">
      <c r="A27" s="2" t="s">
        <v>82</v>
      </c>
      <c r="B27">
        <f ca="1">DATEDIF(Data!B12,TODAY(),"D")</f>
        <v>317</v>
      </c>
      <c r="D27" t="str">
        <v>Swiggy</v>
      </c>
      <c r="E27">
        <f>SUMIF(Data!G3:'Data'!G152,'Formula Test'!D27,Data!H3:H152)</f>
        <v>65512.229999999996</v>
      </c>
    </row>
    <row r="28" spans="1:6" x14ac:dyDescent="0.3">
      <c r="A28" s="2" t="s">
        <v>83</v>
      </c>
      <c r="B28" t="b" cm="1">
        <f t="array" ref="B28">SUMPRODUCT((Data!E2:E151="Bella Napoli")*(Data!J2:J151&lt;3))=0</f>
        <v>0</v>
      </c>
      <c r="D28" t="str">
        <v>Own Fleet</v>
      </c>
      <c r="E28">
        <f>SUMIF(Data!G4:'Data'!G153,'Formula Test'!D28,Data!H4:H153)</f>
        <v>51048.23000000001</v>
      </c>
    </row>
    <row r="29" spans="1:6" x14ac:dyDescent="0.3">
      <c r="A29" s="2" t="s">
        <v>84</v>
      </c>
      <c r="B29" t="str">
        <f>_xlfn.TEXTJOIN("-",TRUE,Data!C32,Data!D32)</f>
        <v>Karan Malhotra-Hyderabad</v>
      </c>
    </row>
    <row r="30" spans="1:6" x14ac:dyDescent="0.3">
      <c r="A30" s="9" t="s">
        <v>85</v>
      </c>
      <c r="B30" t="str">
        <f>_xlfn.TEXTJOIN(" to ",TRUE,D31,D32)</f>
        <v>Jan 2025 to Dec 2025</v>
      </c>
      <c r="D30" t="s">
        <v>100</v>
      </c>
    </row>
    <row r="31" spans="1:6" x14ac:dyDescent="0.3">
      <c r="A31" s="2" t="s">
        <v>86</v>
      </c>
      <c r="B31">
        <f>ROUND(AVERAGE(Data!H2:H151),0)</f>
        <v>1246</v>
      </c>
      <c r="D31" t="str">
        <f>TEXT(MIN(Data!B2:B151),"mmm yyyy")</f>
        <v>Jan 2025</v>
      </c>
    </row>
    <row r="32" spans="1:6" x14ac:dyDescent="0.3">
      <c r="A32" s="9" t="s">
        <v>87</v>
      </c>
      <c r="B32" s="10" t="str">
        <f>_xlfn.XLOOKUP(MIN(F35:F44),F35:F44,D35:D44,"",0)</f>
        <v>Noodle Bar</v>
      </c>
      <c r="D32" t="str">
        <f>TEXT(MAX(Data!B3:B152),"mmm yyyy")</f>
        <v>Dec 2025</v>
      </c>
    </row>
    <row r="33" spans="1:6" x14ac:dyDescent="0.3">
      <c r="A33" s="2" t="s">
        <v>88</v>
      </c>
      <c r="B33">
        <f>_xlfn.RANK.EQ(Data!H7,Data!H2:H151)</f>
        <v>75</v>
      </c>
    </row>
    <row r="34" spans="1:6" x14ac:dyDescent="0.3">
      <c r="A34" s="2" t="s">
        <v>89</v>
      </c>
      <c r="B34" t="str">
        <f>LEFT(Data!E17,SEARCH(" ",Data!E17,1)-1)</f>
        <v>Bella</v>
      </c>
      <c r="D34" t="s">
        <v>103</v>
      </c>
    </row>
    <row r="35" spans="1:6" x14ac:dyDescent="0.3">
      <c r="A35" s="2" t="s">
        <v>90</v>
      </c>
      <c r="B35" cm="1">
        <f t="array" ref="B35">SUMPRODUCT((Data!O2:O151="Saturday")+(Data!O2:O151="Sunday"),Data!H2:H151)</f>
        <v>63958.450000000019</v>
      </c>
      <c r="D35" t="str" cm="1">
        <f t="array" ref="D35:D44">_xlfn._xlws.SORT(_xlfn.UNIQUE(Data!E2:E151))</f>
        <v>Bella Napoli</v>
      </c>
      <c r="E35">
        <f>COUNTIF(Data!$E$2:$E$151,'Formula Test'!D35)</f>
        <v>17</v>
      </c>
      <c r="F35">
        <f>IF(E35&gt;=5,AVERAGEIF(Data!$E$2:$E$151,'Formula Test'!D35,Data!$J$2:$J$151))</f>
        <v>3.7058823529411766</v>
      </c>
    </row>
    <row r="36" spans="1:6" x14ac:dyDescent="0.3">
      <c r="A36" s="9" t="s">
        <v>91</v>
      </c>
      <c r="B36" s="10">
        <f>COUNTIF(Data!I2:I151,"&gt;"&amp;1.5*AVERAGE(Data!I2:I151))</f>
        <v>16</v>
      </c>
      <c r="D36" t="str">
        <v>Burger Barn</v>
      </c>
      <c r="E36">
        <f>COUNTIF(Data!$E$2:$E$151,'Formula Test'!D36)</f>
        <v>10</v>
      </c>
      <c r="F36">
        <f>IF(E36&gt;=5,AVERAGEIF(Data!$E$2:$E$151,'Formula Test'!D36,Data!$J$2:$J$151))</f>
        <v>3.8</v>
      </c>
    </row>
    <row r="37" spans="1:6" x14ac:dyDescent="0.3">
      <c r="A37" s="2" t="s">
        <v>92</v>
      </c>
      <c r="B37" s="10" t="str" cm="1">
        <f t="array" ref="B37">_xlfn.XLOOKUP(MAX(F47:F52),F47:F52,_xlfn.ANCHORARRAY(D47),"",0)</f>
        <v>Bangalore</v>
      </c>
      <c r="D37" t="str">
        <v>Curry House</v>
      </c>
      <c r="E37">
        <f>COUNTIF(Data!$E$2:$E$151,'Formula Test'!D37)</f>
        <v>20</v>
      </c>
      <c r="F37">
        <f>IF(E37&gt;=5,AVERAGEIF(Data!$E$2:$E$151,'Formula Test'!D37,Data!$J$2:$J$151))</f>
        <v>3.5</v>
      </c>
    </row>
    <row r="38" spans="1:6" x14ac:dyDescent="0.3">
      <c r="D38" t="str">
        <v>Dosa Junction</v>
      </c>
      <c r="E38">
        <f>COUNTIF(Data!$E$2:$E$151,'Formula Test'!D38)</f>
        <v>14</v>
      </c>
      <c r="F38">
        <f>IF(E38&gt;=5,AVERAGEIF(Data!$E$2:$E$151,'Formula Test'!D38,Data!$J$2:$J$151))</f>
        <v>3.7142857142857144</v>
      </c>
    </row>
    <row r="39" spans="1:6" x14ac:dyDescent="0.3">
      <c r="D39" t="str">
        <v>Idli Express</v>
      </c>
      <c r="E39">
        <f>COUNTIF(Data!$E$2:$E$151,'Formula Test'!D39)</f>
        <v>9</v>
      </c>
      <c r="F39">
        <f>IF(E39&gt;=5,AVERAGEIF(Data!$E$2:$E$151,'Formula Test'!D39,Data!$J$2:$J$151))</f>
        <v>3.6666666666666665</v>
      </c>
    </row>
    <row r="40" spans="1:6" x14ac:dyDescent="0.3">
      <c r="D40" t="str">
        <v>Noodle Bar</v>
      </c>
      <c r="E40">
        <f>COUNTIF(Data!$E$2:$E$151,'Formula Test'!D40)</f>
        <v>16</v>
      </c>
      <c r="F40">
        <f>IF(E40&gt;=5,AVERAGEIF(Data!$E$2:$E$151,'Formula Test'!D40,Data!$J$2:$J$151))</f>
        <v>2.8125</v>
      </c>
    </row>
    <row r="41" spans="1:6" x14ac:dyDescent="0.3">
      <c r="D41" t="str">
        <v>Pizza Point</v>
      </c>
      <c r="E41">
        <f>COUNTIF(Data!$E$2:$E$151,'Formula Test'!D41)</f>
        <v>22</v>
      </c>
      <c r="F41">
        <f>IF(E41&gt;=5,AVERAGEIF(Data!$E$2:$E$151,'Formula Test'!D41,Data!$J$2:$J$151))</f>
        <v>3.7272727272727271</v>
      </c>
    </row>
    <row r="42" spans="1:6" x14ac:dyDescent="0.3">
      <c r="D42" t="str">
        <v>Spice Route</v>
      </c>
      <c r="E42">
        <f>COUNTIF(Data!$E$2:$E$151,'Formula Test'!D42)</f>
        <v>12</v>
      </c>
      <c r="F42">
        <f>IF(E42&gt;=5,AVERAGEIF(Data!$E$2:$E$151,'Formula Test'!D42,Data!$J$2:$J$151))</f>
        <v>3.75</v>
      </c>
    </row>
    <row r="43" spans="1:6" x14ac:dyDescent="0.3">
      <c r="D43" t="str">
        <v>Sweet Tooth</v>
      </c>
      <c r="E43">
        <f>COUNTIF(Data!$E$2:$E$151,'Formula Test'!D43)</f>
        <v>11</v>
      </c>
      <c r="F43">
        <f>IF(E43&gt;=5,AVERAGEIF(Data!$E$2:$E$151,'Formula Test'!D43,Data!$J$2:$J$151))</f>
        <v>3.2727272727272729</v>
      </c>
    </row>
    <row r="44" spans="1:6" x14ac:dyDescent="0.3">
      <c r="D44" t="str">
        <v>Wok This Way</v>
      </c>
      <c r="E44">
        <f>COUNTIF(Data!$E$2:$E$151,'Formula Test'!D44)</f>
        <v>19</v>
      </c>
      <c r="F44">
        <f>IF(E44&gt;=5,AVERAGEIF(Data!$E$2:$E$151,'Formula Test'!D44,Data!$J$2:$J$151))</f>
        <v>3.6842105263157894</v>
      </c>
    </row>
    <row r="45" spans="1:6" x14ac:dyDescent="0.3">
      <c r="E45">
        <f>COUNTIF(Data!$E$2:$E$151,'Formula Test'!D45)</f>
        <v>0</v>
      </c>
    </row>
    <row r="46" spans="1:6" x14ac:dyDescent="0.3">
      <c r="D46" t="s">
        <v>104</v>
      </c>
    </row>
    <row r="47" spans="1:6" x14ac:dyDescent="0.3">
      <c r="D47" t="str" cm="1">
        <f t="array" ref="D47:D52">_xlfn.UNIQUE(Data!D2:D151)</f>
        <v>Delhi</v>
      </c>
      <c r="E47">
        <f>COUNTIF(Data!$D$2:$D$151,'Formula Test'!D47)</f>
        <v>28</v>
      </c>
      <c r="F47">
        <f>IF(E47&gt;10,AVERAGEIF(Data!$D$2:$D$151,'Formula Test'!D47,Data!$H$2:$H$151))</f>
        <v>1170.4367857142859</v>
      </c>
    </row>
    <row r="48" spans="1:6" x14ac:dyDescent="0.3">
      <c r="D48" t="str">
        <v>Bangalore</v>
      </c>
      <c r="E48">
        <f>COUNTIF(Data!$D$2:$D$151,'Formula Test'!D48)</f>
        <v>23</v>
      </c>
      <c r="F48">
        <f>IF(E48&gt;10,AVERAGEIF(Data!$D$2:$D$151,'Formula Test'!D48,Data!$H$2:$H$151))</f>
        <v>1377.2413043478264</v>
      </c>
    </row>
    <row r="49" spans="4:6" x14ac:dyDescent="0.3">
      <c r="D49" t="str">
        <v>Hyderabad</v>
      </c>
      <c r="E49">
        <f>COUNTIF(Data!$D$2:$D$151,'Formula Test'!D49)</f>
        <v>23</v>
      </c>
      <c r="F49">
        <f>IF(E49&gt;10,AVERAGEIF(Data!$D$2:$D$151,'Formula Test'!D49,Data!$H$2:$H$151))</f>
        <v>1248.217391304348</v>
      </c>
    </row>
    <row r="50" spans="4:6" x14ac:dyDescent="0.3">
      <c r="D50" t="str">
        <v>Mumbai</v>
      </c>
      <c r="E50">
        <f>COUNTIF(Data!$D$2:$D$151,'Formula Test'!D50)</f>
        <v>41</v>
      </c>
      <c r="F50">
        <f>IF(E50&gt;10,AVERAGEIF(Data!$D$2:$D$151,'Formula Test'!D50,Data!$H$2:$H$151))</f>
        <v>1208.3951219512198</v>
      </c>
    </row>
    <row r="51" spans="4:6" x14ac:dyDescent="0.3">
      <c r="D51" t="str">
        <v>Pune</v>
      </c>
      <c r="E51">
        <f>COUNTIF(Data!$D$2:$D$151,'Formula Test'!D51)</f>
        <v>13</v>
      </c>
      <c r="F51">
        <f>IF(E51&gt;10,AVERAGEIF(Data!$D$2:$D$151,'Formula Test'!D51,Data!$H$2:$H$151))</f>
        <v>1226.6138461538465</v>
      </c>
    </row>
    <row r="52" spans="4:6" x14ac:dyDescent="0.3">
      <c r="D52" t="str">
        <v>Chennai</v>
      </c>
      <c r="E52">
        <f>COUNTIF(Data!$D$2:$D$151,'Formula Test'!D52)</f>
        <v>22</v>
      </c>
      <c r="F52">
        <f>IF(E52&gt;10,AVERAGEIF(Data!$D$2:$D$151,'Formula Test'!D52,Data!$H$2:$H$151))</f>
        <v>1282.6213636363634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2026-07-08T05:11:36Z</dcterms:created>
  <dcterms:modified xsi:type="dcterms:W3CDTF">2026-07-08T14:16:57Z</dcterms:modified>
  <dc:language>en-US</dc:language>
</cp:coreProperties>
</file>