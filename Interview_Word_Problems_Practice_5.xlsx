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95933B4-C976-459A-90A9-0E6F8731BA10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Data" sheetId="1" r:id="rId1"/>
    <sheet name="Formula_Practic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9" i="2" l="1" a="1"/>
  <c r="C19" i="2" s="1"/>
  <c r="C10" i="2" a="1"/>
  <c r="C10" i="2" s="1"/>
  <c r="C9" i="2"/>
  <c r="C8" i="2"/>
  <c r="L3" i="1"/>
  <c r="L4" i="1"/>
  <c r="L5" i="1"/>
  <c r="L6" i="1"/>
  <c r="L7" i="1"/>
  <c r="L8" i="1"/>
  <c r="L9" i="1"/>
  <c r="L10" i="1"/>
  <c r="L11" i="1"/>
  <c r="L12" i="1"/>
  <c r="L13" i="1"/>
  <c r="L14" i="1"/>
  <c r="C2" i="2" s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2" i="1"/>
  <c r="C26" i="2"/>
  <c r="C25" i="2"/>
  <c r="C24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2" i="1"/>
  <c r="C23" i="2"/>
  <c r="C22" i="2"/>
  <c r="K20" i="2"/>
  <c r="J21" i="2"/>
  <c r="J22" i="2"/>
  <c r="J23" i="2"/>
  <c r="J24" i="2"/>
  <c r="J25" i="2"/>
  <c r="J26" i="2"/>
  <c r="J20" i="2"/>
  <c r="I20" i="2" a="1"/>
  <c r="I20" i="2" s="1"/>
  <c r="C21" i="2"/>
  <c r="C20" i="2"/>
  <c r="C18" i="2" a="1"/>
  <c r="C18" i="2" s="1"/>
  <c r="C17" i="2"/>
  <c r="C16" i="2"/>
  <c r="G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16" i="2"/>
  <c r="E16" i="2" a="1"/>
  <c r="E16" i="2" s="1"/>
  <c r="C15" i="2" a="1"/>
  <c r="C15" i="2" s="1"/>
  <c r="C14" i="2"/>
  <c r="D14" i="2"/>
  <c r="C13" i="2"/>
  <c r="C12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2" i="1"/>
  <c r="C11" i="2"/>
  <c r="C7" i="2"/>
  <c r="C6" i="2"/>
  <c r="C5" i="2"/>
  <c r="C4" i="2"/>
  <c r="C3" i="2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<sst xmlns="http://schemas.openxmlformats.org/spreadsheetml/2006/main" count="942" uniqueCount="271">
  <si>
    <t>OrderID</t>
  </si>
  <si>
    <t>OrderDate</t>
  </si>
  <si>
    <t>CustomerName</t>
  </si>
  <si>
    <t>Region</t>
  </si>
  <si>
    <t>Category</t>
  </si>
  <si>
    <t>Product</t>
  </si>
  <si>
    <t>Quantity</t>
  </si>
  <si>
    <t>UnitPrice</t>
  </si>
  <si>
    <t>TotalAmount</t>
  </si>
  <si>
    <t>PaymentMethod</t>
  </si>
  <si>
    <t>ORD6001</t>
  </si>
  <si>
    <t>Krish Iyer</t>
  </si>
  <si>
    <t>South</t>
  </si>
  <si>
    <t>Stationery</t>
  </si>
  <si>
    <t>Sticky Notes Pack</t>
  </si>
  <si>
    <t>Credit Card</t>
  </si>
  <si>
    <t>ORD6002</t>
  </si>
  <si>
    <t>Tanvi Kapoor</t>
  </si>
  <si>
    <t>North</t>
  </si>
  <si>
    <t>Highlighter Pack</t>
  </si>
  <si>
    <t>ORD6003</t>
  </si>
  <si>
    <t>Aryan Kumar</t>
  </si>
  <si>
    <t>Apparel</t>
  </si>
  <si>
    <t>Cap</t>
  </si>
  <si>
    <t>Net Banking</t>
  </si>
  <si>
    <t>ORD6004</t>
  </si>
  <si>
    <t>Ayaan Reddy</t>
  </si>
  <si>
    <t>Electronics</t>
  </si>
  <si>
    <t>USB-C Cable</t>
  </si>
  <si>
    <t>Cash on Delivery</t>
  </si>
  <si>
    <t>ORD6005</t>
  </si>
  <si>
    <t>Rohan Joshi</t>
  </si>
  <si>
    <t>Central</t>
  </si>
  <si>
    <t>Laptop Stand</t>
  </si>
  <si>
    <t>ORD6006</t>
  </si>
  <si>
    <t>Navya Singh</t>
  </si>
  <si>
    <t>Home</t>
  </si>
  <si>
    <t>Wall Clock</t>
  </si>
  <si>
    <t>ORD6007</t>
  </si>
  <si>
    <t>Riya Nair</t>
  </si>
  <si>
    <t>Notebook</t>
  </si>
  <si>
    <t>Debit Card</t>
  </si>
  <si>
    <t>ORD6008</t>
  </si>
  <si>
    <t>Navya Malhotra</t>
  </si>
  <si>
    <t>Grocery</t>
  </si>
  <si>
    <t>Almonds Pack</t>
  </si>
  <si>
    <t>ORD6009</t>
  </si>
  <si>
    <t>Rohan Bhatt</t>
  </si>
  <si>
    <t>Green Tea Pack</t>
  </si>
  <si>
    <t>ORD6010</t>
  </si>
  <si>
    <t>Aryan Chopra</t>
  </si>
  <si>
    <t>Webcam</t>
  </si>
  <si>
    <t>UPI</t>
  </si>
  <si>
    <t>ORD6011</t>
  </si>
  <si>
    <t>Kiara Reddy</t>
  </si>
  <si>
    <t>East</t>
  </si>
  <si>
    <t>Bluetooth Speaker</t>
  </si>
  <si>
    <t>ORD6012</t>
  </si>
  <si>
    <t>ORD6013</t>
  </si>
  <si>
    <t>Myra Singh</t>
  </si>
  <si>
    <t>West</t>
  </si>
  <si>
    <t>Denim Jacket</t>
  </si>
  <si>
    <t>ORD6014</t>
  </si>
  <si>
    <t>Ishaan Mehta</t>
  </si>
  <si>
    <t>Gel Pen Set</t>
  </si>
  <si>
    <t>ORD6015</t>
  </si>
  <si>
    <t>ORD6016</t>
  </si>
  <si>
    <t>Reyansh Joshi</t>
  </si>
  <si>
    <t>Oats Pack</t>
  </si>
  <si>
    <t>ORD6017</t>
  </si>
  <si>
    <t>Diya Reddy</t>
  </si>
  <si>
    <t>Olive Oil 1L</t>
  </si>
  <si>
    <t>ORD6018</t>
  </si>
  <si>
    <t>Aryan Reddy</t>
  </si>
  <si>
    <t>ORD6019</t>
  </si>
  <si>
    <t>ORD6020</t>
  </si>
  <si>
    <t>Advait Joshi</t>
  </si>
  <si>
    <t>Cushion Cover</t>
  </si>
  <si>
    <t>ORD6021</t>
  </si>
  <si>
    <t>Vivaan Nair</t>
  </si>
  <si>
    <t>ORD6022</t>
  </si>
  <si>
    <t>Krish Joshi</t>
  </si>
  <si>
    <t>Photo Frame</t>
  </si>
  <si>
    <t>ORD6023</t>
  </si>
  <si>
    <t>Diya Joshi</t>
  </si>
  <si>
    <t>ORD6024</t>
  </si>
  <si>
    <t>Anika Patel</t>
  </si>
  <si>
    <t>ORD6025</t>
  </si>
  <si>
    <t>Reyansh Rao</t>
  </si>
  <si>
    <t>Desk Organizer</t>
  </si>
  <si>
    <t>ORD6026</t>
  </si>
  <si>
    <t>Ananya Joshi</t>
  </si>
  <si>
    <t>ORD6027</t>
  </si>
  <si>
    <t>Ananya Nair</t>
  </si>
  <si>
    <t>ORD6028</t>
  </si>
  <si>
    <t>Advait Malhotra</t>
  </si>
  <si>
    <t>ORD6029</t>
  </si>
  <si>
    <t>Riya Reddy</t>
  </si>
  <si>
    <t>ORD6030</t>
  </si>
  <si>
    <t>Ayaan Kapoor</t>
  </si>
  <si>
    <t>ORD6031</t>
  </si>
  <si>
    <t>Vivaan Rao</t>
  </si>
  <si>
    <t>Running Shoes</t>
  </si>
  <si>
    <t>ORD6032</t>
  </si>
  <si>
    <t>Cotton T-Shirt</t>
  </si>
  <si>
    <t>ORD6033</t>
  </si>
  <si>
    <t>Tanvi Kumar</t>
  </si>
  <si>
    <t>ORD6034</t>
  </si>
  <si>
    <t>ORD6035</t>
  </si>
  <si>
    <t>ORD6036</t>
  </si>
  <si>
    <t>ORD6037</t>
  </si>
  <si>
    <t>Pari Reddy</t>
  </si>
  <si>
    <t>ORD6038</t>
  </si>
  <si>
    <t>ORD6039</t>
  </si>
  <si>
    <t>ORD6040</t>
  </si>
  <si>
    <t>Kabir Malhotra</t>
  </si>
  <si>
    <t>ORD6041</t>
  </si>
  <si>
    <t>ORD6042</t>
  </si>
  <si>
    <t>ORD6043</t>
  </si>
  <si>
    <t>Wool Socks Pack</t>
  </si>
  <si>
    <t>ORD6044</t>
  </si>
  <si>
    <t>ORD6045</t>
  </si>
  <si>
    <t>ORD6046</t>
  </si>
  <si>
    <t>ORD6047</t>
  </si>
  <si>
    <t>Saanvi Malhotra</t>
  </si>
  <si>
    <t>Storage Box</t>
  </si>
  <si>
    <t>ORD6048</t>
  </si>
  <si>
    <t>ORD6049</t>
  </si>
  <si>
    <t>ORD6050</t>
  </si>
  <si>
    <t>ORD6051</t>
  </si>
  <si>
    <t>ORD6052</t>
  </si>
  <si>
    <t>ORD6053</t>
  </si>
  <si>
    <t>ORD6054</t>
  </si>
  <si>
    <t>ORD6055</t>
  </si>
  <si>
    <t>ORD6056</t>
  </si>
  <si>
    <t>Table Lamp</t>
  </si>
  <si>
    <t>ORD6057</t>
  </si>
  <si>
    <t>ORD6058</t>
  </si>
  <si>
    <t>ORD6059</t>
  </si>
  <si>
    <t>ORD6060</t>
  </si>
  <si>
    <t>ORD6061</t>
  </si>
  <si>
    <t>Kiara Gupta</t>
  </si>
  <si>
    <t>ORD6062</t>
  </si>
  <si>
    <t>ORD6063</t>
  </si>
  <si>
    <t>Advait Sharma</t>
  </si>
  <si>
    <t>ORD6064</t>
  </si>
  <si>
    <t>ORD6065</t>
  </si>
  <si>
    <t>ORD6066</t>
  </si>
  <si>
    <t>ORD6067</t>
  </si>
  <si>
    <t>Krish Malhotra</t>
  </si>
  <si>
    <t>Honey Jar</t>
  </si>
  <si>
    <t>ORD6068</t>
  </si>
  <si>
    <t>ORD6069</t>
  </si>
  <si>
    <t>ORD6070</t>
  </si>
  <si>
    <t>ORD6071</t>
  </si>
  <si>
    <t>ORD6072</t>
  </si>
  <si>
    <t>Aadhya Malhotra</t>
  </si>
  <si>
    <t>ORD6073</t>
  </si>
  <si>
    <t>ORD6074</t>
  </si>
  <si>
    <t>ORD6075</t>
  </si>
  <si>
    <t>ORD6076</t>
  </si>
  <si>
    <t>ORD6077</t>
  </si>
  <si>
    <t>ORD6078</t>
  </si>
  <si>
    <t>ORD6079</t>
  </si>
  <si>
    <t>ORD6080</t>
  </si>
  <si>
    <t>ORD6081</t>
  </si>
  <si>
    <t>Diya Kumar</t>
  </si>
  <si>
    <t>ORD6082</t>
  </si>
  <si>
    <t>ORD6083</t>
  </si>
  <si>
    <t>ORD6084</t>
  </si>
  <si>
    <t>ORD6085</t>
  </si>
  <si>
    <t>ORD6086</t>
  </si>
  <si>
    <t>Wireless Mouse</t>
  </si>
  <si>
    <t>ORD6087</t>
  </si>
  <si>
    <t>ORD6088</t>
  </si>
  <si>
    <t>ORD6089</t>
  </si>
  <si>
    <t>ORD6090</t>
  </si>
  <si>
    <t>ORD6091</t>
  </si>
  <si>
    <t>ORD6092</t>
  </si>
  <si>
    <t>ORD6093</t>
  </si>
  <si>
    <t>ORD6094</t>
  </si>
  <si>
    <t>ORD6095</t>
  </si>
  <si>
    <t>ORD6096</t>
  </si>
  <si>
    <t>ORD6097</t>
  </si>
  <si>
    <t>ORD6098</t>
  </si>
  <si>
    <t>ORD6099</t>
  </si>
  <si>
    <t>ORD6100</t>
  </si>
  <si>
    <t>ORD6101</t>
  </si>
  <si>
    <t>ORD6102</t>
  </si>
  <si>
    <t>ORD6103</t>
  </si>
  <si>
    <t>ORD6104</t>
  </si>
  <si>
    <t>ORD6105</t>
  </si>
  <si>
    <t>ORD6106</t>
  </si>
  <si>
    <t>ORD6107</t>
  </si>
  <si>
    <t>ORD6108</t>
  </si>
  <si>
    <t>ORD6109</t>
  </si>
  <si>
    <t>ORD6110</t>
  </si>
  <si>
    <t>ORD6111</t>
  </si>
  <si>
    <t>ORD6112</t>
  </si>
  <si>
    <t>ORD6113</t>
  </si>
  <si>
    <t>ORD6114</t>
  </si>
  <si>
    <t>ORD6115</t>
  </si>
  <si>
    <t>ORD6116</t>
  </si>
  <si>
    <t>Advait Iyer</t>
  </si>
  <si>
    <t>ORD6117</t>
  </si>
  <si>
    <t>Anika Kumar</t>
  </si>
  <si>
    <t>ORD6118</t>
  </si>
  <si>
    <t>ORD6119</t>
  </si>
  <si>
    <t>ORD6120</t>
  </si>
  <si>
    <t>ORD6121</t>
  </si>
  <si>
    <t>ORD6122</t>
  </si>
  <si>
    <t>ORD6123</t>
  </si>
  <si>
    <t>ORD6124</t>
  </si>
  <si>
    <t>ORD6125</t>
  </si>
  <si>
    <t>ORD6126</t>
  </si>
  <si>
    <t>ORD6127</t>
  </si>
  <si>
    <t>ORD6128</t>
  </si>
  <si>
    <t>ORD6129</t>
  </si>
  <si>
    <t>ORD6130</t>
  </si>
  <si>
    <t>ORD6131</t>
  </si>
  <si>
    <t>ORD6132</t>
  </si>
  <si>
    <t>ORD6133</t>
  </si>
  <si>
    <t>ORD6134</t>
  </si>
  <si>
    <t>ORD6135</t>
  </si>
  <si>
    <t>ORD6136</t>
  </si>
  <si>
    <t>ORD6137</t>
  </si>
  <si>
    <t>ORD6138</t>
  </si>
  <si>
    <t>ORD6139</t>
  </si>
  <si>
    <t>ORD6140</t>
  </si>
  <si>
    <t>ORD6141</t>
  </si>
  <si>
    <t>ORD6142</t>
  </si>
  <si>
    <t>ORD6143</t>
  </si>
  <si>
    <t>ORD6144</t>
  </si>
  <si>
    <t>ORD6145</t>
  </si>
  <si>
    <t>ORD6146</t>
  </si>
  <si>
    <t>ORD6147</t>
  </si>
  <si>
    <t>ORD6148</t>
  </si>
  <si>
    <t>ORD6149</t>
  </si>
  <si>
    <t>ORD6150</t>
  </si>
  <si>
    <t>#</t>
  </si>
  <si>
    <t>Question</t>
  </si>
  <si>
    <t>Your Formula / Answer</t>
  </si>
  <si>
    <t>Find total revenue for orders placed in Q4 2025 (October–December).</t>
  </si>
  <si>
    <t>Using MINIFS, find the earliest OrderDate specifically within the 'Electronics' category.</t>
  </si>
  <si>
    <t>Using MAXIFS, find the highest single TotalAmount specifically within the 'Grocery' category.</t>
  </si>
  <si>
    <t>Find the date exactly 30 days after the first order's OrderDate.</t>
  </si>
  <si>
    <t>Using EOMONTH, find the last day of the month in which the first order was placed.</t>
  </si>
  <si>
    <t>Using WORKDAY, find the date that is 10 business days after the first order's OrderDate.</t>
  </si>
  <si>
    <t>Label the first order's PaymentMethod as 'Digital' (UPI, Net Banking, Credit Card, or Debit Card) or 'Offline' (Cash on Delivery), using SWITCH or nested IF.</t>
  </si>
  <si>
    <t>Data quality check: find total revenue from orders where CustomerName does NOT contain a space (should be 0 if the data is clean).</t>
  </si>
  <si>
    <t>Data quality check: count how many CustomerNames have extra leading or trailing spaces (compare LEN of the name to LEN of TRIM of the name).</t>
  </si>
  <si>
    <t>Using SUBSTITUTE, replace the space in the first order's CustomerName with an underscore (e.g. 'Riya_Singh').</t>
  </si>
  <si>
    <t>Find total revenue generated on weekdays only (Monday through Friday, excluding weekends).</t>
  </si>
  <si>
    <t>Find the percentile rank (0 to 1) of the first order's TotalAmount among all orders, using PERCENTRANK.</t>
  </si>
  <si>
    <t>Find how many orders have a TotalAmount exactly equal to the median TotalAmount.</t>
  </si>
  <si>
    <t>Find the total number of distinct (Category, Region) combinations that appear in the dataset.</t>
  </si>
  <si>
    <t>Find the total lifetime revenue of the customer with the SECOND-highest total spend (not the highest — the second).</t>
  </si>
  <si>
    <t>Calculate the average revenue earned per unit sold: total revenue divided by total quantity, across the whole dataset.</t>
  </si>
  <si>
    <t>Using COUNTIFS or SUMPRODUCT, count orders that are 'Apparel' category AND placed in EITHER the 'West' or 'East' region.</t>
  </si>
  <si>
    <t>Find how many orders have a CustomerName whose first letter matches the first letter of their own Region.</t>
  </si>
  <si>
    <t>Label the first order as 'Urgent' if TotalAmount &gt; 10000 AND PaymentMethod is 'Cash on Delivery', else 'Normal'.</t>
  </si>
  <si>
    <t>Find the standard deviation of Quantity ordered across all orders (use STDEV.P).</t>
  </si>
  <si>
    <t>Determine which day of the week (Monday–Sunday) has the HIGHEST average order value (not total — average).</t>
  </si>
  <si>
    <t>Find how many customers have a total lifetime spend exceeding 50,000.</t>
  </si>
  <si>
    <t>Find how many orders were placed by customers whose CustomerName is longer than 12 characters.</t>
  </si>
  <si>
    <t>Count how many Product names contain the word 'Pack' anywhere in them (wildcard match).</t>
  </si>
  <si>
    <t>Find the total revenue for orders placed on the very same weekday as the first order (e.g. if the first order was a Tuesday, sum all Tuesday orders).</t>
  </si>
  <si>
    <t>Note: All questions refer to the 'Data' sheet (range A2:J151). All order dates fall within 2025.</t>
  </si>
  <si>
    <t>quarter</t>
  </si>
  <si>
    <t>days</t>
  </si>
  <si>
    <t>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</si>
</sst>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  <font>
      <i/>
      <sz val="11"/>
      <name val="Cambria"/>
      <charset val="1"/>
    </font>
    <font>
      <sz val="11"/>
      <color theme="0"/>
      <name val="Calibri"/>
      <family val="2"/>
      <charset val="1"/>
    </font>
    <font>
      <b/>
      <sz val="1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66FFCC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4" fontId="0" fillId="0" borderId="0" xfId="0" applyNumberFormat="1"/>
    <xf numFmtId="0" fontId="2" fillId="0" borderId="0" xfId="0" applyFont="1"/>
    <xf numFmtId="0" fontId="1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4" fillId="2" borderId="0" xfId="0" applyFont="1" applyFill="1"/>
    <xf numFmtId="2" fontId="0" fillId="0" borderId="0" xfId="0" applyNumberFormat="1"/>
    <xf numFmtId="1" fontId="0" fillId="0" borderId="0" xfId="0" applyNumberFormat="1"/>
    <xf numFmtId="14" fontId="3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1"/>
  <sheetViews>
    <sheetView topLeftCell="A125" zoomScaleNormal="100" workbookViewId="0">
      <selection activeCell="K3" sqref="K3"/>
    </sheetView>
  </sheetViews>
  <sheetFormatPr defaultColWidth="8.6640625" defaultRowHeight="14.4" x14ac:dyDescent="0.3"/>
  <cols>
    <col min="1" max="1" width="8.6640625" bestFit="1" customWidth="1"/>
    <col min="2" max="2" width="11" bestFit="1" customWidth="1"/>
    <col min="3" max="3" width="15.33203125" bestFit="1" customWidth="1"/>
    <col min="4" max="4" width="7.44140625" bestFit="1" customWidth="1"/>
    <col min="5" max="5" width="9.88671875" bestFit="1" customWidth="1"/>
    <col min="6" max="6" width="16.109375" bestFit="1" customWidth="1"/>
    <col min="7" max="7" width="9.33203125" bestFit="1" customWidth="1"/>
    <col min="8" max="8" width="9.77734375" bestFit="1" customWidth="1"/>
    <col min="9" max="9" width="13.5546875" bestFit="1" customWidth="1"/>
    <col min="10" max="10" width="16.5546875" bestFit="1" customWidth="1"/>
    <col min="12" max="12" width="10.33203125" style="8" bestFit="1" customWidth="1"/>
    <col min="13" max="13" width="10.33203125" bestFit="1" customWidth="1"/>
  </cols>
  <sheetData>
    <row r="1" spans="1:1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L1" s="7" t="s">
        <v>268</v>
      </c>
      <c r="M1" s="7" t="s">
        <v>269</v>
      </c>
      <c r="N1" t="s">
        <v>270</v>
      </c>
    </row>
    <row r="2" spans="1:14" x14ac:dyDescent="0.3">
      <c r="A2" t="s">
        <v>10</v>
      </c>
      <c r="B2" s="1">
        <v>45829</v>
      </c>
      <c r="C2" t="s">
        <v>11</v>
      </c>
      <c r="D2" t="s">
        <v>12</v>
      </c>
      <c r="E2" t="s">
        <v>13</v>
      </c>
      <c r="F2" t="s">
        <v>14</v>
      </c>
      <c r="G2">
        <v>4</v>
      </c>
      <c r="H2" s="2">
        <v>2967.95</v>
      </c>
      <c r="I2" s="2">
        <f t="shared" ref="I2:I33" si="0">G2*H2</f>
        <v>11871.8</v>
      </c>
      <c r="J2" t="s">
        <v>15</v>
      </c>
      <c r="L2" s="9">
        <f>ROUNDUP(MONTH(B2)/3,0)</f>
        <v>2</v>
      </c>
      <c r="M2" t="str">
        <f>TEXT(B2,"dddd")</f>
        <v>Saturday</v>
      </c>
      <c r="N2">
        <f>LEN(C2)</f>
        <v>10</v>
      </c>
    </row>
    <row r="3" spans="1:14" x14ac:dyDescent="0.3">
      <c r="A3" t="s">
        <v>16</v>
      </c>
      <c r="B3" s="1">
        <v>45708</v>
      </c>
      <c r="C3" t="s">
        <v>17</v>
      </c>
      <c r="D3" t="s">
        <v>18</v>
      </c>
      <c r="E3" t="s">
        <v>13</v>
      </c>
      <c r="F3" t="s">
        <v>19</v>
      </c>
      <c r="G3">
        <v>4</v>
      </c>
      <c r="H3" s="2">
        <v>1848.88</v>
      </c>
      <c r="I3" s="2">
        <f t="shared" si="0"/>
        <v>7395.52</v>
      </c>
      <c r="J3" t="s">
        <v>15</v>
      </c>
      <c r="L3" s="9">
        <f t="shared" ref="L3:L66" si="1">ROUNDUP(MONTH(B3)/3,0)</f>
        <v>1</v>
      </c>
      <c r="M3" t="str">
        <f t="shared" ref="M3:M66" si="2">TEXT(B3,"dddd")</f>
        <v>Thursday</v>
      </c>
      <c r="N3">
        <f t="shared" ref="N3:N66" si="3">LEN(C3)</f>
        <v>12</v>
      </c>
    </row>
    <row r="4" spans="1:14" x14ac:dyDescent="0.3">
      <c r="A4" t="s">
        <v>20</v>
      </c>
      <c r="B4" s="1">
        <v>45758</v>
      </c>
      <c r="C4" t="s">
        <v>21</v>
      </c>
      <c r="D4" t="s">
        <v>12</v>
      </c>
      <c r="E4" t="s">
        <v>22</v>
      </c>
      <c r="F4" t="s">
        <v>23</v>
      </c>
      <c r="G4">
        <v>5</v>
      </c>
      <c r="H4" s="2">
        <v>2487.92</v>
      </c>
      <c r="I4" s="2">
        <f t="shared" si="0"/>
        <v>12439.6</v>
      </c>
      <c r="J4" t="s">
        <v>24</v>
      </c>
      <c r="L4" s="9">
        <f t="shared" si="1"/>
        <v>2</v>
      </c>
      <c r="M4" t="str">
        <f t="shared" si="2"/>
        <v>Friday</v>
      </c>
      <c r="N4">
        <f t="shared" si="3"/>
        <v>11</v>
      </c>
    </row>
    <row r="5" spans="1:14" x14ac:dyDescent="0.3">
      <c r="A5" t="s">
        <v>25</v>
      </c>
      <c r="B5" s="1">
        <v>45997</v>
      </c>
      <c r="C5" t="s">
        <v>26</v>
      </c>
      <c r="D5" t="s">
        <v>12</v>
      </c>
      <c r="E5" t="s">
        <v>27</v>
      </c>
      <c r="F5" t="s">
        <v>28</v>
      </c>
      <c r="G5">
        <v>5</v>
      </c>
      <c r="H5" s="2">
        <v>1500.36</v>
      </c>
      <c r="I5" s="2">
        <f t="shared" si="0"/>
        <v>7501.7999999999993</v>
      </c>
      <c r="J5" t="s">
        <v>29</v>
      </c>
      <c r="L5" s="9">
        <f t="shared" si="1"/>
        <v>4</v>
      </c>
      <c r="M5" t="str">
        <f t="shared" si="2"/>
        <v>Saturday</v>
      </c>
      <c r="N5">
        <f t="shared" si="3"/>
        <v>11</v>
      </c>
    </row>
    <row r="6" spans="1:14" x14ac:dyDescent="0.3">
      <c r="A6" t="s">
        <v>30</v>
      </c>
      <c r="B6" s="1">
        <v>45996</v>
      </c>
      <c r="C6" t="s">
        <v>31</v>
      </c>
      <c r="D6" t="s">
        <v>32</v>
      </c>
      <c r="E6" t="s">
        <v>27</v>
      </c>
      <c r="F6" t="s">
        <v>33</v>
      </c>
      <c r="G6">
        <v>4</v>
      </c>
      <c r="H6" s="2">
        <v>4471.41</v>
      </c>
      <c r="I6" s="2">
        <f t="shared" si="0"/>
        <v>17885.64</v>
      </c>
      <c r="J6" t="s">
        <v>24</v>
      </c>
      <c r="L6" s="9">
        <f t="shared" si="1"/>
        <v>4</v>
      </c>
      <c r="M6" t="str">
        <f t="shared" si="2"/>
        <v>Friday</v>
      </c>
      <c r="N6">
        <f t="shared" si="3"/>
        <v>11</v>
      </c>
    </row>
    <row r="7" spans="1:14" x14ac:dyDescent="0.3">
      <c r="A7" t="s">
        <v>34</v>
      </c>
      <c r="B7" s="1">
        <v>45748</v>
      </c>
      <c r="C7" t="s">
        <v>35</v>
      </c>
      <c r="D7" t="s">
        <v>12</v>
      </c>
      <c r="E7" t="s">
        <v>36</v>
      </c>
      <c r="F7" t="s">
        <v>37</v>
      </c>
      <c r="G7">
        <v>1</v>
      </c>
      <c r="H7" s="2">
        <v>2957.46</v>
      </c>
      <c r="I7" s="2">
        <f t="shared" si="0"/>
        <v>2957.46</v>
      </c>
      <c r="J7" t="s">
        <v>29</v>
      </c>
      <c r="L7" s="9">
        <f t="shared" si="1"/>
        <v>2</v>
      </c>
      <c r="M7" t="str">
        <f t="shared" si="2"/>
        <v>Tuesday</v>
      </c>
      <c r="N7">
        <f t="shared" si="3"/>
        <v>11</v>
      </c>
    </row>
    <row r="8" spans="1:14" x14ac:dyDescent="0.3">
      <c r="A8" t="s">
        <v>38</v>
      </c>
      <c r="B8" s="1">
        <v>45851</v>
      </c>
      <c r="C8" t="s">
        <v>39</v>
      </c>
      <c r="D8" t="s">
        <v>18</v>
      </c>
      <c r="E8" t="s">
        <v>13</v>
      </c>
      <c r="F8" t="s">
        <v>40</v>
      </c>
      <c r="G8">
        <v>9</v>
      </c>
      <c r="H8" s="2">
        <v>758.55</v>
      </c>
      <c r="I8" s="2">
        <f t="shared" si="0"/>
        <v>6826.95</v>
      </c>
      <c r="J8" t="s">
        <v>41</v>
      </c>
      <c r="L8" s="9">
        <f t="shared" si="1"/>
        <v>3</v>
      </c>
      <c r="M8" t="str">
        <f t="shared" si="2"/>
        <v>Sunday</v>
      </c>
      <c r="N8">
        <f t="shared" si="3"/>
        <v>9</v>
      </c>
    </row>
    <row r="9" spans="1:14" x14ac:dyDescent="0.3">
      <c r="A9" t="s">
        <v>42</v>
      </c>
      <c r="B9" s="1">
        <v>45983</v>
      </c>
      <c r="C9" t="s">
        <v>43</v>
      </c>
      <c r="D9" t="s">
        <v>18</v>
      </c>
      <c r="E9" t="s">
        <v>44</v>
      </c>
      <c r="F9" t="s">
        <v>45</v>
      </c>
      <c r="G9">
        <v>4</v>
      </c>
      <c r="H9" s="2">
        <v>2517.04</v>
      </c>
      <c r="I9" s="2">
        <f t="shared" si="0"/>
        <v>10068.16</v>
      </c>
      <c r="J9" t="s">
        <v>41</v>
      </c>
      <c r="L9" s="9">
        <f t="shared" si="1"/>
        <v>4</v>
      </c>
      <c r="M9" t="str">
        <f t="shared" si="2"/>
        <v>Saturday</v>
      </c>
      <c r="N9">
        <f t="shared" si="3"/>
        <v>14</v>
      </c>
    </row>
    <row r="10" spans="1:14" x14ac:dyDescent="0.3">
      <c r="A10" t="s">
        <v>46</v>
      </c>
      <c r="B10" s="1">
        <v>45740</v>
      </c>
      <c r="C10" t="s">
        <v>47</v>
      </c>
      <c r="D10" t="s">
        <v>12</v>
      </c>
      <c r="E10" t="s">
        <v>44</v>
      </c>
      <c r="F10" t="s">
        <v>48</v>
      </c>
      <c r="G10">
        <v>10</v>
      </c>
      <c r="H10" s="2">
        <v>2874.13</v>
      </c>
      <c r="I10" s="2">
        <f t="shared" si="0"/>
        <v>28741.300000000003</v>
      </c>
      <c r="J10" t="s">
        <v>29</v>
      </c>
      <c r="L10" s="9">
        <f t="shared" si="1"/>
        <v>1</v>
      </c>
      <c r="M10" t="str">
        <f t="shared" si="2"/>
        <v>Monday</v>
      </c>
      <c r="N10">
        <f t="shared" si="3"/>
        <v>11</v>
      </c>
    </row>
    <row r="11" spans="1:14" x14ac:dyDescent="0.3">
      <c r="A11" t="s">
        <v>49</v>
      </c>
      <c r="B11" s="1">
        <v>45981</v>
      </c>
      <c r="C11" t="s">
        <v>50</v>
      </c>
      <c r="D11" t="s">
        <v>32</v>
      </c>
      <c r="E11" t="s">
        <v>27</v>
      </c>
      <c r="F11" t="s">
        <v>51</v>
      </c>
      <c r="G11">
        <v>3</v>
      </c>
      <c r="H11" s="2">
        <v>2789.78</v>
      </c>
      <c r="I11" s="2">
        <f t="shared" si="0"/>
        <v>8369.34</v>
      </c>
      <c r="J11" t="s">
        <v>52</v>
      </c>
      <c r="L11" s="9">
        <f t="shared" si="1"/>
        <v>4</v>
      </c>
      <c r="M11" t="str">
        <f t="shared" si="2"/>
        <v>Thursday</v>
      </c>
      <c r="N11">
        <f t="shared" si="3"/>
        <v>12</v>
      </c>
    </row>
    <row r="12" spans="1:14" x14ac:dyDescent="0.3">
      <c r="A12" t="s">
        <v>53</v>
      </c>
      <c r="B12" s="1">
        <v>45658</v>
      </c>
      <c r="C12" t="s">
        <v>54</v>
      </c>
      <c r="D12" t="s">
        <v>55</v>
      </c>
      <c r="E12" t="s">
        <v>27</v>
      </c>
      <c r="F12" t="s">
        <v>56</v>
      </c>
      <c r="G12">
        <v>1</v>
      </c>
      <c r="H12" s="2">
        <v>653.41999999999996</v>
      </c>
      <c r="I12" s="2">
        <f t="shared" si="0"/>
        <v>653.41999999999996</v>
      </c>
      <c r="J12" t="s">
        <v>29</v>
      </c>
      <c r="L12" s="9">
        <f t="shared" si="1"/>
        <v>1</v>
      </c>
      <c r="M12" t="str">
        <f t="shared" si="2"/>
        <v>Wednesday</v>
      </c>
      <c r="N12">
        <f t="shared" si="3"/>
        <v>11</v>
      </c>
    </row>
    <row r="13" spans="1:14" x14ac:dyDescent="0.3">
      <c r="A13" t="s">
        <v>57</v>
      </c>
      <c r="B13" s="1">
        <v>46002</v>
      </c>
      <c r="C13" t="s">
        <v>43</v>
      </c>
      <c r="D13" t="s">
        <v>12</v>
      </c>
      <c r="E13" t="s">
        <v>44</v>
      </c>
      <c r="F13" t="s">
        <v>45</v>
      </c>
      <c r="G13">
        <v>4</v>
      </c>
      <c r="H13" s="2">
        <v>2385.73</v>
      </c>
      <c r="I13" s="2">
        <f t="shared" si="0"/>
        <v>9542.92</v>
      </c>
      <c r="J13" t="s">
        <v>24</v>
      </c>
      <c r="L13" s="9">
        <f t="shared" si="1"/>
        <v>4</v>
      </c>
      <c r="M13" t="str">
        <f t="shared" si="2"/>
        <v>Thursday</v>
      </c>
      <c r="N13">
        <f t="shared" si="3"/>
        <v>14</v>
      </c>
    </row>
    <row r="14" spans="1:14" x14ac:dyDescent="0.3">
      <c r="A14" t="s">
        <v>58</v>
      </c>
      <c r="B14" s="1">
        <v>45818</v>
      </c>
      <c r="C14" t="s">
        <v>59</v>
      </c>
      <c r="D14" t="s">
        <v>60</v>
      </c>
      <c r="E14" t="s">
        <v>22</v>
      </c>
      <c r="F14" t="s">
        <v>61</v>
      </c>
      <c r="G14">
        <v>7</v>
      </c>
      <c r="H14" s="2">
        <v>2993.7</v>
      </c>
      <c r="I14" s="2">
        <f t="shared" si="0"/>
        <v>20955.899999999998</v>
      </c>
      <c r="J14" t="s">
        <v>24</v>
      </c>
      <c r="L14" s="9">
        <f t="shared" si="1"/>
        <v>2</v>
      </c>
      <c r="M14" t="str">
        <f t="shared" si="2"/>
        <v>Tuesday</v>
      </c>
      <c r="N14">
        <f t="shared" si="3"/>
        <v>10</v>
      </c>
    </row>
    <row r="15" spans="1:14" x14ac:dyDescent="0.3">
      <c r="A15" t="s">
        <v>62</v>
      </c>
      <c r="B15" s="1">
        <v>45872</v>
      </c>
      <c r="C15" t="s">
        <v>63</v>
      </c>
      <c r="D15" t="s">
        <v>12</v>
      </c>
      <c r="E15" t="s">
        <v>13</v>
      </c>
      <c r="F15" t="s">
        <v>64</v>
      </c>
      <c r="G15">
        <v>5</v>
      </c>
      <c r="H15" s="2">
        <v>2079.81</v>
      </c>
      <c r="I15" s="2">
        <f t="shared" si="0"/>
        <v>10399.049999999999</v>
      </c>
      <c r="J15" t="s">
        <v>41</v>
      </c>
      <c r="L15" s="9">
        <f t="shared" si="1"/>
        <v>3</v>
      </c>
      <c r="M15" t="str">
        <f t="shared" si="2"/>
        <v>Sunday</v>
      </c>
      <c r="N15">
        <f t="shared" si="3"/>
        <v>12</v>
      </c>
    </row>
    <row r="16" spans="1:14" x14ac:dyDescent="0.3">
      <c r="A16" t="s">
        <v>65</v>
      </c>
      <c r="B16" s="1">
        <v>45840</v>
      </c>
      <c r="C16" t="s">
        <v>11</v>
      </c>
      <c r="D16" t="s">
        <v>18</v>
      </c>
      <c r="E16" t="s">
        <v>27</v>
      </c>
      <c r="F16" t="s">
        <v>28</v>
      </c>
      <c r="G16">
        <v>1</v>
      </c>
      <c r="H16" s="2">
        <v>3898.21</v>
      </c>
      <c r="I16" s="2">
        <f t="shared" si="0"/>
        <v>3898.21</v>
      </c>
      <c r="J16" t="s">
        <v>29</v>
      </c>
      <c r="L16" s="9">
        <f t="shared" si="1"/>
        <v>3</v>
      </c>
      <c r="M16" t="str">
        <f t="shared" si="2"/>
        <v>Wednesday</v>
      </c>
      <c r="N16">
        <f t="shared" si="3"/>
        <v>10</v>
      </c>
    </row>
    <row r="17" spans="1:14" x14ac:dyDescent="0.3">
      <c r="A17" t="s">
        <v>66</v>
      </c>
      <c r="B17" s="1">
        <v>45872</v>
      </c>
      <c r="C17" t="s">
        <v>67</v>
      </c>
      <c r="D17" t="s">
        <v>12</v>
      </c>
      <c r="E17" t="s">
        <v>44</v>
      </c>
      <c r="F17" t="s">
        <v>68</v>
      </c>
      <c r="G17">
        <v>9</v>
      </c>
      <c r="H17" s="2">
        <v>2557.59</v>
      </c>
      <c r="I17" s="2">
        <f t="shared" si="0"/>
        <v>23018.31</v>
      </c>
      <c r="J17" t="s">
        <v>15</v>
      </c>
      <c r="L17" s="9">
        <f t="shared" si="1"/>
        <v>3</v>
      </c>
      <c r="M17" t="str">
        <f t="shared" si="2"/>
        <v>Sunday</v>
      </c>
      <c r="N17">
        <f t="shared" si="3"/>
        <v>13</v>
      </c>
    </row>
    <row r="18" spans="1:14" x14ac:dyDescent="0.3">
      <c r="A18" t="s">
        <v>69</v>
      </c>
      <c r="B18" s="1">
        <v>45878</v>
      </c>
      <c r="C18" t="s">
        <v>70</v>
      </c>
      <c r="D18" t="s">
        <v>18</v>
      </c>
      <c r="E18" t="s">
        <v>44</v>
      </c>
      <c r="F18" t="s">
        <v>71</v>
      </c>
      <c r="G18">
        <v>9</v>
      </c>
      <c r="H18" s="2">
        <v>4869.92</v>
      </c>
      <c r="I18" s="2">
        <f t="shared" si="0"/>
        <v>43829.279999999999</v>
      </c>
      <c r="J18" t="s">
        <v>52</v>
      </c>
      <c r="L18" s="9">
        <f t="shared" si="1"/>
        <v>3</v>
      </c>
      <c r="M18" t="str">
        <f t="shared" si="2"/>
        <v>Saturday</v>
      </c>
      <c r="N18">
        <f t="shared" si="3"/>
        <v>10</v>
      </c>
    </row>
    <row r="19" spans="1:14" x14ac:dyDescent="0.3">
      <c r="A19" t="s">
        <v>72</v>
      </c>
      <c r="B19" s="1">
        <v>45999</v>
      </c>
      <c r="C19" t="s">
        <v>73</v>
      </c>
      <c r="D19" t="s">
        <v>12</v>
      </c>
      <c r="E19" t="s">
        <v>44</v>
      </c>
      <c r="F19" t="s">
        <v>48</v>
      </c>
      <c r="G19">
        <v>7</v>
      </c>
      <c r="H19" s="2">
        <v>477.43</v>
      </c>
      <c r="I19" s="2">
        <f t="shared" si="0"/>
        <v>3342.01</v>
      </c>
      <c r="J19" t="s">
        <v>41</v>
      </c>
      <c r="L19" s="9">
        <f t="shared" si="1"/>
        <v>4</v>
      </c>
      <c r="M19" t="str">
        <f t="shared" si="2"/>
        <v>Monday</v>
      </c>
      <c r="N19">
        <f t="shared" si="3"/>
        <v>11</v>
      </c>
    </row>
    <row r="20" spans="1:14" x14ac:dyDescent="0.3">
      <c r="A20" t="s">
        <v>74</v>
      </c>
      <c r="B20" s="1">
        <v>45747</v>
      </c>
      <c r="C20" t="s">
        <v>50</v>
      </c>
      <c r="D20" t="s">
        <v>55</v>
      </c>
      <c r="E20" t="s">
        <v>36</v>
      </c>
      <c r="F20" t="s">
        <v>37</v>
      </c>
      <c r="G20">
        <v>8</v>
      </c>
      <c r="H20" s="2">
        <v>932.76</v>
      </c>
      <c r="I20" s="2">
        <f t="shared" si="0"/>
        <v>7462.08</v>
      </c>
      <c r="J20" t="s">
        <v>24</v>
      </c>
      <c r="L20" s="9">
        <f t="shared" si="1"/>
        <v>1</v>
      </c>
      <c r="M20" t="str">
        <f t="shared" si="2"/>
        <v>Monday</v>
      </c>
      <c r="N20">
        <f t="shared" si="3"/>
        <v>12</v>
      </c>
    </row>
    <row r="21" spans="1:14" x14ac:dyDescent="0.3">
      <c r="A21" t="s">
        <v>75</v>
      </c>
      <c r="B21" s="1">
        <v>45880</v>
      </c>
      <c r="C21" t="s">
        <v>76</v>
      </c>
      <c r="D21" t="s">
        <v>32</v>
      </c>
      <c r="E21" t="s">
        <v>36</v>
      </c>
      <c r="F21" t="s">
        <v>77</v>
      </c>
      <c r="G21">
        <v>1</v>
      </c>
      <c r="H21" s="2">
        <v>3885.78</v>
      </c>
      <c r="I21" s="2">
        <f t="shared" si="0"/>
        <v>3885.78</v>
      </c>
      <c r="J21" t="s">
        <v>15</v>
      </c>
      <c r="L21" s="9">
        <f t="shared" si="1"/>
        <v>3</v>
      </c>
      <c r="M21" t="str">
        <f t="shared" si="2"/>
        <v>Monday</v>
      </c>
      <c r="N21">
        <f t="shared" si="3"/>
        <v>12</v>
      </c>
    </row>
    <row r="22" spans="1:14" x14ac:dyDescent="0.3">
      <c r="A22" t="s">
        <v>78</v>
      </c>
      <c r="B22" s="1">
        <v>45844</v>
      </c>
      <c r="C22" t="s">
        <v>79</v>
      </c>
      <c r="D22" t="s">
        <v>12</v>
      </c>
      <c r="E22" t="s">
        <v>44</v>
      </c>
      <c r="F22" t="s">
        <v>48</v>
      </c>
      <c r="G22">
        <v>1</v>
      </c>
      <c r="H22" s="2">
        <v>3349.24</v>
      </c>
      <c r="I22" s="2">
        <f t="shared" si="0"/>
        <v>3349.24</v>
      </c>
      <c r="J22" t="s">
        <v>15</v>
      </c>
      <c r="L22" s="9">
        <f t="shared" si="1"/>
        <v>3</v>
      </c>
      <c r="M22" t="str">
        <f t="shared" si="2"/>
        <v>Sunday</v>
      </c>
      <c r="N22">
        <f t="shared" si="3"/>
        <v>11</v>
      </c>
    </row>
    <row r="23" spans="1:14" x14ac:dyDescent="0.3">
      <c r="A23" t="s">
        <v>80</v>
      </c>
      <c r="B23" s="1">
        <v>45797</v>
      </c>
      <c r="C23" t="s">
        <v>81</v>
      </c>
      <c r="D23" t="s">
        <v>18</v>
      </c>
      <c r="E23" t="s">
        <v>36</v>
      </c>
      <c r="F23" t="s">
        <v>82</v>
      </c>
      <c r="G23">
        <v>10</v>
      </c>
      <c r="H23" s="2">
        <v>816.73</v>
      </c>
      <c r="I23" s="2">
        <f t="shared" si="0"/>
        <v>8167.3</v>
      </c>
      <c r="J23" t="s">
        <v>29</v>
      </c>
      <c r="L23" s="9">
        <f t="shared" si="1"/>
        <v>2</v>
      </c>
      <c r="M23" t="str">
        <f t="shared" si="2"/>
        <v>Tuesday</v>
      </c>
      <c r="N23">
        <f t="shared" si="3"/>
        <v>11</v>
      </c>
    </row>
    <row r="24" spans="1:14" x14ac:dyDescent="0.3">
      <c r="A24" t="s">
        <v>83</v>
      </c>
      <c r="B24" s="1">
        <v>45956</v>
      </c>
      <c r="C24" t="s">
        <v>84</v>
      </c>
      <c r="D24" t="s">
        <v>60</v>
      </c>
      <c r="E24" t="s">
        <v>27</v>
      </c>
      <c r="F24" t="s">
        <v>51</v>
      </c>
      <c r="G24">
        <v>5</v>
      </c>
      <c r="H24" s="2">
        <v>2255.08</v>
      </c>
      <c r="I24" s="2">
        <f t="shared" si="0"/>
        <v>11275.4</v>
      </c>
      <c r="J24" t="s">
        <v>41</v>
      </c>
      <c r="L24" s="9">
        <f t="shared" si="1"/>
        <v>4</v>
      </c>
      <c r="M24" t="str">
        <f t="shared" si="2"/>
        <v>Sunday</v>
      </c>
      <c r="N24">
        <f t="shared" si="3"/>
        <v>10</v>
      </c>
    </row>
    <row r="25" spans="1:14" x14ac:dyDescent="0.3">
      <c r="A25" t="s">
        <v>85</v>
      </c>
      <c r="B25" s="1">
        <v>45776</v>
      </c>
      <c r="C25" t="s">
        <v>86</v>
      </c>
      <c r="D25" t="s">
        <v>32</v>
      </c>
      <c r="E25" t="s">
        <v>27</v>
      </c>
      <c r="F25" t="s">
        <v>56</v>
      </c>
      <c r="G25">
        <v>7</v>
      </c>
      <c r="H25" s="2">
        <v>2746.53</v>
      </c>
      <c r="I25" s="2">
        <f t="shared" si="0"/>
        <v>19225.710000000003</v>
      </c>
      <c r="J25" t="s">
        <v>24</v>
      </c>
      <c r="L25" s="9">
        <f t="shared" si="1"/>
        <v>2</v>
      </c>
      <c r="M25" t="str">
        <f t="shared" si="2"/>
        <v>Tuesday</v>
      </c>
      <c r="N25">
        <f t="shared" si="3"/>
        <v>11</v>
      </c>
    </row>
    <row r="26" spans="1:14" x14ac:dyDescent="0.3">
      <c r="A26" t="s">
        <v>87</v>
      </c>
      <c r="B26" s="1">
        <v>45886</v>
      </c>
      <c r="C26" t="s">
        <v>88</v>
      </c>
      <c r="D26" t="s">
        <v>12</v>
      </c>
      <c r="E26" t="s">
        <v>13</v>
      </c>
      <c r="F26" t="s">
        <v>89</v>
      </c>
      <c r="G26">
        <v>5</v>
      </c>
      <c r="H26" s="2">
        <v>4509.72</v>
      </c>
      <c r="I26" s="2">
        <f t="shared" si="0"/>
        <v>22548.600000000002</v>
      </c>
      <c r="J26" t="s">
        <v>52</v>
      </c>
      <c r="L26" s="9">
        <f t="shared" si="1"/>
        <v>3</v>
      </c>
      <c r="M26" t="str">
        <f t="shared" si="2"/>
        <v>Sunday</v>
      </c>
      <c r="N26">
        <f t="shared" si="3"/>
        <v>11</v>
      </c>
    </row>
    <row r="27" spans="1:14" x14ac:dyDescent="0.3">
      <c r="A27" t="s">
        <v>90</v>
      </c>
      <c r="B27" s="1">
        <v>45960</v>
      </c>
      <c r="C27" t="s">
        <v>91</v>
      </c>
      <c r="D27" t="s">
        <v>60</v>
      </c>
      <c r="E27" t="s">
        <v>27</v>
      </c>
      <c r="F27" t="s">
        <v>33</v>
      </c>
      <c r="G27">
        <v>7</v>
      </c>
      <c r="H27" s="2">
        <v>3840.32</v>
      </c>
      <c r="I27" s="2">
        <f t="shared" si="0"/>
        <v>26882.240000000002</v>
      </c>
      <c r="J27" t="s">
        <v>52</v>
      </c>
      <c r="L27" s="9">
        <f t="shared" si="1"/>
        <v>4</v>
      </c>
      <c r="M27" t="str">
        <f t="shared" si="2"/>
        <v>Thursday</v>
      </c>
      <c r="N27">
        <f t="shared" si="3"/>
        <v>12</v>
      </c>
    </row>
    <row r="28" spans="1:14" x14ac:dyDescent="0.3">
      <c r="A28" t="s">
        <v>92</v>
      </c>
      <c r="B28" s="1">
        <v>45914</v>
      </c>
      <c r="C28" t="s">
        <v>93</v>
      </c>
      <c r="D28" t="s">
        <v>12</v>
      </c>
      <c r="E28" t="s">
        <v>13</v>
      </c>
      <c r="F28" t="s">
        <v>14</v>
      </c>
      <c r="G28">
        <v>4</v>
      </c>
      <c r="H28" s="2">
        <v>2192.6999999999998</v>
      </c>
      <c r="I28" s="2">
        <f t="shared" si="0"/>
        <v>8770.7999999999993</v>
      </c>
      <c r="J28" t="s">
        <v>24</v>
      </c>
      <c r="L28" s="9">
        <f t="shared" si="1"/>
        <v>3</v>
      </c>
      <c r="M28" t="str">
        <f t="shared" si="2"/>
        <v>Sunday</v>
      </c>
      <c r="N28">
        <f t="shared" si="3"/>
        <v>11</v>
      </c>
    </row>
    <row r="29" spans="1:14" x14ac:dyDescent="0.3">
      <c r="A29" t="s">
        <v>94</v>
      </c>
      <c r="B29" s="1">
        <v>45951</v>
      </c>
      <c r="C29" t="s">
        <v>95</v>
      </c>
      <c r="D29" t="s">
        <v>55</v>
      </c>
      <c r="E29" t="s">
        <v>13</v>
      </c>
      <c r="F29" t="s">
        <v>19</v>
      </c>
      <c r="G29">
        <v>9</v>
      </c>
      <c r="H29" s="2">
        <v>410.99</v>
      </c>
      <c r="I29" s="2">
        <f t="shared" si="0"/>
        <v>3698.91</v>
      </c>
      <c r="J29" t="s">
        <v>24</v>
      </c>
      <c r="L29" s="9">
        <f t="shared" si="1"/>
        <v>4</v>
      </c>
      <c r="M29" t="str">
        <f t="shared" si="2"/>
        <v>Tuesday</v>
      </c>
      <c r="N29">
        <f t="shared" si="3"/>
        <v>15</v>
      </c>
    </row>
    <row r="30" spans="1:14" x14ac:dyDescent="0.3">
      <c r="A30" t="s">
        <v>96</v>
      </c>
      <c r="B30" s="1">
        <v>45991</v>
      </c>
      <c r="C30" t="s">
        <v>97</v>
      </c>
      <c r="D30" t="s">
        <v>55</v>
      </c>
      <c r="E30" t="s">
        <v>22</v>
      </c>
      <c r="F30" t="s">
        <v>23</v>
      </c>
      <c r="G30">
        <v>3</v>
      </c>
      <c r="H30" s="2">
        <v>3314.11</v>
      </c>
      <c r="I30" s="2">
        <f t="shared" si="0"/>
        <v>9942.33</v>
      </c>
      <c r="J30" t="s">
        <v>52</v>
      </c>
      <c r="L30" s="9">
        <f t="shared" si="1"/>
        <v>4</v>
      </c>
      <c r="M30" t="str">
        <f t="shared" si="2"/>
        <v>Sunday</v>
      </c>
      <c r="N30">
        <f t="shared" si="3"/>
        <v>10</v>
      </c>
    </row>
    <row r="31" spans="1:14" x14ac:dyDescent="0.3">
      <c r="A31" t="s">
        <v>98</v>
      </c>
      <c r="B31" s="1">
        <v>46010</v>
      </c>
      <c r="C31" t="s">
        <v>99</v>
      </c>
      <c r="D31" t="s">
        <v>12</v>
      </c>
      <c r="E31" t="s">
        <v>27</v>
      </c>
      <c r="F31" t="s">
        <v>51</v>
      </c>
      <c r="G31">
        <v>4</v>
      </c>
      <c r="H31" s="2">
        <v>2398.2399999999998</v>
      </c>
      <c r="I31" s="2">
        <f t="shared" si="0"/>
        <v>9592.9599999999991</v>
      </c>
      <c r="J31" t="s">
        <v>52</v>
      </c>
      <c r="L31" s="9">
        <f t="shared" si="1"/>
        <v>4</v>
      </c>
      <c r="M31" t="str">
        <f t="shared" si="2"/>
        <v>Friday</v>
      </c>
      <c r="N31">
        <f t="shared" si="3"/>
        <v>12</v>
      </c>
    </row>
    <row r="32" spans="1:14" x14ac:dyDescent="0.3">
      <c r="A32" t="s">
        <v>100</v>
      </c>
      <c r="B32" s="1">
        <v>45809</v>
      </c>
      <c r="C32" t="s">
        <v>101</v>
      </c>
      <c r="D32" t="s">
        <v>32</v>
      </c>
      <c r="E32" t="s">
        <v>22</v>
      </c>
      <c r="F32" t="s">
        <v>102</v>
      </c>
      <c r="G32">
        <v>3</v>
      </c>
      <c r="H32" s="2">
        <v>4820.51</v>
      </c>
      <c r="I32" s="2">
        <f t="shared" si="0"/>
        <v>14461.53</v>
      </c>
      <c r="J32" t="s">
        <v>24</v>
      </c>
      <c r="L32" s="9">
        <f t="shared" si="1"/>
        <v>2</v>
      </c>
      <c r="M32" t="str">
        <f t="shared" si="2"/>
        <v>Sunday</v>
      </c>
      <c r="N32">
        <f t="shared" si="3"/>
        <v>10</v>
      </c>
    </row>
    <row r="33" spans="1:14" x14ac:dyDescent="0.3">
      <c r="A33" t="s">
        <v>103</v>
      </c>
      <c r="B33" s="1">
        <v>45844</v>
      </c>
      <c r="C33" t="s">
        <v>50</v>
      </c>
      <c r="D33" t="s">
        <v>32</v>
      </c>
      <c r="E33" t="s">
        <v>22</v>
      </c>
      <c r="F33" t="s">
        <v>104</v>
      </c>
      <c r="G33">
        <v>3</v>
      </c>
      <c r="H33" s="2">
        <v>641.61</v>
      </c>
      <c r="I33" s="2">
        <f t="shared" si="0"/>
        <v>1924.83</v>
      </c>
      <c r="J33" t="s">
        <v>29</v>
      </c>
      <c r="L33" s="9">
        <f t="shared" si="1"/>
        <v>3</v>
      </c>
      <c r="M33" t="str">
        <f t="shared" si="2"/>
        <v>Sunday</v>
      </c>
      <c r="N33">
        <f t="shared" si="3"/>
        <v>12</v>
      </c>
    </row>
    <row r="34" spans="1:14" x14ac:dyDescent="0.3">
      <c r="A34" t="s">
        <v>105</v>
      </c>
      <c r="B34" s="1">
        <v>45823</v>
      </c>
      <c r="C34" t="s">
        <v>106</v>
      </c>
      <c r="D34" t="s">
        <v>18</v>
      </c>
      <c r="E34" t="s">
        <v>44</v>
      </c>
      <c r="F34" t="s">
        <v>71</v>
      </c>
      <c r="G34">
        <v>1</v>
      </c>
      <c r="H34" s="2">
        <v>4060.57</v>
      </c>
      <c r="I34" s="2">
        <f t="shared" ref="I34:I65" si="4">G34*H34</f>
        <v>4060.57</v>
      </c>
      <c r="J34" t="s">
        <v>52</v>
      </c>
      <c r="L34" s="9">
        <f t="shared" si="1"/>
        <v>2</v>
      </c>
      <c r="M34" t="str">
        <f t="shared" si="2"/>
        <v>Sunday</v>
      </c>
      <c r="N34">
        <f t="shared" si="3"/>
        <v>11</v>
      </c>
    </row>
    <row r="35" spans="1:14" x14ac:dyDescent="0.3">
      <c r="A35" t="s">
        <v>107</v>
      </c>
      <c r="B35" s="1">
        <v>46001</v>
      </c>
      <c r="C35" t="s">
        <v>93</v>
      </c>
      <c r="D35" t="s">
        <v>12</v>
      </c>
      <c r="E35" t="s">
        <v>22</v>
      </c>
      <c r="F35" t="s">
        <v>61</v>
      </c>
      <c r="G35">
        <v>4</v>
      </c>
      <c r="H35" s="2">
        <v>3612.56</v>
      </c>
      <c r="I35" s="2">
        <f t="shared" si="4"/>
        <v>14450.24</v>
      </c>
      <c r="J35" t="s">
        <v>52</v>
      </c>
      <c r="L35" s="9">
        <f t="shared" si="1"/>
        <v>4</v>
      </c>
      <c r="M35" t="str">
        <f t="shared" si="2"/>
        <v>Wednesday</v>
      </c>
      <c r="N35">
        <f t="shared" si="3"/>
        <v>11</v>
      </c>
    </row>
    <row r="36" spans="1:14" x14ac:dyDescent="0.3">
      <c r="A36" t="s">
        <v>108</v>
      </c>
      <c r="B36" s="1">
        <v>45693</v>
      </c>
      <c r="C36" t="s">
        <v>11</v>
      </c>
      <c r="D36" t="s">
        <v>18</v>
      </c>
      <c r="E36" t="s">
        <v>27</v>
      </c>
      <c r="F36" t="s">
        <v>51</v>
      </c>
      <c r="G36">
        <v>5</v>
      </c>
      <c r="H36" s="2">
        <v>782.09</v>
      </c>
      <c r="I36" s="2">
        <f t="shared" si="4"/>
        <v>3910.4500000000003</v>
      </c>
      <c r="J36" t="s">
        <v>24</v>
      </c>
      <c r="L36" s="9">
        <f t="shared" si="1"/>
        <v>1</v>
      </c>
      <c r="M36" t="str">
        <f t="shared" si="2"/>
        <v>Wednesday</v>
      </c>
      <c r="N36">
        <f t="shared" si="3"/>
        <v>10</v>
      </c>
    </row>
    <row r="37" spans="1:14" x14ac:dyDescent="0.3">
      <c r="A37" t="s">
        <v>109</v>
      </c>
      <c r="B37" s="1">
        <v>45959</v>
      </c>
      <c r="C37" t="s">
        <v>84</v>
      </c>
      <c r="D37" t="s">
        <v>12</v>
      </c>
      <c r="E37" t="s">
        <v>44</v>
      </c>
      <c r="F37" t="s">
        <v>45</v>
      </c>
      <c r="G37">
        <v>3</v>
      </c>
      <c r="H37" s="2">
        <v>1582.98</v>
      </c>
      <c r="I37" s="2">
        <f t="shared" si="4"/>
        <v>4748.9400000000005</v>
      </c>
      <c r="J37" t="s">
        <v>41</v>
      </c>
      <c r="L37" s="9">
        <f t="shared" si="1"/>
        <v>4</v>
      </c>
      <c r="M37" t="str">
        <f t="shared" si="2"/>
        <v>Wednesday</v>
      </c>
      <c r="N37">
        <f t="shared" si="3"/>
        <v>10</v>
      </c>
    </row>
    <row r="38" spans="1:14" x14ac:dyDescent="0.3">
      <c r="A38" t="s">
        <v>110</v>
      </c>
      <c r="B38" s="1">
        <v>46013</v>
      </c>
      <c r="C38" t="s">
        <v>111</v>
      </c>
      <c r="D38" t="s">
        <v>18</v>
      </c>
      <c r="E38" t="s">
        <v>13</v>
      </c>
      <c r="F38" t="s">
        <v>14</v>
      </c>
      <c r="G38">
        <v>7</v>
      </c>
      <c r="H38" s="2">
        <v>1743.66</v>
      </c>
      <c r="I38" s="2">
        <f t="shared" si="4"/>
        <v>12205.62</v>
      </c>
      <c r="J38" t="s">
        <v>52</v>
      </c>
      <c r="L38" s="9">
        <f t="shared" si="1"/>
        <v>4</v>
      </c>
      <c r="M38" t="str">
        <f t="shared" si="2"/>
        <v>Monday</v>
      </c>
      <c r="N38">
        <f t="shared" si="3"/>
        <v>10</v>
      </c>
    </row>
    <row r="39" spans="1:14" x14ac:dyDescent="0.3">
      <c r="A39" t="s">
        <v>112</v>
      </c>
      <c r="B39" s="1">
        <v>45938</v>
      </c>
      <c r="C39" t="s">
        <v>101</v>
      </c>
      <c r="D39" t="s">
        <v>18</v>
      </c>
      <c r="E39" t="s">
        <v>44</v>
      </c>
      <c r="F39" t="s">
        <v>71</v>
      </c>
      <c r="G39">
        <v>7</v>
      </c>
      <c r="H39" s="2">
        <v>825.99</v>
      </c>
      <c r="I39" s="2">
        <f t="shared" si="4"/>
        <v>5781.93</v>
      </c>
      <c r="J39" t="s">
        <v>52</v>
      </c>
      <c r="L39" s="9">
        <f t="shared" si="1"/>
        <v>4</v>
      </c>
      <c r="M39" t="str">
        <f t="shared" si="2"/>
        <v>Wednesday</v>
      </c>
      <c r="N39">
        <f t="shared" si="3"/>
        <v>10</v>
      </c>
    </row>
    <row r="40" spans="1:14" x14ac:dyDescent="0.3">
      <c r="A40" t="s">
        <v>113</v>
      </c>
      <c r="B40" s="1">
        <v>45745</v>
      </c>
      <c r="C40" t="s">
        <v>35</v>
      </c>
      <c r="D40" t="s">
        <v>55</v>
      </c>
      <c r="E40" t="s">
        <v>13</v>
      </c>
      <c r="F40" t="s">
        <v>89</v>
      </c>
      <c r="G40">
        <v>3</v>
      </c>
      <c r="H40" s="2">
        <v>3558.17</v>
      </c>
      <c r="I40" s="2">
        <f t="shared" si="4"/>
        <v>10674.51</v>
      </c>
      <c r="J40" t="s">
        <v>29</v>
      </c>
      <c r="L40" s="9">
        <f t="shared" si="1"/>
        <v>1</v>
      </c>
      <c r="M40" t="str">
        <f t="shared" si="2"/>
        <v>Saturday</v>
      </c>
      <c r="N40">
        <f t="shared" si="3"/>
        <v>11</v>
      </c>
    </row>
    <row r="41" spans="1:14" x14ac:dyDescent="0.3">
      <c r="A41" t="s">
        <v>114</v>
      </c>
      <c r="B41" s="1">
        <v>45755</v>
      </c>
      <c r="C41" t="s">
        <v>115</v>
      </c>
      <c r="D41" t="s">
        <v>12</v>
      </c>
      <c r="E41" t="s">
        <v>13</v>
      </c>
      <c r="F41" t="s">
        <v>14</v>
      </c>
      <c r="G41">
        <v>1</v>
      </c>
      <c r="H41" s="2">
        <v>3244.49</v>
      </c>
      <c r="I41" s="2">
        <f t="shared" si="4"/>
        <v>3244.49</v>
      </c>
      <c r="J41" t="s">
        <v>15</v>
      </c>
      <c r="L41" s="9">
        <f t="shared" si="1"/>
        <v>2</v>
      </c>
      <c r="M41" t="str">
        <f t="shared" si="2"/>
        <v>Tuesday</v>
      </c>
      <c r="N41">
        <f t="shared" si="3"/>
        <v>14</v>
      </c>
    </row>
    <row r="42" spans="1:14" x14ac:dyDescent="0.3">
      <c r="A42" t="s">
        <v>116</v>
      </c>
      <c r="B42" s="1">
        <v>45874</v>
      </c>
      <c r="C42" t="s">
        <v>93</v>
      </c>
      <c r="D42" t="s">
        <v>60</v>
      </c>
      <c r="E42" t="s">
        <v>27</v>
      </c>
      <c r="F42" t="s">
        <v>33</v>
      </c>
      <c r="G42">
        <v>3</v>
      </c>
      <c r="H42" s="2">
        <v>1493.13</v>
      </c>
      <c r="I42" s="2">
        <f t="shared" si="4"/>
        <v>4479.3900000000003</v>
      </c>
      <c r="J42" t="s">
        <v>52</v>
      </c>
      <c r="L42" s="9">
        <f t="shared" si="1"/>
        <v>3</v>
      </c>
      <c r="M42" t="str">
        <f t="shared" si="2"/>
        <v>Tuesday</v>
      </c>
      <c r="N42">
        <f t="shared" si="3"/>
        <v>11</v>
      </c>
    </row>
    <row r="43" spans="1:14" x14ac:dyDescent="0.3">
      <c r="A43" t="s">
        <v>117</v>
      </c>
      <c r="B43" s="1">
        <v>45894</v>
      </c>
      <c r="C43" t="s">
        <v>91</v>
      </c>
      <c r="D43" t="s">
        <v>55</v>
      </c>
      <c r="E43" t="s">
        <v>22</v>
      </c>
      <c r="F43" t="s">
        <v>23</v>
      </c>
      <c r="G43">
        <v>8</v>
      </c>
      <c r="H43" s="2">
        <v>4548.6499999999996</v>
      </c>
      <c r="I43" s="2">
        <f t="shared" si="4"/>
        <v>36389.199999999997</v>
      </c>
      <c r="J43" t="s">
        <v>15</v>
      </c>
      <c r="L43" s="9">
        <f t="shared" si="1"/>
        <v>3</v>
      </c>
      <c r="M43" t="str">
        <f t="shared" si="2"/>
        <v>Monday</v>
      </c>
      <c r="N43">
        <f t="shared" si="3"/>
        <v>12</v>
      </c>
    </row>
    <row r="44" spans="1:14" x14ac:dyDescent="0.3">
      <c r="A44" t="s">
        <v>118</v>
      </c>
      <c r="B44" s="1">
        <v>46006</v>
      </c>
      <c r="C44" t="s">
        <v>21</v>
      </c>
      <c r="D44" t="s">
        <v>12</v>
      </c>
      <c r="E44" t="s">
        <v>22</v>
      </c>
      <c r="F44" t="s">
        <v>119</v>
      </c>
      <c r="G44">
        <v>6</v>
      </c>
      <c r="H44" s="2">
        <v>2590.34</v>
      </c>
      <c r="I44" s="2">
        <f t="shared" si="4"/>
        <v>15542.04</v>
      </c>
      <c r="J44" t="s">
        <v>52</v>
      </c>
      <c r="L44" s="9">
        <f t="shared" si="1"/>
        <v>4</v>
      </c>
      <c r="M44" t="str">
        <f t="shared" si="2"/>
        <v>Monday</v>
      </c>
      <c r="N44">
        <f t="shared" si="3"/>
        <v>11</v>
      </c>
    </row>
    <row r="45" spans="1:14" x14ac:dyDescent="0.3">
      <c r="A45" t="s">
        <v>120</v>
      </c>
      <c r="B45" s="1">
        <v>45738</v>
      </c>
      <c r="C45" t="s">
        <v>39</v>
      </c>
      <c r="D45" t="s">
        <v>32</v>
      </c>
      <c r="E45" t="s">
        <v>44</v>
      </c>
      <c r="F45" t="s">
        <v>71</v>
      </c>
      <c r="G45">
        <v>4</v>
      </c>
      <c r="H45" s="2">
        <v>1033.5</v>
      </c>
      <c r="I45" s="2">
        <f t="shared" si="4"/>
        <v>4134</v>
      </c>
      <c r="J45" t="s">
        <v>24</v>
      </c>
      <c r="L45" s="9">
        <f t="shared" si="1"/>
        <v>1</v>
      </c>
      <c r="M45" t="str">
        <f t="shared" si="2"/>
        <v>Saturday</v>
      </c>
      <c r="N45">
        <f t="shared" si="3"/>
        <v>9</v>
      </c>
    </row>
    <row r="46" spans="1:14" x14ac:dyDescent="0.3">
      <c r="A46" t="s">
        <v>121</v>
      </c>
      <c r="B46" s="1">
        <v>45825</v>
      </c>
      <c r="C46" t="s">
        <v>43</v>
      </c>
      <c r="D46" t="s">
        <v>18</v>
      </c>
      <c r="E46" t="s">
        <v>13</v>
      </c>
      <c r="F46" t="s">
        <v>40</v>
      </c>
      <c r="G46">
        <v>7</v>
      </c>
      <c r="H46" s="2">
        <v>389.24</v>
      </c>
      <c r="I46" s="2">
        <f t="shared" si="4"/>
        <v>2724.6800000000003</v>
      </c>
      <c r="J46" t="s">
        <v>15</v>
      </c>
      <c r="L46" s="9">
        <f t="shared" si="1"/>
        <v>2</v>
      </c>
      <c r="M46" t="str">
        <f t="shared" si="2"/>
        <v>Tuesday</v>
      </c>
      <c r="N46">
        <f t="shared" si="3"/>
        <v>14</v>
      </c>
    </row>
    <row r="47" spans="1:14" x14ac:dyDescent="0.3">
      <c r="A47" t="s">
        <v>122</v>
      </c>
      <c r="B47" s="1">
        <v>46020</v>
      </c>
      <c r="C47" t="s">
        <v>47</v>
      </c>
      <c r="D47" t="s">
        <v>60</v>
      </c>
      <c r="E47" t="s">
        <v>22</v>
      </c>
      <c r="F47" t="s">
        <v>61</v>
      </c>
      <c r="G47">
        <v>9</v>
      </c>
      <c r="H47" s="2">
        <v>2586.19</v>
      </c>
      <c r="I47" s="2">
        <f t="shared" si="4"/>
        <v>23275.71</v>
      </c>
      <c r="J47" t="s">
        <v>41</v>
      </c>
      <c r="L47" s="9">
        <f t="shared" si="1"/>
        <v>4</v>
      </c>
      <c r="M47" t="str">
        <f t="shared" si="2"/>
        <v>Monday</v>
      </c>
      <c r="N47">
        <f t="shared" si="3"/>
        <v>11</v>
      </c>
    </row>
    <row r="48" spans="1:14" x14ac:dyDescent="0.3">
      <c r="A48" t="s">
        <v>123</v>
      </c>
      <c r="B48" s="1">
        <v>46001</v>
      </c>
      <c r="C48" t="s">
        <v>124</v>
      </c>
      <c r="D48" t="s">
        <v>32</v>
      </c>
      <c r="E48" t="s">
        <v>36</v>
      </c>
      <c r="F48" t="s">
        <v>125</v>
      </c>
      <c r="G48">
        <v>5</v>
      </c>
      <c r="H48" s="2">
        <v>2959.11</v>
      </c>
      <c r="I48" s="2">
        <f t="shared" si="4"/>
        <v>14795.550000000001</v>
      </c>
      <c r="J48" t="s">
        <v>41</v>
      </c>
      <c r="L48" s="9">
        <f t="shared" si="1"/>
        <v>4</v>
      </c>
      <c r="M48" t="str">
        <f t="shared" si="2"/>
        <v>Wednesday</v>
      </c>
      <c r="N48">
        <f t="shared" si="3"/>
        <v>15</v>
      </c>
    </row>
    <row r="49" spans="1:14" x14ac:dyDescent="0.3">
      <c r="A49" t="s">
        <v>126</v>
      </c>
      <c r="B49" s="1">
        <v>46002</v>
      </c>
      <c r="C49" t="s">
        <v>99</v>
      </c>
      <c r="D49" t="s">
        <v>60</v>
      </c>
      <c r="E49" t="s">
        <v>13</v>
      </c>
      <c r="F49" t="s">
        <v>14</v>
      </c>
      <c r="G49">
        <v>6</v>
      </c>
      <c r="H49" s="2">
        <v>1365.61</v>
      </c>
      <c r="I49" s="2">
        <f t="shared" si="4"/>
        <v>8193.66</v>
      </c>
      <c r="J49" t="s">
        <v>15</v>
      </c>
      <c r="L49" s="9">
        <f t="shared" si="1"/>
        <v>4</v>
      </c>
      <c r="M49" t="str">
        <f t="shared" si="2"/>
        <v>Thursday</v>
      </c>
      <c r="N49">
        <f t="shared" si="3"/>
        <v>12</v>
      </c>
    </row>
    <row r="50" spans="1:14" x14ac:dyDescent="0.3">
      <c r="A50" t="s">
        <v>127</v>
      </c>
      <c r="B50" s="1">
        <v>45729</v>
      </c>
      <c r="C50" t="s">
        <v>43</v>
      </c>
      <c r="D50" t="s">
        <v>32</v>
      </c>
      <c r="E50" t="s">
        <v>44</v>
      </c>
      <c r="F50" t="s">
        <v>71</v>
      </c>
      <c r="G50">
        <v>6</v>
      </c>
      <c r="H50" s="2">
        <v>1824.55</v>
      </c>
      <c r="I50" s="2">
        <f t="shared" si="4"/>
        <v>10947.3</v>
      </c>
      <c r="J50" t="s">
        <v>15</v>
      </c>
      <c r="L50" s="9">
        <f t="shared" si="1"/>
        <v>1</v>
      </c>
      <c r="M50" t="str">
        <f t="shared" si="2"/>
        <v>Thursday</v>
      </c>
      <c r="N50">
        <f t="shared" si="3"/>
        <v>14</v>
      </c>
    </row>
    <row r="51" spans="1:14" x14ac:dyDescent="0.3">
      <c r="A51" t="s">
        <v>128</v>
      </c>
      <c r="B51" s="1">
        <v>45836</v>
      </c>
      <c r="C51" t="s">
        <v>86</v>
      </c>
      <c r="D51" t="s">
        <v>32</v>
      </c>
      <c r="E51" t="s">
        <v>36</v>
      </c>
      <c r="F51" t="s">
        <v>37</v>
      </c>
      <c r="G51">
        <v>4</v>
      </c>
      <c r="H51" s="2">
        <v>1058.51</v>
      </c>
      <c r="I51" s="2">
        <f t="shared" si="4"/>
        <v>4234.04</v>
      </c>
      <c r="J51" t="s">
        <v>52</v>
      </c>
      <c r="L51" s="9">
        <f t="shared" si="1"/>
        <v>2</v>
      </c>
      <c r="M51" t="str">
        <f t="shared" si="2"/>
        <v>Saturday</v>
      </c>
      <c r="N51">
        <f t="shared" si="3"/>
        <v>11</v>
      </c>
    </row>
    <row r="52" spans="1:14" x14ac:dyDescent="0.3">
      <c r="A52" t="s">
        <v>129</v>
      </c>
      <c r="B52" s="1">
        <v>45890</v>
      </c>
      <c r="C52" t="s">
        <v>93</v>
      </c>
      <c r="D52" t="s">
        <v>18</v>
      </c>
      <c r="E52" t="s">
        <v>13</v>
      </c>
      <c r="F52" t="s">
        <v>40</v>
      </c>
      <c r="G52">
        <v>8</v>
      </c>
      <c r="H52" s="2">
        <v>3246.78</v>
      </c>
      <c r="I52" s="2">
        <f t="shared" si="4"/>
        <v>25974.240000000002</v>
      </c>
      <c r="J52" t="s">
        <v>24</v>
      </c>
      <c r="L52" s="9">
        <f t="shared" si="1"/>
        <v>3</v>
      </c>
      <c r="M52" t="str">
        <f t="shared" si="2"/>
        <v>Thursday</v>
      </c>
      <c r="N52">
        <f t="shared" si="3"/>
        <v>11</v>
      </c>
    </row>
    <row r="53" spans="1:14" x14ac:dyDescent="0.3">
      <c r="A53" t="s">
        <v>130</v>
      </c>
      <c r="B53" s="1">
        <v>45685</v>
      </c>
      <c r="C53" t="s">
        <v>26</v>
      </c>
      <c r="D53" t="s">
        <v>12</v>
      </c>
      <c r="E53" t="s">
        <v>13</v>
      </c>
      <c r="F53" t="s">
        <v>64</v>
      </c>
      <c r="G53">
        <v>6</v>
      </c>
      <c r="H53" s="2">
        <v>214.49</v>
      </c>
      <c r="I53" s="2">
        <f t="shared" si="4"/>
        <v>1286.94</v>
      </c>
      <c r="J53" t="s">
        <v>52</v>
      </c>
      <c r="L53" s="9">
        <f t="shared" si="1"/>
        <v>1</v>
      </c>
      <c r="M53" t="str">
        <f t="shared" si="2"/>
        <v>Tuesday</v>
      </c>
      <c r="N53">
        <f t="shared" si="3"/>
        <v>11</v>
      </c>
    </row>
    <row r="54" spans="1:14" x14ac:dyDescent="0.3">
      <c r="A54" t="s">
        <v>131</v>
      </c>
      <c r="B54" s="1">
        <v>45870</v>
      </c>
      <c r="C54" t="s">
        <v>101</v>
      </c>
      <c r="D54" t="s">
        <v>18</v>
      </c>
      <c r="E54" t="s">
        <v>36</v>
      </c>
      <c r="F54" t="s">
        <v>82</v>
      </c>
      <c r="G54">
        <v>8</v>
      </c>
      <c r="H54" s="2">
        <v>1738.7</v>
      </c>
      <c r="I54" s="2">
        <f t="shared" si="4"/>
        <v>13909.6</v>
      </c>
      <c r="J54" t="s">
        <v>29</v>
      </c>
      <c r="L54" s="9">
        <f t="shared" si="1"/>
        <v>3</v>
      </c>
      <c r="M54" t="str">
        <f t="shared" si="2"/>
        <v>Friday</v>
      </c>
      <c r="N54">
        <f t="shared" si="3"/>
        <v>10</v>
      </c>
    </row>
    <row r="55" spans="1:14" x14ac:dyDescent="0.3">
      <c r="A55" t="s">
        <v>132</v>
      </c>
      <c r="B55" s="1">
        <v>45924</v>
      </c>
      <c r="C55" t="s">
        <v>26</v>
      </c>
      <c r="D55" t="s">
        <v>60</v>
      </c>
      <c r="E55" t="s">
        <v>13</v>
      </c>
      <c r="F55" t="s">
        <v>64</v>
      </c>
      <c r="G55">
        <v>2</v>
      </c>
      <c r="H55" s="2">
        <v>2616.39</v>
      </c>
      <c r="I55" s="2">
        <f t="shared" si="4"/>
        <v>5232.78</v>
      </c>
      <c r="J55" t="s">
        <v>24</v>
      </c>
      <c r="L55" s="9">
        <f t="shared" si="1"/>
        <v>3</v>
      </c>
      <c r="M55" t="str">
        <f t="shared" si="2"/>
        <v>Wednesday</v>
      </c>
      <c r="N55">
        <f t="shared" si="3"/>
        <v>11</v>
      </c>
    </row>
    <row r="56" spans="1:14" x14ac:dyDescent="0.3">
      <c r="A56" t="s">
        <v>133</v>
      </c>
      <c r="B56" s="1">
        <v>45911</v>
      </c>
      <c r="C56" t="s">
        <v>81</v>
      </c>
      <c r="D56" t="s">
        <v>60</v>
      </c>
      <c r="E56" t="s">
        <v>22</v>
      </c>
      <c r="F56" t="s">
        <v>61</v>
      </c>
      <c r="G56">
        <v>1</v>
      </c>
      <c r="H56" s="2">
        <v>4263.68</v>
      </c>
      <c r="I56" s="2">
        <f t="shared" si="4"/>
        <v>4263.68</v>
      </c>
      <c r="J56" t="s">
        <v>24</v>
      </c>
      <c r="L56" s="9">
        <f t="shared" si="1"/>
        <v>3</v>
      </c>
      <c r="M56" t="str">
        <f t="shared" si="2"/>
        <v>Thursday</v>
      </c>
      <c r="N56">
        <f t="shared" si="3"/>
        <v>11</v>
      </c>
    </row>
    <row r="57" spans="1:14" x14ac:dyDescent="0.3">
      <c r="A57" t="s">
        <v>134</v>
      </c>
      <c r="B57" s="1">
        <v>45995</v>
      </c>
      <c r="C57" t="s">
        <v>93</v>
      </c>
      <c r="D57" t="s">
        <v>18</v>
      </c>
      <c r="E57" t="s">
        <v>36</v>
      </c>
      <c r="F57" t="s">
        <v>135</v>
      </c>
      <c r="G57">
        <v>6</v>
      </c>
      <c r="H57" s="2">
        <v>3196.76</v>
      </c>
      <c r="I57" s="2">
        <f t="shared" si="4"/>
        <v>19180.560000000001</v>
      </c>
      <c r="J57" t="s">
        <v>29</v>
      </c>
      <c r="L57" s="9">
        <f t="shared" si="1"/>
        <v>4</v>
      </c>
      <c r="M57" t="str">
        <f t="shared" si="2"/>
        <v>Thursday</v>
      </c>
      <c r="N57">
        <f t="shared" si="3"/>
        <v>11</v>
      </c>
    </row>
    <row r="58" spans="1:14" x14ac:dyDescent="0.3">
      <c r="A58" t="s">
        <v>136</v>
      </c>
      <c r="B58" s="1">
        <v>45842</v>
      </c>
      <c r="C58" t="s">
        <v>39</v>
      </c>
      <c r="D58" t="s">
        <v>55</v>
      </c>
      <c r="E58" t="s">
        <v>22</v>
      </c>
      <c r="F58" t="s">
        <v>23</v>
      </c>
      <c r="G58">
        <v>10</v>
      </c>
      <c r="H58" s="2">
        <v>2455.61</v>
      </c>
      <c r="I58" s="2">
        <f t="shared" si="4"/>
        <v>24556.100000000002</v>
      </c>
      <c r="J58" t="s">
        <v>52</v>
      </c>
      <c r="L58" s="9">
        <f t="shared" si="1"/>
        <v>3</v>
      </c>
      <c r="M58" t="str">
        <f t="shared" si="2"/>
        <v>Friday</v>
      </c>
      <c r="N58">
        <f t="shared" si="3"/>
        <v>9</v>
      </c>
    </row>
    <row r="59" spans="1:14" x14ac:dyDescent="0.3">
      <c r="A59" t="s">
        <v>137</v>
      </c>
      <c r="B59" s="1">
        <v>45987</v>
      </c>
      <c r="C59" t="s">
        <v>26</v>
      </c>
      <c r="D59" t="s">
        <v>60</v>
      </c>
      <c r="E59" t="s">
        <v>44</v>
      </c>
      <c r="F59" t="s">
        <v>71</v>
      </c>
      <c r="G59">
        <v>2</v>
      </c>
      <c r="H59" s="2">
        <v>239.82</v>
      </c>
      <c r="I59" s="2">
        <f t="shared" si="4"/>
        <v>479.64</v>
      </c>
      <c r="J59" t="s">
        <v>29</v>
      </c>
      <c r="L59" s="9">
        <f t="shared" si="1"/>
        <v>4</v>
      </c>
      <c r="M59" t="str">
        <f t="shared" si="2"/>
        <v>Wednesday</v>
      </c>
      <c r="N59">
        <f t="shared" si="3"/>
        <v>11</v>
      </c>
    </row>
    <row r="60" spans="1:14" x14ac:dyDescent="0.3">
      <c r="A60" t="s">
        <v>138</v>
      </c>
      <c r="B60" s="1">
        <v>46021</v>
      </c>
      <c r="C60" t="s">
        <v>79</v>
      </c>
      <c r="D60" t="s">
        <v>12</v>
      </c>
      <c r="E60" t="s">
        <v>13</v>
      </c>
      <c r="F60" t="s">
        <v>64</v>
      </c>
      <c r="G60">
        <v>1</v>
      </c>
      <c r="H60" s="2">
        <v>4040.34</v>
      </c>
      <c r="I60" s="2">
        <f t="shared" si="4"/>
        <v>4040.34</v>
      </c>
      <c r="J60" t="s">
        <v>52</v>
      </c>
      <c r="L60" s="9">
        <f t="shared" si="1"/>
        <v>4</v>
      </c>
      <c r="M60" t="str">
        <f t="shared" si="2"/>
        <v>Tuesday</v>
      </c>
      <c r="N60">
        <f t="shared" si="3"/>
        <v>11</v>
      </c>
    </row>
    <row r="61" spans="1:14" x14ac:dyDescent="0.3">
      <c r="A61" t="s">
        <v>139</v>
      </c>
      <c r="B61" s="1">
        <v>45688</v>
      </c>
      <c r="C61" t="s">
        <v>84</v>
      </c>
      <c r="D61" t="s">
        <v>55</v>
      </c>
      <c r="E61" t="s">
        <v>13</v>
      </c>
      <c r="F61" t="s">
        <v>64</v>
      </c>
      <c r="G61">
        <v>4</v>
      </c>
      <c r="H61" s="2">
        <v>4488.93</v>
      </c>
      <c r="I61" s="2">
        <f t="shared" si="4"/>
        <v>17955.72</v>
      </c>
      <c r="J61" t="s">
        <v>52</v>
      </c>
      <c r="L61" s="9">
        <f t="shared" si="1"/>
        <v>1</v>
      </c>
      <c r="M61" t="str">
        <f t="shared" si="2"/>
        <v>Friday</v>
      </c>
      <c r="N61">
        <f t="shared" si="3"/>
        <v>10</v>
      </c>
    </row>
    <row r="62" spans="1:14" x14ac:dyDescent="0.3">
      <c r="A62" t="s">
        <v>140</v>
      </c>
      <c r="B62" s="1">
        <v>45696</v>
      </c>
      <c r="C62" t="s">
        <v>141</v>
      </c>
      <c r="D62" t="s">
        <v>18</v>
      </c>
      <c r="E62" t="s">
        <v>36</v>
      </c>
      <c r="F62" t="s">
        <v>37</v>
      </c>
      <c r="G62">
        <v>2</v>
      </c>
      <c r="H62" s="2">
        <v>2688.79</v>
      </c>
      <c r="I62" s="2">
        <f t="shared" si="4"/>
        <v>5377.58</v>
      </c>
      <c r="J62" t="s">
        <v>29</v>
      </c>
      <c r="L62" s="9">
        <f t="shared" si="1"/>
        <v>1</v>
      </c>
      <c r="M62" t="str">
        <f t="shared" si="2"/>
        <v>Saturday</v>
      </c>
      <c r="N62">
        <f t="shared" si="3"/>
        <v>11</v>
      </c>
    </row>
    <row r="63" spans="1:14" x14ac:dyDescent="0.3">
      <c r="A63" t="s">
        <v>142</v>
      </c>
      <c r="B63" s="1">
        <v>45745</v>
      </c>
      <c r="C63" t="s">
        <v>84</v>
      </c>
      <c r="D63" t="s">
        <v>55</v>
      </c>
      <c r="E63" t="s">
        <v>36</v>
      </c>
      <c r="F63" t="s">
        <v>135</v>
      </c>
      <c r="G63">
        <v>10</v>
      </c>
      <c r="H63" s="2">
        <v>2613.4</v>
      </c>
      <c r="I63" s="2">
        <f t="shared" si="4"/>
        <v>26134</v>
      </c>
      <c r="J63" t="s">
        <v>29</v>
      </c>
      <c r="L63" s="9">
        <f t="shared" si="1"/>
        <v>1</v>
      </c>
      <c r="M63" t="str">
        <f t="shared" si="2"/>
        <v>Saturday</v>
      </c>
      <c r="N63">
        <f t="shared" si="3"/>
        <v>10</v>
      </c>
    </row>
    <row r="64" spans="1:14" x14ac:dyDescent="0.3">
      <c r="A64" t="s">
        <v>143</v>
      </c>
      <c r="B64" s="1">
        <v>45879</v>
      </c>
      <c r="C64" t="s">
        <v>144</v>
      </c>
      <c r="D64" t="s">
        <v>32</v>
      </c>
      <c r="E64" t="s">
        <v>13</v>
      </c>
      <c r="F64" t="s">
        <v>40</v>
      </c>
      <c r="G64">
        <v>3</v>
      </c>
      <c r="H64" s="2">
        <v>3851.7</v>
      </c>
      <c r="I64" s="2">
        <f t="shared" si="4"/>
        <v>11555.099999999999</v>
      </c>
      <c r="J64" t="s">
        <v>52</v>
      </c>
      <c r="L64" s="9">
        <f t="shared" si="1"/>
        <v>3</v>
      </c>
      <c r="M64" t="str">
        <f t="shared" si="2"/>
        <v>Sunday</v>
      </c>
      <c r="N64">
        <f t="shared" si="3"/>
        <v>13</v>
      </c>
    </row>
    <row r="65" spans="1:14" x14ac:dyDescent="0.3">
      <c r="A65" t="s">
        <v>145</v>
      </c>
      <c r="B65" s="1">
        <v>45794</v>
      </c>
      <c r="C65" t="s">
        <v>99</v>
      </c>
      <c r="D65" t="s">
        <v>18</v>
      </c>
      <c r="E65" t="s">
        <v>22</v>
      </c>
      <c r="F65" t="s">
        <v>61</v>
      </c>
      <c r="G65">
        <v>6</v>
      </c>
      <c r="H65" s="2">
        <v>2277.75</v>
      </c>
      <c r="I65" s="2">
        <f t="shared" si="4"/>
        <v>13666.5</v>
      </c>
      <c r="J65" t="s">
        <v>41</v>
      </c>
      <c r="L65" s="9">
        <f t="shared" si="1"/>
        <v>2</v>
      </c>
      <c r="M65" t="str">
        <f t="shared" si="2"/>
        <v>Saturday</v>
      </c>
      <c r="N65">
        <f t="shared" si="3"/>
        <v>12</v>
      </c>
    </row>
    <row r="66" spans="1:14" x14ac:dyDescent="0.3">
      <c r="A66" t="s">
        <v>146</v>
      </c>
      <c r="B66" s="1">
        <v>45765</v>
      </c>
      <c r="C66" t="s">
        <v>70</v>
      </c>
      <c r="D66" t="s">
        <v>18</v>
      </c>
      <c r="E66" t="s">
        <v>44</v>
      </c>
      <c r="F66" t="s">
        <v>48</v>
      </c>
      <c r="G66">
        <v>8</v>
      </c>
      <c r="H66" s="2">
        <v>539.26</v>
      </c>
      <c r="I66" s="2">
        <f t="shared" ref="I66:I97" si="5">G66*H66</f>
        <v>4314.08</v>
      </c>
      <c r="J66" t="s">
        <v>15</v>
      </c>
      <c r="L66" s="9">
        <f t="shared" si="1"/>
        <v>2</v>
      </c>
      <c r="M66" t="str">
        <f t="shared" si="2"/>
        <v>Friday</v>
      </c>
      <c r="N66">
        <f t="shared" si="3"/>
        <v>10</v>
      </c>
    </row>
    <row r="67" spans="1:14" x14ac:dyDescent="0.3">
      <c r="A67" t="s">
        <v>147</v>
      </c>
      <c r="B67" s="1">
        <v>45775</v>
      </c>
      <c r="C67" t="s">
        <v>86</v>
      </c>
      <c r="D67" t="s">
        <v>18</v>
      </c>
      <c r="E67" t="s">
        <v>13</v>
      </c>
      <c r="F67" t="s">
        <v>19</v>
      </c>
      <c r="G67">
        <v>4</v>
      </c>
      <c r="H67" s="2">
        <v>4418.7299999999996</v>
      </c>
      <c r="I67" s="2">
        <f t="shared" si="5"/>
        <v>17674.919999999998</v>
      </c>
      <c r="J67" t="s">
        <v>41</v>
      </c>
      <c r="L67" s="9">
        <f t="shared" ref="L67:L130" si="6">ROUNDUP(MONTH(B67)/3,0)</f>
        <v>2</v>
      </c>
      <c r="M67" t="str">
        <f t="shared" ref="M67:M130" si="7">TEXT(B67,"dddd")</f>
        <v>Monday</v>
      </c>
      <c r="N67">
        <f t="shared" ref="N67:N130" si="8">LEN(C67)</f>
        <v>11</v>
      </c>
    </row>
    <row r="68" spans="1:14" x14ac:dyDescent="0.3">
      <c r="A68" t="s">
        <v>148</v>
      </c>
      <c r="B68" s="1">
        <v>45776</v>
      </c>
      <c r="C68" t="s">
        <v>149</v>
      </c>
      <c r="D68" t="s">
        <v>60</v>
      </c>
      <c r="E68" t="s">
        <v>44</v>
      </c>
      <c r="F68" t="s">
        <v>150</v>
      </c>
      <c r="G68">
        <v>2</v>
      </c>
      <c r="H68" s="2">
        <v>3886.4</v>
      </c>
      <c r="I68" s="2">
        <f t="shared" si="5"/>
        <v>7772.8</v>
      </c>
      <c r="J68" t="s">
        <v>24</v>
      </c>
      <c r="L68" s="9">
        <f t="shared" si="6"/>
        <v>2</v>
      </c>
      <c r="M68" t="str">
        <f t="shared" si="7"/>
        <v>Tuesday</v>
      </c>
      <c r="N68">
        <f t="shared" si="8"/>
        <v>14</v>
      </c>
    </row>
    <row r="69" spans="1:14" x14ac:dyDescent="0.3">
      <c r="A69" t="s">
        <v>151</v>
      </c>
      <c r="B69" s="1">
        <v>45928</v>
      </c>
      <c r="C69" t="s">
        <v>111</v>
      </c>
      <c r="D69" t="s">
        <v>32</v>
      </c>
      <c r="E69" t="s">
        <v>36</v>
      </c>
      <c r="F69" t="s">
        <v>77</v>
      </c>
      <c r="G69">
        <v>4</v>
      </c>
      <c r="H69" s="2">
        <v>1901.07</v>
      </c>
      <c r="I69" s="2">
        <f t="shared" si="5"/>
        <v>7604.28</v>
      </c>
      <c r="J69" t="s">
        <v>41</v>
      </c>
      <c r="L69" s="9">
        <f t="shared" si="6"/>
        <v>3</v>
      </c>
      <c r="M69" t="str">
        <f t="shared" si="7"/>
        <v>Sunday</v>
      </c>
      <c r="N69">
        <f t="shared" si="8"/>
        <v>10</v>
      </c>
    </row>
    <row r="70" spans="1:14" x14ac:dyDescent="0.3">
      <c r="A70" t="s">
        <v>152</v>
      </c>
      <c r="B70" s="1">
        <v>45737</v>
      </c>
      <c r="C70" t="s">
        <v>149</v>
      </c>
      <c r="D70" t="s">
        <v>18</v>
      </c>
      <c r="E70" t="s">
        <v>13</v>
      </c>
      <c r="F70" t="s">
        <v>14</v>
      </c>
      <c r="G70">
        <v>7</v>
      </c>
      <c r="H70" s="2">
        <v>3445.21</v>
      </c>
      <c r="I70" s="2">
        <f t="shared" si="5"/>
        <v>24116.47</v>
      </c>
      <c r="J70" t="s">
        <v>41</v>
      </c>
      <c r="L70" s="9">
        <f t="shared" si="6"/>
        <v>1</v>
      </c>
      <c r="M70" t="str">
        <f t="shared" si="7"/>
        <v>Friday</v>
      </c>
      <c r="N70">
        <f t="shared" si="8"/>
        <v>14</v>
      </c>
    </row>
    <row r="71" spans="1:14" x14ac:dyDescent="0.3">
      <c r="A71" t="s">
        <v>153</v>
      </c>
      <c r="B71" s="1">
        <v>46007</v>
      </c>
      <c r="C71" t="s">
        <v>79</v>
      </c>
      <c r="D71" t="s">
        <v>60</v>
      </c>
      <c r="E71" t="s">
        <v>13</v>
      </c>
      <c r="F71" t="s">
        <v>19</v>
      </c>
      <c r="G71">
        <v>7</v>
      </c>
      <c r="H71" s="2">
        <v>2307.35</v>
      </c>
      <c r="I71" s="2">
        <f t="shared" si="5"/>
        <v>16151.449999999999</v>
      </c>
      <c r="J71" t="s">
        <v>29</v>
      </c>
      <c r="L71" s="9">
        <f t="shared" si="6"/>
        <v>4</v>
      </c>
      <c r="M71" t="str">
        <f t="shared" si="7"/>
        <v>Tuesday</v>
      </c>
      <c r="N71">
        <f t="shared" si="8"/>
        <v>11</v>
      </c>
    </row>
    <row r="72" spans="1:14" x14ac:dyDescent="0.3">
      <c r="A72" t="s">
        <v>154</v>
      </c>
      <c r="B72" s="1">
        <v>45984</v>
      </c>
      <c r="C72" t="s">
        <v>54</v>
      </c>
      <c r="D72" t="s">
        <v>55</v>
      </c>
      <c r="E72" t="s">
        <v>44</v>
      </c>
      <c r="F72" t="s">
        <v>71</v>
      </c>
      <c r="G72">
        <v>10</v>
      </c>
      <c r="H72" s="2">
        <v>863.18</v>
      </c>
      <c r="I72" s="2">
        <f t="shared" si="5"/>
        <v>8631.7999999999993</v>
      </c>
      <c r="J72" t="s">
        <v>15</v>
      </c>
      <c r="L72" s="9">
        <f t="shared" si="6"/>
        <v>4</v>
      </c>
      <c r="M72" t="str">
        <f t="shared" si="7"/>
        <v>Sunday</v>
      </c>
      <c r="N72">
        <f t="shared" si="8"/>
        <v>11</v>
      </c>
    </row>
    <row r="73" spans="1:14" x14ac:dyDescent="0.3">
      <c r="A73" t="s">
        <v>155</v>
      </c>
      <c r="B73" s="1">
        <v>45981</v>
      </c>
      <c r="C73" t="s">
        <v>156</v>
      </c>
      <c r="D73" t="s">
        <v>18</v>
      </c>
      <c r="E73" t="s">
        <v>36</v>
      </c>
      <c r="F73" t="s">
        <v>125</v>
      </c>
      <c r="G73">
        <v>2</v>
      </c>
      <c r="H73" s="2">
        <v>2965.66</v>
      </c>
      <c r="I73" s="2">
        <f t="shared" si="5"/>
        <v>5931.32</v>
      </c>
      <c r="J73" t="s">
        <v>41</v>
      </c>
      <c r="L73" s="9">
        <f t="shared" si="6"/>
        <v>4</v>
      </c>
      <c r="M73" t="str">
        <f t="shared" si="7"/>
        <v>Thursday</v>
      </c>
      <c r="N73">
        <f t="shared" si="8"/>
        <v>15</v>
      </c>
    </row>
    <row r="74" spans="1:14" x14ac:dyDescent="0.3">
      <c r="A74" t="s">
        <v>157</v>
      </c>
      <c r="B74" s="1">
        <v>45925</v>
      </c>
      <c r="C74" t="s">
        <v>115</v>
      </c>
      <c r="D74" t="s">
        <v>60</v>
      </c>
      <c r="E74" t="s">
        <v>27</v>
      </c>
      <c r="F74" t="s">
        <v>51</v>
      </c>
      <c r="G74">
        <v>10</v>
      </c>
      <c r="H74" s="2">
        <v>2085.17</v>
      </c>
      <c r="I74" s="2">
        <f t="shared" si="5"/>
        <v>20851.7</v>
      </c>
      <c r="J74" t="s">
        <v>29</v>
      </c>
      <c r="L74" s="9">
        <f t="shared" si="6"/>
        <v>3</v>
      </c>
      <c r="M74" t="str">
        <f t="shared" si="7"/>
        <v>Thursday</v>
      </c>
      <c r="N74">
        <f t="shared" si="8"/>
        <v>14</v>
      </c>
    </row>
    <row r="75" spans="1:14" x14ac:dyDescent="0.3">
      <c r="A75" t="s">
        <v>158</v>
      </c>
      <c r="B75" s="1">
        <v>45951</v>
      </c>
      <c r="C75" t="s">
        <v>26</v>
      </c>
      <c r="D75" t="s">
        <v>60</v>
      </c>
      <c r="E75" t="s">
        <v>22</v>
      </c>
      <c r="F75" t="s">
        <v>102</v>
      </c>
      <c r="G75">
        <v>10</v>
      </c>
      <c r="H75" s="2">
        <v>1701.31</v>
      </c>
      <c r="I75" s="2">
        <f t="shared" si="5"/>
        <v>17013.099999999999</v>
      </c>
      <c r="J75" t="s">
        <v>29</v>
      </c>
      <c r="L75" s="9">
        <f t="shared" si="6"/>
        <v>4</v>
      </c>
      <c r="M75" t="str">
        <f t="shared" si="7"/>
        <v>Tuesday</v>
      </c>
      <c r="N75">
        <f t="shared" si="8"/>
        <v>11</v>
      </c>
    </row>
    <row r="76" spans="1:14" x14ac:dyDescent="0.3">
      <c r="A76" t="s">
        <v>159</v>
      </c>
      <c r="B76" s="1">
        <v>45926</v>
      </c>
      <c r="C76" t="s">
        <v>101</v>
      </c>
      <c r="D76" t="s">
        <v>12</v>
      </c>
      <c r="E76" t="s">
        <v>13</v>
      </c>
      <c r="F76" t="s">
        <v>89</v>
      </c>
      <c r="G76">
        <v>7</v>
      </c>
      <c r="H76" s="2">
        <v>281.58</v>
      </c>
      <c r="I76" s="2">
        <f t="shared" si="5"/>
        <v>1971.06</v>
      </c>
      <c r="J76" t="s">
        <v>24</v>
      </c>
      <c r="L76" s="9">
        <f t="shared" si="6"/>
        <v>3</v>
      </c>
      <c r="M76" t="str">
        <f t="shared" si="7"/>
        <v>Friday</v>
      </c>
      <c r="N76">
        <f t="shared" si="8"/>
        <v>10</v>
      </c>
    </row>
    <row r="77" spans="1:14" x14ac:dyDescent="0.3">
      <c r="A77" t="s">
        <v>160</v>
      </c>
      <c r="B77" s="1">
        <v>45921</v>
      </c>
      <c r="C77" t="s">
        <v>156</v>
      </c>
      <c r="D77" t="s">
        <v>18</v>
      </c>
      <c r="E77" t="s">
        <v>36</v>
      </c>
      <c r="F77" t="s">
        <v>77</v>
      </c>
      <c r="G77">
        <v>10</v>
      </c>
      <c r="H77" s="2">
        <v>1478.03</v>
      </c>
      <c r="I77" s="2">
        <f t="shared" si="5"/>
        <v>14780.3</v>
      </c>
      <c r="J77" t="s">
        <v>41</v>
      </c>
      <c r="L77" s="9">
        <f t="shared" si="6"/>
        <v>3</v>
      </c>
      <c r="M77" t="str">
        <f t="shared" si="7"/>
        <v>Sunday</v>
      </c>
      <c r="N77">
        <f t="shared" si="8"/>
        <v>15</v>
      </c>
    </row>
    <row r="78" spans="1:14" x14ac:dyDescent="0.3">
      <c r="A78" t="s">
        <v>161</v>
      </c>
      <c r="B78" s="1">
        <v>45948</v>
      </c>
      <c r="C78" t="s">
        <v>88</v>
      </c>
      <c r="D78" t="s">
        <v>60</v>
      </c>
      <c r="E78" t="s">
        <v>22</v>
      </c>
      <c r="F78" t="s">
        <v>102</v>
      </c>
      <c r="G78">
        <v>9</v>
      </c>
      <c r="H78" s="2">
        <v>4552.7299999999996</v>
      </c>
      <c r="I78" s="2">
        <f t="shared" si="5"/>
        <v>40974.569999999992</v>
      </c>
      <c r="J78" t="s">
        <v>15</v>
      </c>
      <c r="L78" s="9">
        <f t="shared" si="6"/>
        <v>4</v>
      </c>
      <c r="M78" t="str">
        <f t="shared" si="7"/>
        <v>Saturday</v>
      </c>
      <c r="N78">
        <f t="shared" si="8"/>
        <v>11</v>
      </c>
    </row>
    <row r="79" spans="1:14" x14ac:dyDescent="0.3">
      <c r="A79" t="s">
        <v>162</v>
      </c>
      <c r="B79" s="1">
        <v>45893</v>
      </c>
      <c r="C79" t="s">
        <v>93</v>
      </c>
      <c r="D79" t="s">
        <v>55</v>
      </c>
      <c r="E79" t="s">
        <v>36</v>
      </c>
      <c r="F79" t="s">
        <v>135</v>
      </c>
      <c r="G79">
        <v>10</v>
      </c>
      <c r="H79" s="2">
        <v>1124.58</v>
      </c>
      <c r="I79" s="2">
        <f t="shared" si="5"/>
        <v>11245.8</v>
      </c>
      <c r="J79" t="s">
        <v>24</v>
      </c>
      <c r="L79" s="9">
        <f t="shared" si="6"/>
        <v>3</v>
      </c>
      <c r="M79" t="str">
        <f t="shared" si="7"/>
        <v>Sunday</v>
      </c>
      <c r="N79">
        <f t="shared" si="8"/>
        <v>11</v>
      </c>
    </row>
    <row r="80" spans="1:14" x14ac:dyDescent="0.3">
      <c r="A80" t="s">
        <v>163</v>
      </c>
      <c r="B80" s="1">
        <v>45762</v>
      </c>
      <c r="C80" t="s">
        <v>21</v>
      </c>
      <c r="D80" t="s">
        <v>60</v>
      </c>
      <c r="E80" t="s">
        <v>22</v>
      </c>
      <c r="F80" t="s">
        <v>23</v>
      </c>
      <c r="G80">
        <v>2</v>
      </c>
      <c r="H80" s="2">
        <v>856.72</v>
      </c>
      <c r="I80" s="2">
        <f t="shared" si="5"/>
        <v>1713.44</v>
      </c>
      <c r="J80" t="s">
        <v>29</v>
      </c>
      <c r="L80" s="9">
        <f t="shared" si="6"/>
        <v>2</v>
      </c>
      <c r="M80" t="str">
        <f t="shared" si="7"/>
        <v>Tuesday</v>
      </c>
      <c r="N80">
        <f t="shared" si="8"/>
        <v>11</v>
      </c>
    </row>
    <row r="81" spans="1:14" x14ac:dyDescent="0.3">
      <c r="A81" t="s">
        <v>164</v>
      </c>
      <c r="B81" s="1">
        <v>45872</v>
      </c>
      <c r="C81" t="s">
        <v>95</v>
      </c>
      <c r="D81" t="s">
        <v>55</v>
      </c>
      <c r="E81" t="s">
        <v>44</v>
      </c>
      <c r="F81" t="s">
        <v>71</v>
      </c>
      <c r="G81">
        <v>2</v>
      </c>
      <c r="H81" s="2">
        <v>893.52</v>
      </c>
      <c r="I81" s="2">
        <f t="shared" si="5"/>
        <v>1787.04</v>
      </c>
      <c r="J81" t="s">
        <v>15</v>
      </c>
      <c r="L81" s="9">
        <f t="shared" si="6"/>
        <v>3</v>
      </c>
      <c r="M81" t="str">
        <f t="shared" si="7"/>
        <v>Sunday</v>
      </c>
      <c r="N81">
        <f t="shared" si="8"/>
        <v>15</v>
      </c>
    </row>
    <row r="82" spans="1:14" x14ac:dyDescent="0.3">
      <c r="A82" t="s">
        <v>165</v>
      </c>
      <c r="B82" s="1">
        <v>45934</v>
      </c>
      <c r="C82" t="s">
        <v>166</v>
      </c>
      <c r="D82" t="s">
        <v>18</v>
      </c>
      <c r="E82" t="s">
        <v>44</v>
      </c>
      <c r="F82" t="s">
        <v>68</v>
      </c>
      <c r="G82">
        <v>4</v>
      </c>
      <c r="H82" s="2">
        <v>4277.2299999999996</v>
      </c>
      <c r="I82" s="2">
        <f t="shared" si="5"/>
        <v>17108.919999999998</v>
      </c>
      <c r="J82" t="s">
        <v>41</v>
      </c>
      <c r="L82" s="9">
        <f t="shared" si="6"/>
        <v>4</v>
      </c>
      <c r="M82" t="str">
        <f t="shared" si="7"/>
        <v>Saturday</v>
      </c>
      <c r="N82">
        <f t="shared" si="8"/>
        <v>10</v>
      </c>
    </row>
    <row r="83" spans="1:14" x14ac:dyDescent="0.3">
      <c r="A83" t="s">
        <v>167</v>
      </c>
      <c r="B83" s="1">
        <v>45738</v>
      </c>
      <c r="C83" t="s">
        <v>47</v>
      </c>
      <c r="D83" t="s">
        <v>55</v>
      </c>
      <c r="E83" t="s">
        <v>22</v>
      </c>
      <c r="F83" t="s">
        <v>61</v>
      </c>
      <c r="G83">
        <v>9</v>
      </c>
      <c r="H83" s="2">
        <v>1703.87</v>
      </c>
      <c r="I83" s="2">
        <f t="shared" si="5"/>
        <v>15334.829999999998</v>
      </c>
      <c r="J83" t="s">
        <v>52</v>
      </c>
      <c r="L83" s="9">
        <f t="shared" si="6"/>
        <v>1</v>
      </c>
      <c r="M83" t="str">
        <f t="shared" si="7"/>
        <v>Saturday</v>
      </c>
      <c r="N83">
        <f t="shared" si="8"/>
        <v>11</v>
      </c>
    </row>
    <row r="84" spans="1:14" x14ac:dyDescent="0.3">
      <c r="A84" t="s">
        <v>168</v>
      </c>
      <c r="B84" s="1">
        <v>45995</v>
      </c>
      <c r="C84" t="s">
        <v>70</v>
      </c>
      <c r="D84" t="s">
        <v>60</v>
      </c>
      <c r="E84" t="s">
        <v>13</v>
      </c>
      <c r="F84" t="s">
        <v>19</v>
      </c>
      <c r="G84">
        <v>4</v>
      </c>
      <c r="H84" s="2">
        <v>3850.5</v>
      </c>
      <c r="I84" s="2">
        <f t="shared" si="5"/>
        <v>15402</v>
      </c>
      <c r="J84" t="s">
        <v>24</v>
      </c>
      <c r="L84" s="9">
        <f t="shared" si="6"/>
        <v>4</v>
      </c>
      <c r="M84" t="str">
        <f t="shared" si="7"/>
        <v>Thursday</v>
      </c>
      <c r="N84">
        <f t="shared" si="8"/>
        <v>10</v>
      </c>
    </row>
    <row r="85" spans="1:14" x14ac:dyDescent="0.3">
      <c r="A85" t="s">
        <v>169</v>
      </c>
      <c r="B85" s="1">
        <v>45698</v>
      </c>
      <c r="C85" t="s">
        <v>35</v>
      </c>
      <c r="D85" t="s">
        <v>18</v>
      </c>
      <c r="E85" t="s">
        <v>27</v>
      </c>
      <c r="F85" t="s">
        <v>33</v>
      </c>
      <c r="G85">
        <v>5</v>
      </c>
      <c r="H85" s="2">
        <v>964.82</v>
      </c>
      <c r="I85" s="2">
        <f t="shared" si="5"/>
        <v>4824.1000000000004</v>
      </c>
      <c r="J85" t="s">
        <v>41</v>
      </c>
      <c r="L85" s="9">
        <f t="shared" si="6"/>
        <v>1</v>
      </c>
      <c r="M85" t="str">
        <f t="shared" si="7"/>
        <v>Monday</v>
      </c>
      <c r="N85">
        <f t="shared" si="8"/>
        <v>11</v>
      </c>
    </row>
    <row r="86" spans="1:14" x14ac:dyDescent="0.3">
      <c r="A86" t="s">
        <v>170</v>
      </c>
      <c r="B86" s="1">
        <v>45681</v>
      </c>
      <c r="C86" t="s">
        <v>84</v>
      </c>
      <c r="D86" t="s">
        <v>32</v>
      </c>
      <c r="E86" t="s">
        <v>13</v>
      </c>
      <c r="F86" t="s">
        <v>64</v>
      </c>
      <c r="G86">
        <v>2</v>
      </c>
      <c r="H86" s="2">
        <v>4105.22</v>
      </c>
      <c r="I86" s="2">
        <f t="shared" si="5"/>
        <v>8210.44</v>
      </c>
      <c r="J86" t="s">
        <v>41</v>
      </c>
      <c r="L86" s="9">
        <f t="shared" si="6"/>
        <v>1</v>
      </c>
      <c r="M86" t="str">
        <f t="shared" si="7"/>
        <v>Friday</v>
      </c>
      <c r="N86">
        <f t="shared" si="8"/>
        <v>10</v>
      </c>
    </row>
    <row r="87" spans="1:14" x14ac:dyDescent="0.3">
      <c r="A87" t="s">
        <v>171</v>
      </c>
      <c r="B87" s="1">
        <v>45718</v>
      </c>
      <c r="C87" t="s">
        <v>84</v>
      </c>
      <c r="D87" t="s">
        <v>55</v>
      </c>
      <c r="E87" t="s">
        <v>27</v>
      </c>
      <c r="F87" t="s">
        <v>172</v>
      </c>
      <c r="G87">
        <v>9</v>
      </c>
      <c r="H87" s="2">
        <v>4989.1899999999996</v>
      </c>
      <c r="I87" s="2">
        <f t="shared" si="5"/>
        <v>44902.71</v>
      </c>
      <c r="J87" t="s">
        <v>41</v>
      </c>
      <c r="L87" s="9">
        <f t="shared" si="6"/>
        <v>1</v>
      </c>
      <c r="M87" t="str">
        <f t="shared" si="7"/>
        <v>Sunday</v>
      </c>
      <c r="N87">
        <f t="shared" si="8"/>
        <v>10</v>
      </c>
    </row>
    <row r="88" spans="1:14" x14ac:dyDescent="0.3">
      <c r="A88" t="s">
        <v>173</v>
      </c>
      <c r="B88" s="1">
        <v>45962</v>
      </c>
      <c r="C88" t="s">
        <v>63</v>
      </c>
      <c r="D88" t="s">
        <v>32</v>
      </c>
      <c r="E88" t="s">
        <v>22</v>
      </c>
      <c r="F88" t="s">
        <v>61</v>
      </c>
      <c r="G88">
        <v>8</v>
      </c>
      <c r="H88" s="2">
        <v>1123.57</v>
      </c>
      <c r="I88" s="2">
        <f t="shared" si="5"/>
        <v>8988.56</v>
      </c>
      <c r="J88" t="s">
        <v>52</v>
      </c>
      <c r="L88" s="9">
        <f t="shared" si="6"/>
        <v>4</v>
      </c>
      <c r="M88" t="str">
        <f t="shared" si="7"/>
        <v>Saturday</v>
      </c>
      <c r="N88">
        <f t="shared" si="8"/>
        <v>12</v>
      </c>
    </row>
    <row r="89" spans="1:14" x14ac:dyDescent="0.3">
      <c r="A89" t="s">
        <v>174</v>
      </c>
      <c r="B89" s="1">
        <v>45838</v>
      </c>
      <c r="C89" t="s">
        <v>111</v>
      </c>
      <c r="D89" t="s">
        <v>55</v>
      </c>
      <c r="E89" t="s">
        <v>27</v>
      </c>
      <c r="F89" t="s">
        <v>172</v>
      </c>
      <c r="G89">
        <v>9</v>
      </c>
      <c r="H89" s="2">
        <v>4195.3500000000004</v>
      </c>
      <c r="I89" s="2">
        <f t="shared" si="5"/>
        <v>37758.15</v>
      </c>
      <c r="J89" t="s">
        <v>24</v>
      </c>
      <c r="L89" s="9">
        <f t="shared" si="6"/>
        <v>2</v>
      </c>
      <c r="M89" t="str">
        <f t="shared" si="7"/>
        <v>Monday</v>
      </c>
      <c r="N89">
        <f t="shared" si="8"/>
        <v>10</v>
      </c>
    </row>
    <row r="90" spans="1:14" x14ac:dyDescent="0.3">
      <c r="A90" t="s">
        <v>175</v>
      </c>
      <c r="B90" s="1">
        <v>45847</v>
      </c>
      <c r="C90" t="s">
        <v>124</v>
      </c>
      <c r="D90" t="s">
        <v>60</v>
      </c>
      <c r="E90" t="s">
        <v>44</v>
      </c>
      <c r="F90" t="s">
        <v>45</v>
      </c>
      <c r="G90">
        <v>8</v>
      </c>
      <c r="H90" s="2">
        <v>872.53</v>
      </c>
      <c r="I90" s="2">
        <f t="shared" si="5"/>
        <v>6980.24</v>
      </c>
      <c r="J90" t="s">
        <v>52</v>
      </c>
      <c r="L90" s="9">
        <f t="shared" si="6"/>
        <v>3</v>
      </c>
      <c r="M90" t="str">
        <f t="shared" si="7"/>
        <v>Wednesday</v>
      </c>
      <c r="N90">
        <f t="shared" si="8"/>
        <v>15</v>
      </c>
    </row>
    <row r="91" spans="1:14" x14ac:dyDescent="0.3">
      <c r="A91" t="s">
        <v>176</v>
      </c>
      <c r="B91" s="1">
        <v>45997</v>
      </c>
      <c r="C91" t="s">
        <v>54</v>
      </c>
      <c r="D91" t="s">
        <v>12</v>
      </c>
      <c r="E91" t="s">
        <v>13</v>
      </c>
      <c r="F91" t="s">
        <v>89</v>
      </c>
      <c r="G91">
        <v>6</v>
      </c>
      <c r="H91" s="2">
        <v>4652.96</v>
      </c>
      <c r="I91" s="2">
        <f t="shared" si="5"/>
        <v>27917.760000000002</v>
      </c>
      <c r="J91" t="s">
        <v>29</v>
      </c>
      <c r="L91" s="9">
        <f t="shared" si="6"/>
        <v>4</v>
      </c>
      <c r="M91" t="str">
        <f t="shared" si="7"/>
        <v>Saturday</v>
      </c>
      <c r="N91">
        <f t="shared" si="8"/>
        <v>11</v>
      </c>
    </row>
    <row r="92" spans="1:14" x14ac:dyDescent="0.3">
      <c r="A92" t="s">
        <v>177</v>
      </c>
      <c r="B92" s="1">
        <v>45784</v>
      </c>
      <c r="C92" t="s">
        <v>81</v>
      </c>
      <c r="D92" t="s">
        <v>12</v>
      </c>
      <c r="E92" t="s">
        <v>36</v>
      </c>
      <c r="F92" t="s">
        <v>77</v>
      </c>
      <c r="G92">
        <v>3</v>
      </c>
      <c r="H92" s="2">
        <v>2018.6</v>
      </c>
      <c r="I92" s="2">
        <f t="shared" si="5"/>
        <v>6055.7999999999993</v>
      </c>
      <c r="J92" t="s">
        <v>15</v>
      </c>
      <c r="L92" s="9">
        <f t="shared" si="6"/>
        <v>2</v>
      </c>
      <c r="M92" t="str">
        <f t="shared" si="7"/>
        <v>Wednesday</v>
      </c>
      <c r="N92">
        <f t="shared" si="8"/>
        <v>11</v>
      </c>
    </row>
    <row r="93" spans="1:14" x14ac:dyDescent="0.3">
      <c r="A93" t="s">
        <v>178</v>
      </c>
      <c r="B93" s="1">
        <v>45752</v>
      </c>
      <c r="C93" t="s">
        <v>101</v>
      </c>
      <c r="D93" t="s">
        <v>18</v>
      </c>
      <c r="E93" t="s">
        <v>36</v>
      </c>
      <c r="F93" t="s">
        <v>135</v>
      </c>
      <c r="G93">
        <v>10</v>
      </c>
      <c r="H93" s="2">
        <v>3463.47</v>
      </c>
      <c r="I93" s="2">
        <f t="shared" si="5"/>
        <v>34634.699999999997</v>
      </c>
      <c r="J93" t="s">
        <v>41</v>
      </c>
      <c r="L93" s="9">
        <f t="shared" si="6"/>
        <v>2</v>
      </c>
      <c r="M93" t="str">
        <f t="shared" si="7"/>
        <v>Saturday</v>
      </c>
      <c r="N93">
        <f t="shared" si="8"/>
        <v>10</v>
      </c>
    </row>
    <row r="94" spans="1:14" x14ac:dyDescent="0.3">
      <c r="A94" t="s">
        <v>179</v>
      </c>
      <c r="B94" s="1">
        <v>45912</v>
      </c>
      <c r="C94" t="s">
        <v>70</v>
      </c>
      <c r="D94" t="s">
        <v>60</v>
      </c>
      <c r="E94" t="s">
        <v>13</v>
      </c>
      <c r="F94" t="s">
        <v>40</v>
      </c>
      <c r="G94">
        <v>1</v>
      </c>
      <c r="H94" s="2">
        <v>1478.23</v>
      </c>
      <c r="I94" s="2">
        <f t="shared" si="5"/>
        <v>1478.23</v>
      </c>
      <c r="J94" t="s">
        <v>52</v>
      </c>
      <c r="L94" s="9">
        <f t="shared" si="6"/>
        <v>3</v>
      </c>
      <c r="M94" t="str">
        <f t="shared" si="7"/>
        <v>Friday</v>
      </c>
      <c r="N94">
        <f t="shared" si="8"/>
        <v>10</v>
      </c>
    </row>
    <row r="95" spans="1:14" x14ac:dyDescent="0.3">
      <c r="A95" t="s">
        <v>180</v>
      </c>
      <c r="B95" s="1">
        <v>45886</v>
      </c>
      <c r="C95" t="s">
        <v>43</v>
      </c>
      <c r="D95" t="s">
        <v>12</v>
      </c>
      <c r="E95" t="s">
        <v>27</v>
      </c>
      <c r="F95" t="s">
        <v>51</v>
      </c>
      <c r="G95">
        <v>4</v>
      </c>
      <c r="H95" s="2">
        <v>557.99</v>
      </c>
      <c r="I95" s="2">
        <f t="shared" si="5"/>
        <v>2231.96</v>
      </c>
      <c r="J95" t="s">
        <v>41</v>
      </c>
      <c r="L95" s="9">
        <f t="shared" si="6"/>
        <v>3</v>
      </c>
      <c r="M95" t="str">
        <f t="shared" si="7"/>
        <v>Sunday</v>
      </c>
      <c r="N95">
        <f t="shared" si="8"/>
        <v>14</v>
      </c>
    </row>
    <row r="96" spans="1:14" x14ac:dyDescent="0.3">
      <c r="A96" t="s">
        <v>181</v>
      </c>
      <c r="B96" s="1">
        <v>45910</v>
      </c>
      <c r="C96" t="s">
        <v>31</v>
      </c>
      <c r="D96" t="s">
        <v>60</v>
      </c>
      <c r="E96" t="s">
        <v>44</v>
      </c>
      <c r="F96" t="s">
        <v>45</v>
      </c>
      <c r="G96">
        <v>9</v>
      </c>
      <c r="H96" s="2">
        <v>1931.86</v>
      </c>
      <c r="I96" s="2">
        <f t="shared" si="5"/>
        <v>17386.739999999998</v>
      </c>
      <c r="J96" t="s">
        <v>29</v>
      </c>
      <c r="L96" s="9">
        <f t="shared" si="6"/>
        <v>3</v>
      </c>
      <c r="M96" t="str">
        <f t="shared" si="7"/>
        <v>Wednesday</v>
      </c>
      <c r="N96">
        <f t="shared" si="8"/>
        <v>11</v>
      </c>
    </row>
    <row r="97" spans="1:14" x14ac:dyDescent="0.3">
      <c r="A97" t="s">
        <v>182</v>
      </c>
      <c r="B97" s="1">
        <v>45677</v>
      </c>
      <c r="C97" t="s">
        <v>144</v>
      </c>
      <c r="D97" t="s">
        <v>60</v>
      </c>
      <c r="E97" t="s">
        <v>36</v>
      </c>
      <c r="F97" t="s">
        <v>125</v>
      </c>
      <c r="G97">
        <v>7</v>
      </c>
      <c r="H97" s="2">
        <v>453.16</v>
      </c>
      <c r="I97" s="2">
        <f t="shared" si="5"/>
        <v>3172.1200000000003</v>
      </c>
      <c r="J97" t="s">
        <v>41</v>
      </c>
      <c r="L97" s="9">
        <f t="shared" si="6"/>
        <v>1</v>
      </c>
      <c r="M97" t="str">
        <f t="shared" si="7"/>
        <v>Monday</v>
      </c>
      <c r="N97">
        <f t="shared" si="8"/>
        <v>13</v>
      </c>
    </row>
    <row r="98" spans="1:14" x14ac:dyDescent="0.3">
      <c r="A98" t="s">
        <v>183</v>
      </c>
      <c r="B98" s="1">
        <v>45818</v>
      </c>
      <c r="C98" t="s">
        <v>88</v>
      </c>
      <c r="D98" t="s">
        <v>55</v>
      </c>
      <c r="E98" t="s">
        <v>13</v>
      </c>
      <c r="F98" t="s">
        <v>89</v>
      </c>
      <c r="G98">
        <v>2</v>
      </c>
      <c r="H98" s="2">
        <v>2856.7</v>
      </c>
      <c r="I98" s="2">
        <f t="shared" ref="I98:I129" si="9">G98*H98</f>
        <v>5713.4</v>
      </c>
      <c r="J98" t="s">
        <v>52</v>
      </c>
      <c r="L98" s="9">
        <f t="shared" si="6"/>
        <v>2</v>
      </c>
      <c r="M98" t="str">
        <f t="shared" si="7"/>
        <v>Tuesday</v>
      </c>
      <c r="N98">
        <f t="shared" si="8"/>
        <v>11</v>
      </c>
    </row>
    <row r="99" spans="1:14" x14ac:dyDescent="0.3">
      <c r="A99" t="s">
        <v>184</v>
      </c>
      <c r="B99" s="1">
        <v>45912</v>
      </c>
      <c r="C99" t="s">
        <v>81</v>
      </c>
      <c r="D99" t="s">
        <v>18</v>
      </c>
      <c r="E99" t="s">
        <v>22</v>
      </c>
      <c r="F99" t="s">
        <v>61</v>
      </c>
      <c r="G99">
        <v>7</v>
      </c>
      <c r="H99" s="2">
        <v>1966.76</v>
      </c>
      <c r="I99" s="2">
        <f t="shared" si="9"/>
        <v>13767.32</v>
      </c>
      <c r="J99" t="s">
        <v>15</v>
      </c>
      <c r="L99" s="9">
        <f t="shared" si="6"/>
        <v>3</v>
      </c>
      <c r="M99" t="str">
        <f t="shared" si="7"/>
        <v>Friday</v>
      </c>
      <c r="N99">
        <f t="shared" si="8"/>
        <v>11</v>
      </c>
    </row>
    <row r="100" spans="1:14" x14ac:dyDescent="0.3">
      <c r="A100" t="s">
        <v>185</v>
      </c>
      <c r="B100" s="1">
        <v>45854</v>
      </c>
      <c r="C100" t="s">
        <v>17</v>
      </c>
      <c r="D100" t="s">
        <v>55</v>
      </c>
      <c r="E100" t="s">
        <v>44</v>
      </c>
      <c r="F100" t="s">
        <v>48</v>
      </c>
      <c r="G100">
        <v>4</v>
      </c>
      <c r="H100" s="2">
        <v>1297.9100000000001</v>
      </c>
      <c r="I100" s="2">
        <f t="shared" si="9"/>
        <v>5191.6400000000003</v>
      </c>
      <c r="J100" t="s">
        <v>52</v>
      </c>
      <c r="L100" s="9">
        <f t="shared" si="6"/>
        <v>3</v>
      </c>
      <c r="M100" t="str">
        <f t="shared" si="7"/>
        <v>Wednesday</v>
      </c>
      <c r="N100">
        <f t="shared" si="8"/>
        <v>12</v>
      </c>
    </row>
    <row r="101" spans="1:14" x14ac:dyDescent="0.3">
      <c r="A101" t="s">
        <v>186</v>
      </c>
      <c r="B101" s="1">
        <v>45727</v>
      </c>
      <c r="C101" t="s">
        <v>95</v>
      </c>
      <c r="D101" t="s">
        <v>18</v>
      </c>
      <c r="E101" t="s">
        <v>22</v>
      </c>
      <c r="F101" t="s">
        <v>102</v>
      </c>
      <c r="G101">
        <v>7</v>
      </c>
      <c r="H101" s="2">
        <v>2193</v>
      </c>
      <c r="I101" s="2">
        <f t="shared" si="9"/>
        <v>15351</v>
      </c>
      <c r="J101" t="s">
        <v>29</v>
      </c>
      <c r="L101" s="9">
        <f t="shared" si="6"/>
        <v>1</v>
      </c>
      <c r="M101" t="str">
        <f t="shared" si="7"/>
        <v>Tuesday</v>
      </c>
      <c r="N101">
        <f t="shared" si="8"/>
        <v>15</v>
      </c>
    </row>
    <row r="102" spans="1:14" x14ac:dyDescent="0.3">
      <c r="A102" t="s">
        <v>187</v>
      </c>
      <c r="B102" s="1">
        <v>45684</v>
      </c>
      <c r="C102" t="s">
        <v>86</v>
      </c>
      <c r="D102" t="s">
        <v>55</v>
      </c>
      <c r="E102" t="s">
        <v>27</v>
      </c>
      <c r="F102" t="s">
        <v>33</v>
      </c>
      <c r="G102">
        <v>1</v>
      </c>
      <c r="H102" s="2">
        <v>4381.32</v>
      </c>
      <c r="I102" s="2">
        <f t="shared" si="9"/>
        <v>4381.32</v>
      </c>
      <c r="J102" t="s">
        <v>29</v>
      </c>
      <c r="L102" s="9">
        <f t="shared" si="6"/>
        <v>1</v>
      </c>
      <c r="M102" t="str">
        <f t="shared" si="7"/>
        <v>Monday</v>
      </c>
      <c r="N102">
        <f t="shared" si="8"/>
        <v>11</v>
      </c>
    </row>
    <row r="103" spans="1:14" x14ac:dyDescent="0.3">
      <c r="A103" t="s">
        <v>188</v>
      </c>
      <c r="B103" s="1">
        <v>45754</v>
      </c>
      <c r="C103" t="s">
        <v>43</v>
      </c>
      <c r="D103" t="s">
        <v>12</v>
      </c>
      <c r="E103" t="s">
        <v>44</v>
      </c>
      <c r="F103" t="s">
        <v>68</v>
      </c>
      <c r="G103">
        <v>3</v>
      </c>
      <c r="H103" s="2">
        <v>2958.74</v>
      </c>
      <c r="I103" s="2">
        <f t="shared" si="9"/>
        <v>8876.2199999999993</v>
      </c>
      <c r="J103" t="s">
        <v>29</v>
      </c>
      <c r="L103" s="9">
        <f t="shared" si="6"/>
        <v>2</v>
      </c>
      <c r="M103" t="str">
        <f t="shared" si="7"/>
        <v>Monday</v>
      </c>
      <c r="N103">
        <f t="shared" si="8"/>
        <v>14</v>
      </c>
    </row>
    <row r="104" spans="1:14" x14ac:dyDescent="0.3">
      <c r="A104" t="s">
        <v>189</v>
      </c>
      <c r="B104" s="1">
        <v>45665</v>
      </c>
      <c r="C104" t="s">
        <v>39</v>
      </c>
      <c r="D104" t="s">
        <v>18</v>
      </c>
      <c r="E104" t="s">
        <v>27</v>
      </c>
      <c r="F104" t="s">
        <v>172</v>
      </c>
      <c r="G104">
        <v>8</v>
      </c>
      <c r="H104" s="2">
        <v>3563.18</v>
      </c>
      <c r="I104" s="2">
        <f t="shared" si="9"/>
        <v>28505.439999999999</v>
      </c>
      <c r="J104" t="s">
        <v>29</v>
      </c>
      <c r="L104" s="9">
        <f t="shared" si="6"/>
        <v>1</v>
      </c>
      <c r="M104" t="str">
        <f t="shared" si="7"/>
        <v>Wednesday</v>
      </c>
      <c r="N104">
        <f t="shared" si="8"/>
        <v>9</v>
      </c>
    </row>
    <row r="105" spans="1:14" x14ac:dyDescent="0.3">
      <c r="A105" t="s">
        <v>190</v>
      </c>
      <c r="B105" s="1">
        <v>45817</v>
      </c>
      <c r="C105" t="s">
        <v>21</v>
      </c>
      <c r="D105" t="s">
        <v>60</v>
      </c>
      <c r="E105" t="s">
        <v>44</v>
      </c>
      <c r="F105" t="s">
        <v>150</v>
      </c>
      <c r="G105">
        <v>1</v>
      </c>
      <c r="H105" s="2">
        <v>3862.16</v>
      </c>
      <c r="I105" s="2">
        <f t="shared" si="9"/>
        <v>3862.16</v>
      </c>
      <c r="J105" t="s">
        <v>29</v>
      </c>
      <c r="L105" s="9">
        <f t="shared" si="6"/>
        <v>2</v>
      </c>
      <c r="M105" t="str">
        <f t="shared" si="7"/>
        <v>Monday</v>
      </c>
      <c r="N105">
        <f t="shared" si="8"/>
        <v>11</v>
      </c>
    </row>
    <row r="106" spans="1:14" x14ac:dyDescent="0.3">
      <c r="A106" t="s">
        <v>191</v>
      </c>
      <c r="B106" s="1">
        <v>45677</v>
      </c>
      <c r="C106" t="s">
        <v>99</v>
      </c>
      <c r="D106" t="s">
        <v>18</v>
      </c>
      <c r="E106" t="s">
        <v>13</v>
      </c>
      <c r="F106" t="s">
        <v>89</v>
      </c>
      <c r="G106">
        <v>7</v>
      </c>
      <c r="H106" s="2">
        <v>497.5</v>
      </c>
      <c r="I106" s="2">
        <f t="shared" si="9"/>
        <v>3482.5</v>
      </c>
      <c r="J106" t="s">
        <v>15</v>
      </c>
      <c r="L106" s="9">
        <f t="shared" si="6"/>
        <v>1</v>
      </c>
      <c r="M106" t="str">
        <f t="shared" si="7"/>
        <v>Monday</v>
      </c>
      <c r="N106">
        <f t="shared" si="8"/>
        <v>12</v>
      </c>
    </row>
    <row r="107" spans="1:14" x14ac:dyDescent="0.3">
      <c r="A107" t="s">
        <v>192</v>
      </c>
      <c r="B107" s="1">
        <v>45833</v>
      </c>
      <c r="C107" t="s">
        <v>47</v>
      </c>
      <c r="D107" t="s">
        <v>18</v>
      </c>
      <c r="E107" t="s">
        <v>27</v>
      </c>
      <c r="F107" t="s">
        <v>33</v>
      </c>
      <c r="G107">
        <v>5</v>
      </c>
      <c r="H107" s="2">
        <v>3935.32</v>
      </c>
      <c r="I107" s="2">
        <f t="shared" si="9"/>
        <v>19676.600000000002</v>
      </c>
      <c r="J107" t="s">
        <v>15</v>
      </c>
      <c r="L107" s="9">
        <f t="shared" si="6"/>
        <v>2</v>
      </c>
      <c r="M107" t="str">
        <f t="shared" si="7"/>
        <v>Wednesday</v>
      </c>
      <c r="N107">
        <f t="shared" si="8"/>
        <v>11</v>
      </c>
    </row>
    <row r="108" spans="1:14" x14ac:dyDescent="0.3">
      <c r="A108" t="s">
        <v>193</v>
      </c>
      <c r="B108" s="1">
        <v>45996</v>
      </c>
      <c r="C108" t="s">
        <v>84</v>
      </c>
      <c r="D108" t="s">
        <v>32</v>
      </c>
      <c r="E108" t="s">
        <v>22</v>
      </c>
      <c r="F108" t="s">
        <v>23</v>
      </c>
      <c r="G108">
        <v>10</v>
      </c>
      <c r="H108" s="2">
        <v>4918.96</v>
      </c>
      <c r="I108" s="2">
        <f t="shared" si="9"/>
        <v>49189.599999999999</v>
      </c>
      <c r="J108" t="s">
        <v>15</v>
      </c>
      <c r="L108" s="9">
        <f t="shared" si="6"/>
        <v>4</v>
      </c>
      <c r="M108" t="str">
        <f t="shared" si="7"/>
        <v>Friday</v>
      </c>
      <c r="N108">
        <f t="shared" si="8"/>
        <v>10</v>
      </c>
    </row>
    <row r="109" spans="1:14" x14ac:dyDescent="0.3">
      <c r="A109" t="s">
        <v>194</v>
      </c>
      <c r="B109" s="1">
        <v>45903</v>
      </c>
      <c r="C109" t="s">
        <v>149</v>
      </c>
      <c r="D109" t="s">
        <v>60</v>
      </c>
      <c r="E109" t="s">
        <v>27</v>
      </c>
      <c r="F109" t="s">
        <v>33</v>
      </c>
      <c r="G109">
        <v>7</v>
      </c>
      <c r="H109" s="2">
        <v>2657.46</v>
      </c>
      <c r="I109" s="2">
        <f t="shared" si="9"/>
        <v>18602.22</v>
      </c>
      <c r="J109" t="s">
        <v>41</v>
      </c>
      <c r="L109" s="9">
        <f t="shared" si="6"/>
        <v>3</v>
      </c>
      <c r="M109" t="str">
        <f t="shared" si="7"/>
        <v>Wednesday</v>
      </c>
      <c r="N109">
        <f t="shared" si="8"/>
        <v>14</v>
      </c>
    </row>
    <row r="110" spans="1:14" x14ac:dyDescent="0.3">
      <c r="A110" t="s">
        <v>195</v>
      </c>
      <c r="B110" s="1">
        <v>45852</v>
      </c>
      <c r="C110" t="s">
        <v>17</v>
      </c>
      <c r="D110" t="s">
        <v>60</v>
      </c>
      <c r="E110" t="s">
        <v>44</v>
      </c>
      <c r="F110" t="s">
        <v>45</v>
      </c>
      <c r="G110">
        <v>4</v>
      </c>
      <c r="H110" s="2">
        <v>4620.3100000000004</v>
      </c>
      <c r="I110" s="2">
        <f t="shared" si="9"/>
        <v>18481.240000000002</v>
      </c>
      <c r="J110" t="s">
        <v>15</v>
      </c>
      <c r="L110" s="9">
        <f t="shared" si="6"/>
        <v>3</v>
      </c>
      <c r="M110" t="str">
        <f t="shared" si="7"/>
        <v>Monday</v>
      </c>
      <c r="N110">
        <f t="shared" si="8"/>
        <v>12</v>
      </c>
    </row>
    <row r="111" spans="1:14" x14ac:dyDescent="0.3">
      <c r="A111" t="s">
        <v>196</v>
      </c>
      <c r="B111" s="1">
        <v>45809</v>
      </c>
      <c r="C111" t="s">
        <v>35</v>
      </c>
      <c r="D111" t="s">
        <v>55</v>
      </c>
      <c r="E111" t="s">
        <v>22</v>
      </c>
      <c r="F111" t="s">
        <v>104</v>
      </c>
      <c r="G111">
        <v>8</v>
      </c>
      <c r="H111" s="2">
        <v>1893.06</v>
      </c>
      <c r="I111" s="2">
        <f t="shared" si="9"/>
        <v>15144.48</v>
      </c>
      <c r="J111" t="s">
        <v>15</v>
      </c>
      <c r="L111" s="9">
        <f t="shared" si="6"/>
        <v>2</v>
      </c>
      <c r="M111" t="str">
        <f t="shared" si="7"/>
        <v>Sunday</v>
      </c>
      <c r="N111">
        <f t="shared" si="8"/>
        <v>11</v>
      </c>
    </row>
    <row r="112" spans="1:14" x14ac:dyDescent="0.3">
      <c r="A112" t="s">
        <v>197</v>
      </c>
      <c r="B112" s="1">
        <v>45946</v>
      </c>
      <c r="C112" t="s">
        <v>63</v>
      </c>
      <c r="D112" t="s">
        <v>60</v>
      </c>
      <c r="E112" t="s">
        <v>27</v>
      </c>
      <c r="F112" t="s">
        <v>172</v>
      </c>
      <c r="G112">
        <v>5</v>
      </c>
      <c r="H112" s="2">
        <v>4458.01</v>
      </c>
      <c r="I112" s="2">
        <f t="shared" si="9"/>
        <v>22290.050000000003</v>
      </c>
      <c r="J112" t="s">
        <v>52</v>
      </c>
      <c r="L112" s="9">
        <f t="shared" si="6"/>
        <v>4</v>
      </c>
      <c r="M112" t="str">
        <f t="shared" si="7"/>
        <v>Thursday</v>
      </c>
      <c r="N112">
        <f t="shared" si="8"/>
        <v>12</v>
      </c>
    </row>
    <row r="113" spans="1:14" x14ac:dyDescent="0.3">
      <c r="A113" t="s">
        <v>198</v>
      </c>
      <c r="B113" s="1">
        <v>45724</v>
      </c>
      <c r="C113" t="s">
        <v>156</v>
      </c>
      <c r="D113" t="s">
        <v>12</v>
      </c>
      <c r="E113" t="s">
        <v>22</v>
      </c>
      <c r="F113" t="s">
        <v>104</v>
      </c>
      <c r="G113">
        <v>3</v>
      </c>
      <c r="H113" s="2">
        <v>1600.88</v>
      </c>
      <c r="I113" s="2">
        <f t="shared" si="9"/>
        <v>4802.6400000000003</v>
      </c>
      <c r="J113" t="s">
        <v>29</v>
      </c>
      <c r="L113" s="9">
        <f t="shared" si="6"/>
        <v>1</v>
      </c>
      <c r="M113" t="str">
        <f t="shared" si="7"/>
        <v>Saturday</v>
      </c>
      <c r="N113">
        <f t="shared" si="8"/>
        <v>15</v>
      </c>
    </row>
    <row r="114" spans="1:14" x14ac:dyDescent="0.3">
      <c r="A114" t="s">
        <v>199</v>
      </c>
      <c r="B114" s="1">
        <v>45759</v>
      </c>
      <c r="C114" t="s">
        <v>43</v>
      </c>
      <c r="D114" t="s">
        <v>60</v>
      </c>
      <c r="E114" t="s">
        <v>36</v>
      </c>
      <c r="F114" t="s">
        <v>77</v>
      </c>
      <c r="G114">
        <v>8</v>
      </c>
      <c r="H114" s="2">
        <v>1162.48</v>
      </c>
      <c r="I114" s="2">
        <f t="shared" si="9"/>
        <v>9299.84</v>
      </c>
      <c r="J114" t="s">
        <v>41</v>
      </c>
      <c r="L114" s="9">
        <f t="shared" si="6"/>
        <v>2</v>
      </c>
      <c r="M114" t="str">
        <f t="shared" si="7"/>
        <v>Saturday</v>
      </c>
      <c r="N114">
        <f t="shared" si="8"/>
        <v>14</v>
      </c>
    </row>
    <row r="115" spans="1:14" x14ac:dyDescent="0.3">
      <c r="A115" t="s">
        <v>200</v>
      </c>
      <c r="B115" s="1">
        <v>45906</v>
      </c>
      <c r="C115" t="s">
        <v>67</v>
      </c>
      <c r="D115" t="s">
        <v>18</v>
      </c>
      <c r="E115" t="s">
        <v>27</v>
      </c>
      <c r="F115" t="s">
        <v>33</v>
      </c>
      <c r="G115">
        <v>10</v>
      </c>
      <c r="H115" s="2">
        <v>3583.83</v>
      </c>
      <c r="I115" s="2">
        <f t="shared" si="9"/>
        <v>35838.300000000003</v>
      </c>
      <c r="J115" t="s">
        <v>15</v>
      </c>
      <c r="L115" s="9">
        <f t="shared" si="6"/>
        <v>3</v>
      </c>
      <c r="M115" t="str">
        <f t="shared" si="7"/>
        <v>Saturday</v>
      </c>
      <c r="N115">
        <f t="shared" si="8"/>
        <v>13</v>
      </c>
    </row>
    <row r="116" spans="1:14" x14ac:dyDescent="0.3">
      <c r="A116" t="s">
        <v>201</v>
      </c>
      <c r="B116" s="1">
        <v>45880</v>
      </c>
      <c r="C116" t="s">
        <v>101</v>
      </c>
      <c r="D116" t="s">
        <v>12</v>
      </c>
      <c r="E116" t="s">
        <v>36</v>
      </c>
      <c r="F116" t="s">
        <v>125</v>
      </c>
      <c r="G116">
        <v>10</v>
      </c>
      <c r="H116" s="2">
        <v>2506.35</v>
      </c>
      <c r="I116" s="2">
        <f t="shared" si="9"/>
        <v>25063.5</v>
      </c>
      <c r="J116" t="s">
        <v>24</v>
      </c>
      <c r="L116" s="9">
        <f t="shared" si="6"/>
        <v>3</v>
      </c>
      <c r="M116" t="str">
        <f t="shared" si="7"/>
        <v>Monday</v>
      </c>
      <c r="N116">
        <f t="shared" si="8"/>
        <v>10</v>
      </c>
    </row>
    <row r="117" spans="1:14" x14ac:dyDescent="0.3">
      <c r="A117" t="s">
        <v>202</v>
      </c>
      <c r="B117" s="1">
        <v>45789</v>
      </c>
      <c r="C117" t="s">
        <v>203</v>
      </c>
      <c r="D117" t="s">
        <v>60</v>
      </c>
      <c r="E117" t="s">
        <v>27</v>
      </c>
      <c r="F117" t="s">
        <v>56</v>
      </c>
      <c r="G117">
        <v>10</v>
      </c>
      <c r="H117" s="2">
        <v>2893.69</v>
      </c>
      <c r="I117" s="2">
        <f t="shared" si="9"/>
        <v>28936.9</v>
      </c>
      <c r="J117" t="s">
        <v>24</v>
      </c>
      <c r="L117" s="9">
        <f t="shared" si="6"/>
        <v>2</v>
      </c>
      <c r="M117" t="str">
        <f t="shared" si="7"/>
        <v>Monday</v>
      </c>
      <c r="N117">
        <f t="shared" si="8"/>
        <v>11</v>
      </c>
    </row>
    <row r="118" spans="1:14" x14ac:dyDescent="0.3">
      <c r="A118" t="s">
        <v>204</v>
      </c>
      <c r="B118" s="1">
        <v>45838</v>
      </c>
      <c r="C118" t="s">
        <v>205</v>
      </c>
      <c r="D118" t="s">
        <v>18</v>
      </c>
      <c r="E118" t="s">
        <v>22</v>
      </c>
      <c r="F118" t="s">
        <v>119</v>
      </c>
      <c r="G118">
        <v>4</v>
      </c>
      <c r="H118" s="2">
        <v>3915.01</v>
      </c>
      <c r="I118" s="2">
        <f t="shared" si="9"/>
        <v>15660.04</v>
      </c>
      <c r="J118" t="s">
        <v>15</v>
      </c>
      <c r="L118" s="9">
        <f t="shared" si="6"/>
        <v>2</v>
      </c>
      <c r="M118" t="str">
        <f t="shared" si="7"/>
        <v>Monday</v>
      </c>
      <c r="N118">
        <f t="shared" si="8"/>
        <v>11</v>
      </c>
    </row>
    <row r="119" spans="1:14" x14ac:dyDescent="0.3">
      <c r="A119" t="s">
        <v>206</v>
      </c>
      <c r="B119" s="1">
        <v>45859</v>
      </c>
      <c r="C119" t="s">
        <v>124</v>
      </c>
      <c r="D119" t="s">
        <v>18</v>
      </c>
      <c r="E119" t="s">
        <v>36</v>
      </c>
      <c r="F119" t="s">
        <v>82</v>
      </c>
      <c r="G119">
        <v>6</v>
      </c>
      <c r="H119" s="2">
        <v>4867.96</v>
      </c>
      <c r="I119" s="2">
        <f t="shared" si="9"/>
        <v>29207.760000000002</v>
      </c>
      <c r="J119" t="s">
        <v>52</v>
      </c>
      <c r="L119" s="9">
        <f t="shared" si="6"/>
        <v>3</v>
      </c>
      <c r="M119" t="str">
        <f t="shared" si="7"/>
        <v>Monday</v>
      </c>
      <c r="N119">
        <f t="shared" si="8"/>
        <v>15</v>
      </c>
    </row>
    <row r="120" spans="1:14" x14ac:dyDescent="0.3">
      <c r="A120" t="s">
        <v>207</v>
      </c>
      <c r="B120" s="1">
        <v>45863</v>
      </c>
      <c r="C120" t="s">
        <v>63</v>
      </c>
      <c r="D120" t="s">
        <v>18</v>
      </c>
      <c r="E120" t="s">
        <v>36</v>
      </c>
      <c r="F120" t="s">
        <v>125</v>
      </c>
      <c r="G120">
        <v>2</v>
      </c>
      <c r="H120" s="2">
        <v>4876.2299999999996</v>
      </c>
      <c r="I120" s="2">
        <f t="shared" si="9"/>
        <v>9752.4599999999991</v>
      </c>
      <c r="J120" t="s">
        <v>52</v>
      </c>
      <c r="L120" s="9">
        <f t="shared" si="6"/>
        <v>3</v>
      </c>
      <c r="M120" t="str">
        <f t="shared" si="7"/>
        <v>Friday</v>
      </c>
      <c r="N120">
        <f t="shared" si="8"/>
        <v>12</v>
      </c>
    </row>
    <row r="121" spans="1:14" x14ac:dyDescent="0.3">
      <c r="A121" t="s">
        <v>208</v>
      </c>
      <c r="B121" s="1">
        <v>45875</v>
      </c>
      <c r="C121" t="s">
        <v>76</v>
      </c>
      <c r="D121" t="s">
        <v>18</v>
      </c>
      <c r="E121" t="s">
        <v>36</v>
      </c>
      <c r="F121" t="s">
        <v>125</v>
      </c>
      <c r="G121">
        <v>6</v>
      </c>
      <c r="H121" s="2">
        <v>2118.0300000000002</v>
      </c>
      <c r="I121" s="2">
        <f t="shared" si="9"/>
        <v>12708.18</v>
      </c>
      <c r="J121" t="s">
        <v>15</v>
      </c>
      <c r="L121" s="9">
        <f t="shared" si="6"/>
        <v>3</v>
      </c>
      <c r="M121" t="str">
        <f t="shared" si="7"/>
        <v>Wednesday</v>
      </c>
      <c r="N121">
        <f t="shared" si="8"/>
        <v>12</v>
      </c>
    </row>
    <row r="122" spans="1:14" x14ac:dyDescent="0.3">
      <c r="A122" t="s">
        <v>209</v>
      </c>
      <c r="B122" s="1">
        <v>45677</v>
      </c>
      <c r="C122" t="s">
        <v>144</v>
      </c>
      <c r="D122" t="s">
        <v>32</v>
      </c>
      <c r="E122" t="s">
        <v>36</v>
      </c>
      <c r="F122" t="s">
        <v>125</v>
      </c>
      <c r="G122">
        <v>4</v>
      </c>
      <c r="H122" s="2">
        <v>203.12</v>
      </c>
      <c r="I122" s="2">
        <f t="shared" si="9"/>
        <v>812.48</v>
      </c>
      <c r="J122" t="s">
        <v>15</v>
      </c>
      <c r="L122" s="9">
        <f t="shared" si="6"/>
        <v>1</v>
      </c>
      <c r="M122" t="str">
        <f t="shared" si="7"/>
        <v>Monday</v>
      </c>
      <c r="N122">
        <f t="shared" si="8"/>
        <v>13</v>
      </c>
    </row>
    <row r="123" spans="1:14" x14ac:dyDescent="0.3">
      <c r="A123" t="s">
        <v>210</v>
      </c>
      <c r="B123" s="1">
        <v>45705</v>
      </c>
      <c r="C123" t="s">
        <v>67</v>
      </c>
      <c r="D123" t="s">
        <v>55</v>
      </c>
      <c r="E123" t="s">
        <v>36</v>
      </c>
      <c r="F123" t="s">
        <v>82</v>
      </c>
      <c r="G123">
        <v>4</v>
      </c>
      <c r="H123" s="2">
        <v>650.75</v>
      </c>
      <c r="I123" s="2">
        <f t="shared" si="9"/>
        <v>2603</v>
      </c>
      <c r="J123" t="s">
        <v>15</v>
      </c>
      <c r="L123" s="9">
        <f t="shared" si="6"/>
        <v>1</v>
      </c>
      <c r="M123" t="str">
        <f t="shared" si="7"/>
        <v>Monday</v>
      </c>
      <c r="N123">
        <f t="shared" si="8"/>
        <v>13</v>
      </c>
    </row>
    <row r="124" spans="1:14" x14ac:dyDescent="0.3">
      <c r="A124" t="s">
        <v>211</v>
      </c>
      <c r="B124" s="1">
        <v>45697</v>
      </c>
      <c r="C124" t="s">
        <v>39</v>
      </c>
      <c r="D124" t="s">
        <v>18</v>
      </c>
      <c r="E124" t="s">
        <v>36</v>
      </c>
      <c r="F124" t="s">
        <v>135</v>
      </c>
      <c r="G124">
        <v>10</v>
      </c>
      <c r="H124" s="2">
        <v>403.75</v>
      </c>
      <c r="I124" s="2">
        <f t="shared" si="9"/>
        <v>4037.5</v>
      </c>
      <c r="J124" t="s">
        <v>29</v>
      </c>
      <c r="L124" s="9">
        <f t="shared" si="6"/>
        <v>1</v>
      </c>
      <c r="M124" t="str">
        <f t="shared" si="7"/>
        <v>Sunday</v>
      </c>
      <c r="N124">
        <f t="shared" si="8"/>
        <v>9</v>
      </c>
    </row>
    <row r="125" spans="1:14" x14ac:dyDescent="0.3">
      <c r="A125" t="s">
        <v>212</v>
      </c>
      <c r="B125" s="1">
        <v>45800</v>
      </c>
      <c r="C125" t="s">
        <v>59</v>
      </c>
      <c r="D125" t="s">
        <v>18</v>
      </c>
      <c r="E125" t="s">
        <v>22</v>
      </c>
      <c r="F125" t="s">
        <v>119</v>
      </c>
      <c r="G125">
        <v>2</v>
      </c>
      <c r="H125" s="2">
        <v>3341.79</v>
      </c>
      <c r="I125" s="2">
        <f t="shared" si="9"/>
        <v>6683.58</v>
      </c>
      <c r="J125" t="s">
        <v>29</v>
      </c>
      <c r="L125" s="9">
        <f t="shared" si="6"/>
        <v>2</v>
      </c>
      <c r="M125" t="str">
        <f t="shared" si="7"/>
        <v>Friday</v>
      </c>
      <c r="N125">
        <f t="shared" si="8"/>
        <v>10</v>
      </c>
    </row>
    <row r="126" spans="1:14" x14ac:dyDescent="0.3">
      <c r="A126" t="s">
        <v>213</v>
      </c>
      <c r="B126" s="1">
        <v>45880</v>
      </c>
      <c r="C126" t="s">
        <v>149</v>
      </c>
      <c r="D126" t="s">
        <v>55</v>
      </c>
      <c r="E126" t="s">
        <v>36</v>
      </c>
      <c r="F126" t="s">
        <v>77</v>
      </c>
      <c r="G126">
        <v>8</v>
      </c>
      <c r="H126" s="2">
        <v>4462.6499999999996</v>
      </c>
      <c r="I126" s="2">
        <f t="shared" si="9"/>
        <v>35701.199999999997</v>
      </c>
      <c r="J126" t="s">
        <v>15</v>
      </c>
      <c r="L126" s="9">
        <f t="shared" si="6"/>
        <v>3</v>
      </c>
      <c r="M126" t="str">
        <f t="shared" si="7"/>
        <v>Monday</v>
      </c>
      <c r="N126">
        <f t="shared" si="8"/>
        <v>14</v>
      </c>
    </row>
    <row r="127" spans="1:14" x14ac:dyDescent="0.3">
      <c r="A127" t="s">
        <v>214</v>
      </c>
      <c r="B127" s="1">
        <v>45885</v>
      </c>
      <c r="C127" t="s">
        <v>47</v>
      </c>
      <c r="D127" t="s">
        <v>18</v>
      </c>
      <c r="E127" t="s">
        <v>22</v>
      </c>
      <c r="F127" t="s">
        <v>104</v>
      </c>
      <c r="G127">
        <v>8</v>
      </c>
      <c r="H127" s="2">
        <v>263.38</v>
      </c>
      <c r="I127" s="2">
        <f t="shared" si="9"/>
        <v>2107.04</v>
      </c>
      <c r="J127" t="s">
        <v>41</v>
      </c>
      <c r="L127" s="9">
        <f t="shared" si="6"/>
        <v>3</v>
      </c>
      <c r="M127" t="str">
        <f t="shared" si="7"/>
        <v>Saturday</v>
      </c>
      <c r="N127">
        <f t="shared" si="8"/>
        <v>11</v>
      </c>
    </row>
    <row r="128" spans="1:14" x14ac:dyDescent="0.3">
      <c r="A128" t="s">
        <v>215</v>
      </c>
      <c r="B128" s="1">
        <v>46003</v>
      </c>
      <c r="C128" t="s">
        <v>17</v>
      </c>
      <c r="D128" t="s">
        <v>12</v>
      </c>
      <c r="E128" t="s">
        <v>13</v>
      </c>
      <c r="F128" t="s">
        <v>40</v>
      </c>
      <c r="G128">
        <v>6</v>
      </c>
      <c r="H128" s="2">
        <v>353.02</v>
      </c>
      <c r="I128" s="2">
        <f t="shared" si="9"/>
        <v>2118.12</v>
      </c>
      <c r="J128" t="s">
        <v>24</v>
      </c>
      <c r="L128" s="9">
        <f t="shared" si="6"/>
        <v>4</v>
      </c>
      <c r="M128" t="str">
        <f t="shared" si="7"/>
        <v>Friday</v>
      </c>
      <c r="N128">
        <f t="shared" si="8"/>
        <v>12</v>
      </c>
    </row>
    <row r="129" spans="1:14" x14ac:dyDescent="0.3">
      <c r="A129" t="s">
        <v>216</v>
      </c>
      <c r="B129" s="1">
        <v>45658</v>
      </c>
      <c r="C129" t="s">
        <v>84</v>
      </c>
      <c r="D129" t="s">
        <v>60</v>
      </c>
      <c r="E129" t="s">
        <v>27</v>
      </c>
      <c r="F129" t="s">
        <v>33</v>
      </c>
      <c r="G129">
        <v>1</v>
      </c>
      <c r="H129" s="2">
        <v>1853.29</v>
      </c>
      <c r="I129" s="2">
        <f t="shared" si="9"/>
        <v>1853.29</v>
      </c>
      <c r="J129" t="s">
        <v>24</v>
      </c>
      <c r="L129" s="9">
        <f t="shared" si="6"/>
        <v>1</v>
      </c>
      <c r="M129" t="str">
        <f t="shared" si="7"/>
        <v>Wednesday</v>
      </c>
      <c r="N129">
        <f t="shared" si="8"/>
        <v>10</v>
      </c>
    </row>
    <row r="130" spans="1:14" x14ac:dyDescent="0.3">
      <c r="A130" t="s">
        <v>217</v>
      </c>
      <c r="B130" s="1">
        <v>45791</v>
      </c>
      <c r="C130" t="s">
        <v>156</v>
      </c>
      <c r="D130" t="s">
        <v>12</v>
      </c>
      <c r="E130" t="s">
        <v>22</v>
      </c>
      <c r="F130" t="s">
        <v>119</v>
      </c>
      <c r="G130">
        <v>3</v>
      </c>
      <c r="H130" s="2">
        <v>210.34</v>
      </c>
      <c r="I130" s="2">
        <f t="shared" ref="I130:I151" si="10">G130*H130</f>
        <v>631.02</v>
      </c>
      <c r="J130" t="s">
        <v>41</v>
      </c>
      <c r="L130" s="9">
        <f t="shared" si="6"/>
        <v>2</v>
      </c>
      <c r="M130" t="str">
        <f t="shared" si="7"/>
        <v>Wednesday</v>
      </c>
      <c r="N130">
        <f t="shared" si="8"/>
        <v>15</v>
      </c>
    </row>
    <row r="131" spans="1:14" x14ac:dyDescent="0.3">
      <c r="A131" t="s">
        <v>218</v>
      </c>
      <c r="B131" s="1">
        <v>45966</v>
      </c>
      <c r="C131" t="s">
        <v>95</v>
      </c>
      <c r="D131" t="s">
        <v>32</v>
      </c>
      <c r="E131" t="s">
        <v>36</v>
      </c>
      <c r="F131" t="s">
        <v>37</v>
      </c>
      <c r="G131">
        <v>8</v>
      </c>
      <c r="H131" s="2">
        <v>3584.36</v>
      </c>
      <c r="I131" s="2">
        <f t="shared" si="10"/>
        <v>28674.880000000001</v>
      </c>
      <c r="J131" t="s">
        <v>29</v>
      </c>
      <c r="L131" s="9">
        <f t="shared" ref="L131:L151" si="11">ROUNDUP(MONTH(B131)/3,0)</f>
        <v>4</v>
      </c>
      <c r="M131" t="str">
        <f t="shared" ref="M131:M151" si="12">TEXT(B131,"dddd")</f>
        <v>Wednesday</v>
      </c>
      <c r="N131">
        <f t="shared" ref="N131:N151" si="13">LEN(C131)</f>
        <v>15</v>
      </c>
    </row>
    <row r="132" spans="1:14" x14ac:dyDescent="0.3">
      <c r="A132" t="s">
        <v>219</v>
      </c>
      <c r="B132" s="1">
        <v>45869</v>
      </c>
      <c r="C132" t="s">
        <v>43</v>
      </c>
      <c r="D132" t="s">
        <v>32</v>
      </c>
      <c r="E132" t="s">
        <v>36</v>
      </c>
      <c r="F132" t="s">
        <v>77</v>
      </c>
      <c r="G132">
        <v>3</v>
      </c>
      <c r="H132" s="2">
        <v>531.53</v>
      </c>
      <c r="I132" s="2">
        <f t="shared" si="10"/>
        <v>1594.59</v>
      </c>
      <c r="J132" t="s">
        <v>24</v>
      </c>
      <c r="L132" s="9">
        <f t="shared" si="11"/>
        <v>3</v>
      </c>
      <c r="M132" t="str">
        <f t="shared" si="12"/>
        <v>Thursday</v>
      </c>
      <c r="N132">
        <f t="shared" si="13"/>
        <v>14</v>
      </c>
    </row>
    <row r="133" spans="1:14" x14ac:dyDescent="0.3">
      <c r="A133" t="s">
        <v>220</v>
      </c>
      <c r="B133" s="1">
        <v>45671</v>
      </c>
      <c r="C133" t="s">
        <v>21</v>
      </c>
      <c r="D133" t="s">
        <v>32</v>
      </c>
      <c r="E133" t="s">
        <v>22</v>
      </c>
      <c r="F133" t="s">
        <v>104</v>
      </c>
      <c r="G133">
        <v>2</v>
      </c>
      <c r="H133" s="2">
        <v>4692.4399999999996</v>
      </c>
      <c r="I133" s="2">
        <f t="shared" si="10"/>
        <v>9384.8799999999992</v>
      </c>
      <c r="J133" t="s">
        <v>24</v>
      </c>
      <c r="L133" s="9">
        <f t="shared" si="11"/>
        <v>1</v>
      </c>
      <c r="M133" t="str">
        <f t="shared" si="12"/>
        <v>Tuesday</v>
      </c>
      <c r="N133">
        <f t="shared" si="13"/>
        <v>11</v>
      </c>
    </row>
    <row r="134" spans="1:14" x14ac:dyDescent="0.3">
      <c r="A134" t="s">
        <v>221</v>
      </c>
      <c r="B134" s="1">
        <v>45680</v>
      </c>
      <c r="C134" t="s">
        <v>81</v>
      </c>
      <c r="D134" t="s">
        <v>32</v>
      </c>
      <c r="E134" t="s">
        <v>44</v>
      </c>
      <c r="F134" t="s">
        <v>68</v>
      </c>
      <c r="G134">
        <v>6</v>
      </c>
      <c r="H134" s="2">
        <v>4808.66</v>
      </c>
      <c r="I134" s="2">
        <f t="shared" si="10"/>
        <v>28851.96</v>
      </c>
      <c r="J134" t="s">
        <v>41</v>
      </c>
      <c r="L134" s="9">
        <f t="shared" si="11"/>
        <v>1</v>
      </c>
      <c r="M134" t="str">
        <f t="shared" si="12"/>
        <v>Thursday</v>
      </c>
      <c r="N134">
        <f t="shared" si="13"/>
        <v>11</v>
      </c>
    </row>
    <row r="135" spans="1:14" x14ac:dyDescent="0.3">
      <c r="A135" t="s">
        <v>222</v>
      </c>
      <c r="B135" s="1">
        <v>45716</v>
      </c>
      <c r="C135" t="s">
        <v>95</v>
      </c>
      <c r="D135" t="s">
        <v>18</v>
      </c>
      <c r="E135" t="s">
        <v>13</v>
      </c>
      <c r="F135" t="s">
        <v>19</v>
      </c>
      <c r="G135">
        <v>1</v>
      </c>
      <c r="H135" s="2">
        <v>1763.14</v>
      </c>
      <c r="I135" s="2">
        <f t="shared" si="10"/>
        <v>1763.14</v>
      </c>
      <c r="J135" t="s">
        <v>29</v>
      </c>
      <c r="L135" s="9">
        <f t="shared" si="11"/>
        <v>1</v>
      </c>
      <c r="M135" t="str">
        <f t="shared" si="12"/>
        <v>Friday</v>
      </c>
      <c r="N135">
        <f t="shared" si="13"/>
        <v>15</v>
      </c>
    </row>
    <row r="136" spans="1:14" x14ac:dyDescent="0.3">
      <c r="A136" t="s">
        <v>223</v>
      </c>
      <c r="B136" s="1">
        <v>45938</v>
      </c>
      <c r="C136" t="s">
        <v>43</v>
      </c>
      <c r="D136" t="s">
        <v>55</v>
      </c>
      <c r="E136" t="s">
        <v>22</v>
      </c>
      <c r="F136" t="s">
        <v>119</v>
      </c>
      <c r="G136">
        <v>3</v>
      </c>
      <c r="H136" s="2">
        <v>4076.97</v>
      </c>
      <c r="I136" s="2">
        <f t="shared" si="10"/>
        <v>12230.91</v>
      </c>
      <c r="J136" t="s">
        <v>24</v>
      </c>
      <c r="L136" s="9">
        <f t="shared" si="11"/>
        <v>4</v>
      </c>
      <c r="M136" t="str">
        <f t="shared" si="12"/>
        <v>Wednesday</v>
      </c>
      <c r="N136">
        <f t="shared" si="13"/>
        <v>14</v>
      </c>
    </row>
    <row r="137" spans="1:14" x14ac:dyDescent="0.3">
      <c r="A137" t="s">
        <v>224</v>
      </c>
      <c r="B137" s="1">
        <v>45972</v>
      </c>
      <c r="C137" t="s">
        <v>111</v>
      </c>
      <c r="D137" t="s">
        <v>60</v>
      </c>
      <c r="E137" t="s">
        <v>22</v>
      </c>
      <c r="F137" t="s">
        <v>102</v>
      </c>
      <c r="G137">
        <v>2</v>
      </c>
      <c r="H137" s="2">
        <v>3670.38</v>
      </c>
      <c r="I137" s="2">
        <f t="shared" si="10"/>
        <v>7340.76</v>
      </c>
      <c r="J137" t="s">
        <v>24</v>
      </c>
      <c r="L137" s="9">
        <f t="shared" si="11"/>
        <v>4</v>
      </c>
      <c r="M137" t="str">
        <f t="shared" si="12"/>
        <v>Tuesday</v>
      </c>
      <c r="N137">
        <f t="shared" si="13"/>
        <v>10</v>
      </c>
    </row>
    <row r="138" spans="1:14" x14ac:dyDescent="0.3">
      <c r="A138" t="s">
        <v>225</v>
      </c>
      <c r="B138" s="1">
        <v>45767</v>
      </c>
      <c r="C138" t="s">
        <v>91</v>
      </c>
      <c r="D138" t="s">
        <v>12</v>
      </c>
      <c r="E138" t="s">
        <v>13</v>
      </c>
      <c r="F138" t="s">
        <v>14</v>
      </c>
      <c r="G138">
        <v>6</v>
      </c>
      <c r="H138" s="2">
        <v>3985.12</v>
      </c>
      <c r="I138" s="2">
        <f t="shared" si="10"/>
        <v>23910.720000000001</v>
      </c>
      <c r="J138" t="s">
        <v>41</v>
      </c>
      <c r="L138" s="9">
        <f t="shared" si="11"/>
        <v>2</v>
      </c>
      <c r="M138" t="str">
        <f t="shared" si="12"/>
        <v>Sunday</v>
      </c>
      <c r="N138">
        <f t="shared" si="13"/>
        <v>12</v>
      </c>
    </row>
    <row r="139" spans="1:14" x14ac:dyDescent="0.3">
      <c r="A139" t="s">
        <v>226</v>
      </c>
      <c r="B139" s="1">
        <v>45959</v>
      </c>
      <c r="C139" t="s">
        <v>17</v>
      </c>
      <c r="D139" t="s">
        <v>60</v>
      </c>
      <c r="E139" t="s">
        <v>13</v>
      </c>
      <c r="F139" t="s">
        <v>14</v>
      </c>
      <c r="G139">
        <v>6</v>
      </c>
      <c r="H139" s="2">
        <v>872.1</v>
      </c>
      <c r="I139" s="2">
        <f t="shared" si="10"/>
        <v>5232.6000000000004</v>
      </c>
      <c r="J139" t="s">
        <v>15</v>
      </c>
      <c r="L139" s="9">
        <f t="shared" si="11"/>
        <v>4</v>
      </c>
      <c r="M139" t="str">
        <f t="shared" si="12"/>
        <v>Wednesday</v>
      </c>
      <c r="N139">
        <f t="shared" si="13"/>
        <v>12</v>
      </c>
    </row>
    <row r="140" spans="1:14" x14ac:dyDescent="0.3">
      <c r="A140" t="s">
        <v>227</v>
      </c>
      <c r="B140" s="1">
        <v>45895</v>
      </c>
      <c r="C140" t="s">
        <v>97</v>
      </c>
      <c r="D140" t="s">
        <v>18</v>
      </c>
      <c r="E140" t="s">
        <v>36</v>
      </c>
      <c r="F140" t="s">
        <v>77</v>
      </c>
      <c r="G140">
        <v>4</v>
      </c>
      <c r="H140" s="2">
        <v>2213.42</v>
      </c>
      <c r="I140" s="2">
        <f t="shared" si="10"/>
        <v>8853.68</v>
      </c>
      <c r="J140" t="s">
        <v>52</v>
      </c>
      <c r="L140" s="9">
        <f t="shared" si="11"/>
        <v>3</v>
      </c>
      <c r="M140" t="str">
        <f t="shared" si="12"/>
        <v>Tuesday</v>
      </c>
      <c r="N140">
        <f t="shared" si="13"/>
        <v>10</v>
      </c>
    </row>
    <row r="141" spans="1:14" x14ac:dyDescent="0.3">
      <c r="A141" t="s">
        <v>228</v>
      </c>
      <c r="B141" s="1">
        <v>45677</v>
      </c>
      <c r="C141" t="s">
        <v>144</v>
      </c>
      <c r="D141" t="s">
        <v>60</v>
      </c>
      <c r="E141" t="s">
        <v>44</v>
      </c>
      <c r="F141" t="s">
        <v>68</v>
      </c>
      <c r="G141">
        <v>7</v>
      </c>
      <c r="H141" s="2">
        <v>244.78</v>
      </c>
      <c r="I141" s="2">
        <f t="shared" si="10"/>
        <v>1713.46</v>
      </c>
      <c r="J141" t="s">
        <v>41</v>
      </c>
      <c r="L141" s="9">
        <f t="shared" si="11"/>
        <v>1</v>
      </c>
      <c r="M141" t="str">
        <f t="shared" si="12"/>
        <v>Monday</v>
      </c>
      <c r="N141">
        <f t="shared" si="13"/>
        <v>13</v>
      </c>
    </row>
    <row r="142" spans="1:14" x14ac:dyDescent="0.3">
      <c r="A142" t="s">
        <v>229</v>
      </c>
      <c r="B142" s="1">
        <v>45663</v>
      </c>
      <c r="C142" t="s">
        <v>76</v>
      </c>
      <c r="D142" t="s">
        <v>55</v>
      </c>
      <c r="E142" t="s">
        <v>44</v>
      </c>
      <c r="F142" t="s">
        <v>45</v>
      </c>
      <c r="G142">
        <v>5</v>
      </c>
      <c r="H142" s="2">
        <v>410.79</v>
      </c>
      <c r="I142" s="2">
        <f t="shared" si="10"/>
        <v>2053.9500000000003</v>
      </c>
      <c r="J142" t="s">
        <v>52</v>
      </c>
      <c r="L142" s="9">
        <f t="shared" si="11"/>
        <v>1</v>
      </c>
      <c r="M142" t="str">
        <f t="shared" si="12"/>
        <v>Monday</v>
      </c>
      <c r="N142">
        <f t="shared" si="13"/>
        <v>12</v>
      </c>
    </row>
    <row r="143" spans="1:14" x14ac:dyDescent="0.3">
      <c r="A143" t="s">
        <v>230</v>
      </c>
      <c r="B143" s="1">
        <v>46014</v>
      </c>
      <c r="C143" t="s">
        <v>21</v>
      </c>
      <c r="D143" t="s">
        <v>55</v>
      </c>
      <c r="E143" t="s">
        <v>13</v>
      </c>
      <c r="F143" t="s">
        <v>64</v>
      </c>
      <c r="G143">
        <v>6</v>
      </c>
      <c r="H143" s="2">
        <v>1908.01</v>
      </c>
      <c r="I143" s="2">
        <f t="shared" si="10"/>
        <v>11448.06</v>
      </c>
      <c r="J143" t="s">
        <v>41</v>
      </c>
      <c r="L143" s="9">
        <f t="shared" si="11"/>
        <v>4</v>
      </c>
      <c r="M143" t="str">
        <f t="shared" si="12"/>
        <v>Tuesday</v>
      </c>
      <c r="N143">
        <f t="shared" si="13"/>
        <v>11</v>
      </c>
    </row>
    <row r="144" spans="1:14" x14ac:dyDescent="0.3">
      <c r="A144" t="s">
        <v>231</v>
      </c>
      <c r="B144" s="1">
        <v>46018</v>
      </c>
      <c r="C144" t="s">
        <v>73</v>
      </c>
      <c r="D144" t="s">
        <v>60</v>
      </c>
      <c r="E144" t="s">
        <v>44</v>
      </c>
      <c r="F144" t="s">
        <v>48</v>
      </c>
      <c r="G144">
        <v>2</v>
      </c>
      <c r="H144" s="2">
        <v>3102.19</v>
      </c>
      <c r="I144" s="2">
        <f t="shared" si="10"/>
        <v>6204.38</v>
      </c>
      <c r="J144" t="s">
        <v>15</v>
      </c>
      <c r="L144" s="9">
        <f t="shared" si="11"/>
        <v>4</v>
      </c>
      <c r="M144" t="str">
        <f t="shared" si="12"/>
        <v>Saturday</v>
      </c>
      <c r="N144">
        <f t="shared" si="13"/>
        <v>11</v>
      </c>
    </row>
    <row r="145" spans="1:14" x14ac:dyDescent="0.3">
      <c r="A145" t="s">
        <v>232</v>
      </c>
      <c r="B145" s="1">
        <v>45707</v>
      </c>
      <c r="C145" t="s">
        <v>156</v>
      </c>
      <c r="D145" t="s">
        <v>55</v>
      </c>
      <c r="E145" t="s">
        <v>22</v>
      </c>
      <c r="F145" t="s">
        <v>119</v>
      </c>
      <c r="G145">
        <v>2</v>
      </c>
      <c r="H145" s="2">
        <v>4457.28</v>
      </c>
      <c r="I145" s="2">
        <f t="shared" si="10"/>
        <v>8914.56</v>
      </c>
      <c r="J145" t="s">
        <v>52</v>
      </c>
      <c r="L145" s="9">
        <f t="shared" si="11"/>
        <v>1</v>
      </c>
      <c r="M145" t="str">
        <f t="shared" si="12"/>
        <v>Wednesday</v>
      </c>
      <c r="N145">
        <f t="shared" si="13"/>
        <v>15</v>
      </c>
    </row>
    <row r="146" spans="1:14" x14ac:dyDescent="0.3">
      <c r="A146" t="s">
        <v>233</v>
      </c>
      <c r="B146" s="1">
        <v>45734</v>
      </c>
      <c r="C146" t="s">
        <v>79</v>
      </c>
      <c r="D146" t="s">
        <v>60</v>
      </c>
      <c r="E146" t="s">
        <v>44</v>
      </c>
      <c r="F146" t="s">
        <v>48</v>
      </c>
      <c r="G146">
        <v>3</v>
      </c>
      <c r="H146" s="2">
        <v>2598.2399999999998</v>
      </c>
      <c r="I146" s="2">
        <f t="shared" si="10"/>
        <v>7794.7199999999993</v>
      </c>
      <c r="J146" t="s">
        <v>29</v>
      </c>
      <c r="L146" s="9">
        <f t="shared" si="11"/>
        <v>1</v>
      </c>
      <c r="M146" t="str">
        <f t="shared" si="12"/>
        <v>Tuesday</v>
      </c>
      <c r="N146">
        <f t="shared" si="13"/>
        <v>11</v>
      </c>
    </row>
    <row r="147" spans="1:14" x14ac:dyDescent="0.3">
      <c r="A147" t="s">
        <v>234</v>
      </c>
      <c r="B147" s="1">
        <v>45964</v>
      </c>
      <c r="C147" t="s">
        <v>47</v>
      </c>
      <c r="D147" t="s">
        <v>32</v>
      </c>
      <c r="E147" t="s">
        <v>36</v>
      </c>
      <c r="F147" t="s">
        <v>82</v>
      </c>
      <c r="G147">
        <v>6</v>
      </c>
      <c r="H147" s="2">
        <v>3370.19</v>
      </c>
      <c r="I147" s="2">
        <f t="shared" si="10"/>
        <v>20221.14</v>
      </c>
      <c r="J147" t="s">
        <v>41</v>
      </c>
      <c r="L147" s="9">
        <f t="shared" si="11"/>
        <v>4</v>
      </c>
      <c r="M147" t="str">
        <f t="shared" si="12"/>
        <v>Monday</v>
      </c>
      <c r="N147">
        <f t="shared" si="13"/>
        <v>11</v>
      </c>
    </row>
    <row r="148" spans="1:14" x14ac:dyDescent="0.3">
      <c r="A148" t="s">
        <v>235</v>
      </c>
      <c r="B148" s="1">
        <v>45722</v>
      </c>
      <c r="C148" t="s">
        <v>84</v>
      </c>
      <c r="D148" t="s">
        <v>18</v>
      </c>
      <c r="E148" t="s">
        <v>13</v>
      </c>
      <c r="F148" t="s">
        <v>19</v>
      </c>
      <c r="G148">
        <v>2</v>
      </c>
      <c r="H148" s="2">
        <v>2723.93</v>
      </c>
      <c r="I148" s="2">
        <f t="shared" si="10"/>
        <v>5447.86</v>
      </c>
      <c r="J148" t="s">
        <v>52</v>
      </c>
      <c r="L148" s="9">
        <f t="shared" si="11"/>
        <v>1</v>
      </c>
      <c r="M148" t="str">
        <f t="shared" si="12"/>
        <v>Thursday</v>
      </c>
      <c r="N148">
        <f t="shared" si="13"/>
        <v>10</v>
      </c>
    </row>
    <row r="149" spans="1:14" x14ac:dyDescent="0.3">
      <c r="A149" t="s">
        <v>236</v>
      </c>
      <c r="B149" s="1">
        <v>46015</v>
      </c>
      <c r="C149" t="s">
        <v>203</v>
      </c>
      <c r="D149" t="s">
        <v>18</v>
      </c>
      <c r="E149" t="s">
        <v>36</v>
      </c>
      <c r="F149" t="s">
        <v>135</v>
      </c>
      <c r="G149">
        <v>4</v>
      </c>
      <c r="H149" s="2">
        <v>4455.09</v>
      </c>
      <c r="I149" s="2">
        <f t="shared" si="10"/>
        <v>17820.36</v>
      </c>
      <c r="J149" t="s">
        <v>52</v>
      </c>
      <c r="L149" s="9">
        <f t="shared" si="11"/>
        <v>4</v>
      </c>
      <c r="M149" t="str">
        <f t="shared" si="12"/>
        <v>Wednesday</v>
      </c>
      <c r="N149">
        <f t="shared" si="13"/>
        <v>11</v>
      </c>
    </row>
    <row r="150" spans="1:14" x14ac:dyDescent="0.3">
      <c r="A150" t="s">
        <v>237</v>
      </c>
      <c r="B150" s="1">
        <v>46012</v>
      </c>
      <c r="C150" t="s">
        <v>21</v>
      </c>
      <c r="D150" t="s">
        <v>18</v>
      </c>
      <c r="E150" t="s">
        <v>27</v>
      </c>
      <c r="F150" t="s">
        <v>172</v>
      </c>
      <c r="G150">
        <v>10</v>
      </c>
      <c r="H150" s="2">
        <v>704.57</v>
      </c>
      <c r="I150" s="2">
        <f t="shared" si="10"/>
        <v>7045.7000000000007</v>
      </c>
      <c r="J150" t="s">
        <v>15</v>
      </c>
      <c r="L150" s="9">
        <f t="shared" si="11"/>
        <v>4</v>
      </c>
      <c r="M150" t="str">
        <f t="shared" si="12"/>
        <v>Sunday</v>
      </c>
      <c r="N150">
        <f t="shared" si="13"/>
        <v>11</v>
      </c>
    </row>
    <row r="151" spans="1:14" x14ac:dyDescent="0.3">
      <c r="A151" t="s">
        <v>238</v>
      </c>
      <c r="B151" s="1">
        <v>45808</v>
      </c>
      <c r="C151" t="s">
        <v>47</v>
      </c>
      <c r="D151" t="s">
        <v>12</v>
      </c>
      <c r="E151" t="s">
        <v>27</v>
      </c>
      <c r="F151" t="s">
        <v>51</v>
      </c>
      <c r="G151">
        <v>8</v>
      </c>
      <c r="H151" s="2">
        <v>3121.5</v>
      </c>
      <c r="I151" s="2">
        <f t="shared" si="10"/>
        <v>24972</v>
      </c>
      <c r="J151" t="s">
        <v>41</v>
      </c>
      <c r="L151" s="9">
        <f t="shared" si="11"/>
        <v>2</v>
      </c>
      <c r="M151" t="str">
        <f t="shared" si="12"/>
        <v>Saturday</v>
      </c>
      <c r="N151">
        <f t="shared" si="13"/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4"/>
  <sheetViews>
    <sheetView tabSelected="1" zoomScaleNormal="100" workbookViewId="0">
      <selection activeCell="C14" sqref="C14"/>
    </sheetView>
  </sheetViews>
  <sheetFormatPr defaultColWidth="8.6640625" defaultRowHeight="14.4" x14ac:dyDescent="0.3"/>
  <cols>
    <col min="1" max="1" width="3" bestFit="1" customWidth="1"/>
    <col min="2" max="2" width="127.44140625" bestFit="1" customWidth="1"/>
    <col min="3" max="3" width="23" bestFit="1" customWidth="1"/>
    <col min="5" max="5" width="15.109375" bestFit="1" customWidth="1"/>
    <col min="9" max="9" width="10.44140625" bestFit="1" customWidth="1"/>
  </cols>
  <sheetData>
    <row r="1" spans="1:7" x14ac:dyDescent="0.3">
      <c r="A1" s="4" t="s">
        <v>239</v>
      </c>
      <c r="B1" s="4" t="s">
        <v>240</v>
      </c>
      <c r="C1" s="4" t="s">
        <v>241</v>
      </c>
    </row>
    <row r="2" spans="1:7" x14ac:dyDescent="0.3">
      <c r="A2" s="5">
        <v>1</v>
      </c>
      <c r="B2" s="5" t="s">
        <v>242</v>
      </c>
      <c r="C2" s="6">
        <f>SUMIF(Data!L2:L151,4,Data!I2:I151)</f>
        <v>588731.98</v>
      </c>
    </row>
    <row r="3" spans="1:7" x14ac:dyDescent="0.3">
      <c r="A3" s="5">
        <v>2</v>
      </c>
      <c r="B3" s="5" t="s">
        <v>243</v>
      </c>
      <c r="C3" s="6">
        <f>_xlfn.MINIFS(Data!B2:B151,Data!E2:E151,"Electronics")</f>
        <v>45658</v>
      </c>
    </row>
    <row r="4" spans="1:7" x14ac:dyDescent="0.3">
      <c r="A4" s="5">
        <v>3</v>
      </c>
      <c r="B4" s="5" t="s">
        <v>244</v>
      </c>
      <c r="C4" s="6">
        <f>_xlfn.MAXIFS(Data!I2:I151,Data!E2:E151,"Grocery")</f>
        <v>43829.279999999999</v>
      </c>
    </row>
    <row r="5" spans="1:7" x14ac:dyDescent="0.3">
      <c r="A5" s="5">
        <v>4</v>
      </c>
      <c r="B5" s="5" t="s">
        <v>245</v>
      </c>
      <c r="C5" s="10">
        <f>Data!B2+30</f>
        <v>45859</v>
      </c>
    </row>
    <row r="6" spans="1:7" x14ac:dyDescent="0.3">
      <c r="A6" s="5">
        <v>5</v>
      </c>
      <c r="B6" s="5" t="s">
        <v>246</v>
      </c>
      <c r="C6" s="10">
        <f>EOMONTH(Data!B2,0)</f>
        <v>45838</v>
      </c>
    </row>
    <row r="7" spans="1:7" x14ac:dyDescent="0.3">
      <c r="A7" s="5">
        <v>6</v>
      </c>
      <c r="B7" s="5" t="s">
        <v>247</v>
      </c>
      <c r="C7" s="10">
        <f>WORKDAY(Data!B2,10,)</f>
        <v>45842</v>
      </c>
    </row>
    <row r="8" spans="1:7" x14ac:dyDescent="0.3">
      <c r="A8" s="5">
        <v>7</v>
      </c>
      <c r="B8" s="5" t="s">
        <v>248</v>
      </c>
      <c r="C8" s="6" t="str">
        <f>IF(Data!J2="Cash on Delivery","Offline","Digital")</f>
        <v>Digital</v>
      </c>
    </row>
    <row r="9" spans="1:7" x14ac:dyDescent="0.3">
      <c r="A9" s="5">
        <v>8</v>
      </c>
      <c r="B9" s="5" t="s">
        <v>249</v>
      </c>
      <c r="C9" s="6">
        <f>SUMIF(Data!C2:C151,"&lt;&gt;* *",Data!I2:I151)</f>
        <v>0</v>
      </c>
    </row>
    <row r="10" spans="1:7" x14ac:dyDescent="0.3">
      <c r="A10" s="5">
        <v>9</v>
      </c>
      <c r="B10" s="5" t="s">
        <v>250</v>
      </c>
      <c r="C10" s="6" cm="1">
        <f t="array" ref="C10">SUMPRODUCT((LEN(Data!C2:C151)&lt;&gt;(LEN(TRIM(Data!C2:C151))*1)))</f>
        <v>0</v>
      </c>
    </row>
    <row r="11" spans="1:7" x14ac:dyDescent="0.3">
      <c r="A11" s="5">
        <v>10</v>
      </c>
      <c r="B11" s="5" t="s">
        <v>251</v>
      </c>
      <c r="C11" s="6" t="str">
        <f>SUBSTITUTE(Data!C2," ","_",1)</f>
        <v>Krish_Iyer</v>
      </c>
    </row>
    <row r="12" spans="1:7" x14ac:dyDescent="0.3">
      <c r="A12" s="5">
        <v>11</v>
      </c>
      <c r="B12" s="5" t="s">
        <v>252</v>
      </c>
      <c r="C12" s="6">
        <f>SUMIFS(Data!I2:I151,Data!M2:M151,"&lt;&gt;Saturday",Data!M2:M151,"&lt;&gt;Sunday")</f>
        <v>1259887.0099999995</v>
      </c>
    </row>
    <row r="13" spans="1:7" x14ac:dyDescent="0.3">
      <c r="A13" s="5">
        <v>12</v>
      </c>
      <c r="B13" s="5" t="s">
        <v>253</v>
      </c>
      <c r="C13" s="6">
        <f>_xlfn.PERCENTRANK.EXC(Data!I:I,Data!I2,1)</f>
        <v>0.5</v>
      </c>
    </row>
    <row r="14" spans="1:7" x14ac:dyDescent="0.3">
      <c r="A14" s="5">
        <v>13</v>
      </c>
      <c r="B14" s="5" t="s">
        <v>254</v>
      </c>
      <c r="C14" s="6">
        <f>SUM(COUNTIF(Data!I2:I151,"=D14"))</f>
        <v>0</v>
      </c>
      <c r="D14" s="2">
        <f>MEDIAN(Data!I2:I151)</f>
        <v>9342.36</v>
      </c>
    </row>
    <row r="15" spans="1:7" x14ac:dyDescent="0.3">
      <c r="A15" s="5">
        <v>14</v>
      </c>
      <c r="B15" s="5" t="s">
        <v>255</v>
      </c>
      <c r="C15" s="6" cm="1">
        <f t="array" ref="C15">SUM(COUNTIFS(Data!D2:D151,_xlfn.UNIQUE(Data!D2:D151),Data!E2:E151,_xlfn.UNIQUE(Data!E2:E151)))</f>
        <v>34</v>
      </c>
    </row>
    <row r="16" spans="1:7" x14ac:dyDescent="0.3">
      <c r="A16" s="5">
        <v>15</v>
      </c>
      <c r="B16" s="5" t="s">
        <v>256</v>
      </c>
      <c r="C16" s="6">
        <f>_xlfn.XLOOKUP(G16,F16:F54,F16:F54,"")</f>
        <v>35272.379999999997</v>
      </c>
      <c r="E16" t="str" cm="1">
        <f t="array" ref="E16:E54">_xlfn.UNIQUE(Data!C2:C151)</f>
        <v>Krish Iyer</v>
      </c>
      <c r="F16">
        <f>SUMIF(Data!C2:C151,Formula_Practice!E16,Data!I2:I151)</f>
        <v>19680.46</v>
      </c>
      <c r="G16">
        <f>LARGE(F16:F54,22)</f>
        <v>35272.379999999997</v>
      </c>
    </row>
    <row r="17" spans="1:11" x14ac:dyDescent="0.3">
      <c r="A17" s="5">
        <v>16</v>
      </c>
      <c r="B17" s="5" t="s">
        <v>257</v>
      </c>
      <c r="C17" s="6">
        <f>SUM(Data!I2:I151)/SUM(Data!G2:G151)</f>
        <v>2362.8643640897749</v>
      </c>
      <c r="E17" t="str">
        <v>Tanvi Kapoor</v>
      </c>
      <c r="F17">
        <f>SUMIF(Data!C3:C152,Formula_Practice!E17,Data!I3:I152)</f>
        <v>38419.120000000003</v>
      </c>
    </row>
    <row r="18" spans="1:11" x14ac:dyDescent="0.3">
      <c r="A18" s="5">
        <v>17</v>
      </c>
      <c r="B18" s="5" t="s">
        <v>258</v>
      </c>
      <c r="C18" s="6" cm="1">
        <f t="array" ref="C18">SUMPRODUCT((Data!E2:E151="Apparel")*((Data!D2:D151="West")+(Data!D2:D151="East")))</f>
        <v>14</v>
      </c>
      <c r="E18" t="str">
        <v>Aryan Kumar</v>
      </c>
      <c r="F18">
        <f>SUMIF(Data!C4:C153,Formula_Practice!E18,Data!I4:I153)</f>
        <v>61435.87999999999</v>
      </c>
    </row>
    <row r="19" spans="1:11" x14ac:dyDescent="0.3">
      <c r="A19" s="5">
        <v>18</v>
      </c>
      <c r="B19" s="5" t="s">
        <v>259</v>
      </c>
      <c r="C19" s="6" cm="1">
        <f t="array" ref="C19">SUMPRODUCT((LEFT(Data!C2:C151,1)=LEFT(Data!D2:D151))*1)</f>
        <v>3</v>
      </c>
      <c r="E19" t="str">
        <v>Ayaan Reddy</v>
      </c>
      <c r="F19">
        <f>SUMIF(Data!C5:C154,Formula_Practice!E19,Data!I5:I154)</f>
        <v>31514.26</v>
      </c>
    </row>
    <row r="20" spans="1:11" x14ac:dyDescent="0.3">
      <c r="A20" s="5">
        <v>19</v>
      </c>
      <c r="B20" s="5" t="s">
        <v>260</v>
      </c>
      <c r="C20" s="6" t="str">
        <f>IF(AND(Data!I2&gt;10000,Data!J2="Cash on Delivery"),"Urgent","Normal")</f>
        <v>Normal</v>
      </c>
      <c r="E20" t="str">
        <v>Rohan Joshi</v>
      </c>
      <c r="F20">
        <f>SUMIF(Data!C6:C155,Formula_Practice!E20,Data!I6:I155)</f>
        <v>35272.379999999997</v>
      </c>
      <c r="I20" t="str" cm="1">
        <f t="array" ref="I20:I26">_xlfn.UNIQUE(Data!M2:M151)</f>
        <v>Saturday</v>
      </c>
      <c r="J20">
        <f>AVERAGEIF(Data!M2:M151,Formula_Practice!I20,Data!I2:I151)</f>
        <v>16621.600454545453</v>
      </c>
      <c r="K20">
        <f>LARGE(J20:J26,1)</f>
        <v>16621.600454545453</v>
      </c>
    </row>
    <row r="21" spans="1:11" x14ac:dyDescent="0.3">
      <c r="A21" s="5">
        <v>20</v>
      </c>
      <c r="B21" s="5" t="s">
        <v>261</v>
      </c>
      <c r="C21" s="6">
        <f>_xlfn.STDEV.P(Data!G2:G151)</f>
        <v>2.8260376658652109</v>
      </c>
      <c r="E21" t="str">
        <v>Navya Singh</v>
      </c>
      <c r="F21">
        <f>SUMIF(Data!C7:C156,Formula_Practice!E21,Data!I7:I156)</f>
        <v>33600.550000000003</v>
      </c>
      <c r="I21" t="str">
        <v>Thursday</v>
      </c>
      <c r="J21">
        <f>AVERAGEIF(Data!M3:M152,Formula_Practice!I21,Data!I3:I152)</f>
        <v>13819.93375</v>
      </c>
    </row>
    <row r="22" spans="1:11" x14ac:dyDescent="0.3">
      <c r="A22" s="5">
        <v>21</v>
      </c>
      <c r="B22" s="5" t="s">
        <v>262</v>
      </c>
      <c r="C22" s="6">
        <f>_xlfn.XLOOKUP(K20,J20:J26,J20:J26,"",0,)</f>
        <v>16621.600454545453</v>
      </c>
      <c r="E22" t="str">
        <v>Riya Nair</v>
      </c>
      <c r="F22">
        <f>SUMIF(Data!C8:C157,Formula_Practice!E22,Data!I8:I157)</f>
        <v>68059.990000000005</v>
      </c>
      <c r="I22" t="str">
        <v>Friday</v>
      </c>
      <c r="J22">
        <f>AVERAGEIF(Data!M4:M153,Formula_Practice!I22,Data!I4:I153)</f>
        <v>12923.771764705882</v>
      </c>
    </row>
    <row r="23" spans="1:11" x14ac:dyDescent="0.3">
      <c r="A23" s="5">
        <v>22</v>
      </c>
      <c r="B23" s="5" t="s">
        <v>263</v>
      </c>
      <c r="C23" s="6">
        <f>COUNTIF(F16:F54,"&gt;50000")</f>
        <v>17</v>
      </c>
      <c r="E23" t="str">
        <v>Navya Malhotra</v>
      </c>
      <c r="F23">
        <f>SUMIF(Data!C9:C158,Formula_Practice!E23,Data!I9:I158)</f>
        <v>67516.58</v>
      </c>
      <c r="I23" t="str">
        <v>Tuesday</v>
      </c>
      <c r="J23">
        <f>AVERAGEIF(Data!M5:M154,Formula_Practice!I23,Data!I5:I154)</f>
        <v>8538.9719047619055</v>
      </c>
    </row>
    <row r="24" spans="1:11" x14ac:dyDescent="0.3">
      <c r="A24" s="5">
        <v>23</v>
      </c>
      <c r="B24" s="5" t="s">
        <v>264</v>
      </c>
      <c r="C24" s="6">
        <f>COUNTIF(Data!N2:N151,"&gt;12")</f>
        <v>35</v>
      </c>
      <c r="E24" t="str">
        <v>Rohan Bhatt</v>
      </c>
      <c r="F24">
        <f>SUMIF(Data!C10:C159,Formula_Practice!E24,Data!I10:I159)</f>
        <v>134328.62</v>
      </c>
      <c r="I24" t="str">
        <v>Sunday</v>
      </c>
      <c r="J24">
        <f>AVERAGEIF(Data!M6:M155,Formula_Practice!I24,Data!I6:I155)</f>
        <v>11715.434782608696</v>
      </c>
    </row>
    <row r="25" spans="1:11" x14ac:dyDescent="0.3">
      <c r="A25" s="5">
        <v>24</v>
      </c>
      <c r="B25" s="5" t="s">
        <v>265</v>
      </c>
      <c r="C25" s="6">
        <f>COUNTIF(Data!F2:F151,"*Pack*")</f>
        <v>40</v>
      </c>
      <c r="E25" t="str">
        <v>Aryan Chopra</v>
      </c>
      <c r="F25">
        <f>SUMIF(Data!C11:C160,Formula_Practice!E25,Data!I11:I160)</f>
        <v>17756.25</v>
      </c>
      <c r="I25" t="str">
        <v>Monday</v>
      </c>
      <c r="J25">
        <f>AVERAGEIF(Data!M7:M156,Formula_Practice!I25,Data!I7:I156)</f>
        <v>14641.848148148149</v>
      </c>
    </row>
    <row r="26" spans="1:11" x14ac:dyDescent="0.3">
      <c r="A26" s="5">
        <v>25</v>
      </c>
      <c r="B26" s="5" t="s">
        <v>266</v>
      </c>
      <c r="C26" s="6">
        <f>SUMIF(Data!M2:M151,Data!M2,Data!I2:I151)</f>
        <v>365675.20999999996</v>
      </c>
      <c r="E26" t="str">
        <v>Kiara Reddy</v>
      </c>
      <c r="F26">
        <f>SUMIF(Data!C12:C161,Formula_Practice!E26,Data!I12:I161)</f>
        <v>37202.980000000003</v>
      </c>
      <c r="I26" t="str">
        <v>Wednesday</v>
      </c>
      <c r="J26">
        <f>AVERAGEIF(Data!M8:M157,Formula_Practice!I26,Data!I8:I157)</f>
        <v>10183.985000000001</v>
      </c>
    </row>
    <row r="27" spans="1:11" x14ac:dyDescent="0.3">
      <c r="E27" t="str">
        <v>Myra Singh</v>
      </c>
      <c r="F27">
        <f>SUMIF(Data!C13:C162,Formula_Practice!E27,Data!I13:I162)</f>
        <v>27639.479999999996</v>
      </c>
    </row>
    <row r="28" spans="1:11" x14ac:dyDescent="0.3">
      <c r="B28" s="3" t="s">
        <v>267</v>
      </c>
      <c r="E28" t="str">
        <v>Ishaan Mehta</v>
      </c>
      <c r="F28">
        <f>SUMIF(Data!C14:C163,Formula_Practice!E28,Data!I14:I163)</f>
        <v>51430.12</v>
      </c>
    </row>
    <row r="29" spans="1:11" x14ac:dyDescent="0.3">
      <c r="E29" t="str">
        <v>Reyansh Joshi</v>
      </c>
      <c r="F29">
        <f>SUMIF(Data!C15:C164,Formula_Practice!E29,Data!I15:I164)</f>
        <v>61459.61</v>
      </c>
    </row>
    <row r="30" spans="1:11" x14ac:dyDescent="0.3">
      <c r="E30" t="str">
        <v>Diya Reddy</v>
      </c>
      <c r="F30">
        <f>SUMIF(Data!C16:C165,Formula_Practice!E30,Data!I16:I165)</f>
        <v>65023.590000000004</v>
      </c>
    </row>
    <row r="31" spans="1:11" x14ac:dyDescent="0.3">
      <c r="E31" t="str">
        <v>Aryan Reddy</v>
      </c>
      <c r="F31">
        <f>SUMIF(Data!C17:C166,Formula_Practice!E31,Data!I17:I166)</f>
        <v>9546.39</v>
      </c>
    </row>
    <row r="32" spans="1:11" x14ac:dyDescent="0.3">
      <c r="E32" t="str">
        <v>Advait Joshi</v>
      </c>
      <c r="F32">
        <f>SUMIF(Data!C18:C167,Formula_Practice!E32,Data!I18:I167)</f>
        <v>18647.91</v>
      </c>
    </row>
    <row r="33" spans="5:6" x14ac:dyDescent="0.3">
      <c r="E33" t="str">
        <v>Vivaan Nair</v>
      </c>
      <c r="F33">
        <f>SUMIF(Data!C19:C168,Formula_Practice!E33,Data!I19:I168)</f>
        <v>31335.75</v>
      </c>
    </row>
    <row r="34" spans="5:6" x14ac:dyDescent="0.3">
      <c r="E34" t="str">
        <v>Krish Joshi</v>
      </c>
      <c r="F34">
        <f>SUMIF(Data!C20:C169,Formula_Practice!E34,Data!I20:I169)</f>
        <v>61106.06</v>
      </c>
    </row>
    <row r="35" spans="5:6" x14ac:dyDescent="0.3">
      <c r="E35" t="str">
        <v>Diya Joshi</v>
      </c>
      <c r="F35">
        <f>SUMIF(Data!C21:C170,Formula_Practice!E35,Data!I21:I170)</f>
        <v>169717.96</v>
      </c>
    </row>
    <row r="36" spans="5:6" x14ac:dyDescent="0.3">
      <c r="E36" t="str">
        <v>Anika Patel</v>
      </c>
      <c r="F36">
        <f>SUMIF(Data!C22:C171,Formula_Practice!E36,Data!I22:I171)</f>
        <v>45515.99</v>
      </c>
    </row>
    <row r="37" spans="5:6" x14ac:dyDescent="0.3">
      <c r="E37" t="str">
        <v>Reyansh Rao</v>
      </c>
      <c r="F37">
        <f>SUMIF(Data!C23:C172,Formula_Practice!E37,Data!I23:I172)</f>
        <v>69236.569999999992</v>
      </c>
    </row>
    <row r="38" spans="5:6" x14ac:dyDescent="0.3">
      <c r="E38" t="str">
        <v>Ananya Joshi</v>
      </c>
      <c r="F38">
        <f>SUMIF(Data!C24:C173,Formula_Practice!E38,Data!I24:I173)</f>
        <v>87182.16</v>
      </c>
    </row>
    <row r="39" spans="5:6" x14ac:dyDescent="0.3">
      <c r="E39" t="str">
        <v>Ananya Nair</v>
      </c>
      <c r="F39">
        <f>SUMIF(Data!C25:C174,Formula_Practice!E39,Data!I25:I174)</f>
        <v>84101.03</v>
      </c>
    </row>
    <row r="40" spans="5:6" x14ac:dyDescent="0.3">
      <c r="E40" t="str">
        <v>Advait Malhotra</v>
      </c>
      <c r="F40">
        <f>SUMIF(Data!C26:C175,Formula_Practice!E40,Data!I26:I175)</f>
        <v>51274.97</v>
      </c>
    </row>
    <row r="41" spans="5:6" x14ac:dyDescent="0.3">
      <c r="E41" t="str">
        <v>Riya Reddy</v>
      </c>
      <c r="F41">
        <f>SUMIF(Data!C27:C176,Formula_Practice!E41,Data!I27:I176)</f>
        <v>18796.010000000002</v>
      </c>
    </row>
    <row r="42" spans="5:6" x14ac:dyDescent="0.3">
      <c r="E42" t="str">
        <v>Ayaan Kapoor</v>
      </c>
      <c r="F42">
        <f>SUMIF(Data!C28:C177,Formula_Practice!E42,Data!I28:I177)</f>
        <v>34935.619999999995</v>
      </c>
    </row>
    <row r="43" spans="5:6" x14ac:dyDescent="0.3">
      <c r="E43" t="str">
        <v>Vivaan Rao</v>
      </c>
      <c r="F43">
        <f>SUMIF(Data!C29:C178,Formula_Practice!E43,Data!I29:I178)</f>
        <v>95822.319999999992</v>
      </c>
    </row>
    <row r="44" spans="5:6" x14ac:dyDescent="0.3">
      <c r="E44" t="str">
        <v>Tanvi Kumar</v>
      </c>
      <c r="F44">
        <f>SUMIF(Data!C30:C179,Formula_Practice!E44,Data!I30:I179)</f>
        <v>4060.57</v>
      </c>
    </row>
    <row r="45" spans="5:6" x14ac:dyDescent="0.3">
      <c r="E45" t="str">
        <v>Pari Reddy</v>
      </c>
      <c r="F45">
        <f>SUMIF(Data!C31:C180,Formula_Practice!E45,Data!I31:I180)</f>
        <v>64908.810000000005</v>
      </c>
    </row>
    <row r="46" spans="5:6" x14ac:dyDescent="0.3">
      <c r="E46" t="str">
        <v>Kabir Malhotra</v>
      </c>
      <c r="F46">
        <f>SUMIF(Data!C32:C181,Formula_Practice!E46,Data!I32:I181)</f>
        <v>24096.190000000002</v>
      </c>
    </row>
    <row r="47" spans="5:6" x14ac:dyDescent="0.3">
      <c r="E47" t="str">
        <v>Saanvi Malhotra</v>
      </c>
      <c r="F47">
        <f>SUMIF(Data!C33:C182,Formula_Practice!E47,Data!I33:I182)</f>
        <v>50983.55</v>
      </c>
    </row>
    <row r="48" spans="5:6" x14ac:dyDescent="0.3">
      <c r="E48" t="str">
        <v>Kiara Gupta</v>
      </c>
      <c r="F48">
        <f>SUMIF(Data!C34:C183,Formula_Practice!E48,Data!I34:I183)</f>
        <v>5377.58</v>
      </c>
    </row>
    <row r="49" spans="5:6" x14ac:dyDescent="0.3">
      <c r="E49" t="str">
        <v>Advait Sharma</v>
      </c>
      <c r="F49">
        <f>SUMIF(Data!C35:C184,Formula_Practice!E49,Data!I35:I184)</f>
        <v>17253.16</v>
      </c>
    </row>
    <row r="50" spans="5:6" x14ac:dyDescent="0.3">
      <c r="E50" t="str">
        <v>Krish Malhotra</v>
      </c>
      <c r="F50">
        <f>SUMIF(Data!C36:C185,Formula_Practice!E50,Data!I36:I185)</f>
        <v>86192.69</v>
      </c>
    </row>
    <row r="51" spans="5:6" x14ac:dyDescent="0.3">
      <c r="E51" t="str">
        <v>Aadhya Malhotra</v>
      </c>
      <c r="F51">
        <f>SUMIF(Data!C37:C186,Formula_Practice!E51,Data!I37:I186)</f>
        <v>35059.839999999997</v>
      </c>
    </row>
    <row r="52" spans="5:6" x14ac:dyDescent="0.3">
      <c r="E52" t="str">
        <v>Diya Kumar</v>
      </c>
      <c r="F52">
        <f>SUMIF(Data!C38:C187,Formula_Practice!E52,Data!I38:I187)</f>
        <v>17108.919999999998</v>
      </c>
    </row>
    <row r="53" spans="5:6" x14ac:dyDescent="0.3">
      <c r="E53" t="str">
        <v>Advait Iyer</v>
      </c>
      <c r="F53">
        <f>SUMIF(Data!C39:C188,Formula_Practice!E53,Data!I39:I188)</f>
        <v>46757.26</v>
      </c>
    </row>
    <row r="54" spans="5:6" x14ac:dyDescent="0.3">
      <c r="E54" t="str">
        <v>Anika Kumar</v>
      </c>
      <c r="F54">
        <f>SUMIF(Data!C40:C189,Formula_Practice!E54,Data!I40:I189)</f>
        <v>15660.04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Formula_Practice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2026-07-05T06:38:52Z</dcterms:created>
  <dcterms:modified xsi:type="dcterms:W3CDTF">2026-07-06T04:41:33Z</dcterms:modified>
  <dc:language>en-US</dc:language>
</cp:coreProperties>
</file>