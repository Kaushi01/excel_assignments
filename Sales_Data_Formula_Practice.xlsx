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BF631A-8A7E-4431-B0A6-CCE2FBD7FFBF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_Practi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2" l="1" a="1"/>
  <c r="C20" i="2" s="1"/>
  <c r="C16" i="2"/>
  <c r="C13" i="2"/>
  <c r="C19" i="2"/>
  <c r="C18" i="2"/>
  <c r="C17" i="2"/>
  <c r="C15" i="2"/>
  <c r="D14" i="2" a="1"/>
  <c r="D14" i="2" s="1"/>
  <c r="C12" i="2"/>
  <c r="C11" i="2"/>
  <c r="C10" i="2"/>
  <c r="C9" i="2"/>
  <c r="C8" i="2"/>
  <c r="C7" i="2"/>
  <c r="C6" i="2"/>
  <c r="C5" i="2"/>
  <c r="C4" i="2"/>
  <c r="C3" i="2"/>
  <c r="C2" i="2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<sst xmlns="http://schemas.openxmlformats.org/spreadsheetml/2006/main" count="756" uniqueCount="299">
  <si>
    <t>OrderID</t>
  </si>
  <si>
    <t>OrderDate</t>
  </si>
  <si>
    <t>CustomerName</t>
  </si>
  <si>
    <t>Region</t>
  </si>
  <si>
    <t>Category</t>
  </si>
  <si>
    <t>Product</t>
  </si>
  <si>
    <t>Quantity</t>
  </si>
  <si>
    <t>UnitPrice</t>
  </si>
  <si>
    <t>TotalAmount</t>
  </si>
  <si>
    <t>PaymentMethod</t>
  </si>
  <si>
    <t>ORD1001</t>
  </si>
  <si>
    <t>Aarav Rao</t>
  </si>
  <si>
    <t>East</t>
  </si>
  <si>
    <t>Stationery</t>
  </si>
  <si>
    <t>Gel Pen Set</t>
  </si>
  <si>
    <t>Cash on Delivery</t>
  </si>
  <si>
    <t>ORD1002</t>
  </si>
  <si>
    <t>Pari Reddy</t>
  </si>
  <si>
    <t>North</t>
  </si>
  <si>
    <t>Electronics</t>
  </si>
  <si>
    <t>Wireless Mouse</t>
  </si>
  <si>
    <t>ORD1003</t>
  </si>
  <si>
    <t>Riya Singh</t>
  </si>
  <si>
    <t>Central</t>
  </si>
  <si>
    <t>Apparel</t>
  </si>
  <si>
    <t>Denim Jacket</t>
  </si>
  <si>
    <t>Credit Card</t>
  </si>
  <si>
    <t>ORD1004</t>
  </si>
  <si>
    <t>Aadhya Patel</t>
  </si>
  <si>
    <t>Net Banking</t>
  </si>
  <si>
    <t>ORD1005</t>
  </si>
  <si>
    <t>Diya Joshi</t>
  </si>
  <si>
    <t>Grocery</t>
  </si>
  <si>
    <t>Olive Oil 1L</t>
  </si>
  <si>
    <t>ORD1006</t>
  </si>
  <si>
    <t>Saanvi Verma</t>
  </si>
  <si>
    <t>Home</t>
  </si>
  <si>
    <t>Photo Frame</t>
  </si>
  <si>
    <t>ORD1007</t>
  </si>
  <si>
    <t>Ayaan Mehta</t>
  </si>
  <si>
    <t>Bluetooth Speaker</t>
  </si>
  <si>
    <t>ORD1008</t>
  </si>
  <si>
    <t>Sai Patel</t>
  </si>
  <si>
    <t>Sticky Notes</t>
  </si>
  <si>
    <t>Debit Card</t>
  </si>
  <si>
    <t>ORD1009</t>
  </si>
  <si>
    <t>Sai Nair</t>
  </si>
  <si>
    <t>West</t>
  </si>
  <si>
    <t>ORD1010</t>
  </si>
  <si>
    <t>Vivaan Mehta</t>
  </si>
  <si>
    <t>Running Shoes</t>
  </si>
  <si>
    <t>ORD1011</t>
  </si>
  <si>
    <t>Reyansh Malhotra</t>
  </si>
  <si>
    <t>Wool Socks</t>
  </si>
  <si>
    <t>ORD1012</t>
  </si>
  <si>
    <t>ORD1013</t>
  </si>
  <si>
    <t>Anika Verma</t>
  </si>
  <si>
    <t>ORD1014</t>
  </si>
  <si>
    <t>Saanvi Reddy</t>
  </si>
  <si>
    <t>Cap</t>
  </si>
  <si>
    <t>ORD1015</t>
  </si>
  <si>
    <t>Riya Mehta</t>
  </si>
  <si>
    <t>Table Lamp</t>
  </si>
  <si>
    <t>ORD1016</t>
  </si>
  <si>
    <t>Ishaan Iyer</t>
  </si>
  <si>
    <t>South</t>
  </si>
  <si>
    <t>Green Tea Pack</t>
  </si>
  <si>
    <t>ORD1017</t>
  </si>
  <si>
    <t>Arjun Patel</t>
  </si>
  <si>
    <t>Honey Jar</t>
  </si>
  <si>
    <t>ORD1018</t>
  </si>
  <si>
    <t>Vihaan Kapoor</t>
  </si>
  <si>
    <t>Cushion Cover</t>
  </si>
  <si>
    <t>ORD1019</t>
  </si>
  <si>
    <t>Aditya Rao</t>
  </si>
  <si>
    <t>Webcam</t>
  </si>
  <si>
    <t>ORD1020</t>
  </si>
  <si>
    <t>ORD1021</t>
  </si>
  <si>
    <t>Saanvi Malhotra</t>
  </si>
  <si>
    <t>ORD1022</t>
  </si>
  <si>
    <t>Ananya Sharma</t>
  </si>
  <si>
    <t>Almonds 500g</t>
  </si>
  <si>
    <t>ORD1023</t>
  </si>
  <si>
    <t>Ayaan Verma</t>
  </si>
  <si>
    <t>ORD1024</t>
  </si>
  <si>
    <t>Riya Gupta</t>
  </si>
  <si>
    <t>Oats Pack</t>
  </si>
  <si>
    <t>ORD1025</t>
  </si>
  <si>
    <t>Vihaan Verma</t>
  </si>
  <si>
    <t>Storage Box</t>
  </si>
  <si>
    <t>ORD1026</t>
  </si>
  <si>
    <t>Vivaan Reddy</t>
  </si>
  <si>
    <t>ORD1027</t>
  </si>
  <si>
    <t>Aadhya Gupta</t>
  </si>
  <si>
    <t>ORD1028</t>
  </si>
  <si>
    <t>Vivaan Malhotra</t>
  </si>
  <si>
    <t>ORD1029</t>
  </si>
  <si>
    <t>Reyansh Joshi</t>
  </si>
  <si>
    <t>ORD1030</t>
  </si>
  <si>
    <t>Myra Kumar</t>
  </si>
  <si>
    <t>ORD1031</t>
  </si>
  <si>
    <t>Pari Rao</t>
  </si>
  <si>
    <t>USB-C Cable</t>
  </si>
  <si>
    <t>ORD1032</t>
  </si>
  <si>
    <t>Kiara Gupta</t>
  </si>
  <si>
    <t>ORD1033</t>
  </si>
  <si>
    <t>Desk Organizer</t>
  </si>
  <si>
    <t>ORD1034</t>
  </si>
  <si>
    <t>Pari Chopra</t>
  </si>
  <si>
    <t>Wall Clock</t>
  </si>
  <si>
    <t>UPI</t>
  </si>
  <si>
    <t>ORD1035</t>
  </si>
  <si>
    <t>Ishaan Reddy</t>
  </si>
  <si>
    <t>ORD1036</t>
  </si>
  <si>
    <t>Myra Chopra</t>
  </si>
  <si>
    <t>ORD1037</t>
  </si>
  <si>
    <t>Diya Kapoor</t>
  </si>
  <si>
    <t>ORD1038</t>
  </si>
  <si>
    <t>Navya Mehta</t>
  </si>
  <si>
    <t>ORD1039</t>
  </si>
  <si>
    <t>Ishaan Verma</t>
  </si>
  <si>
    <t>ORD1040</t>
  </si>
  <si>
    <t>ORD1041</t>
  </si>
  <si>
    <t>Aadhya Joshi</t>
  </si>
  <si>
    <t>ORD1042</t>
  </si>
  <si>
    <t>Myra Iyer</t>
  </si>
  <si>
    <t>ORD1043</t>
  </si>
  <si>
    <t>Diya Chopra</t>
  </si>
  <si>
    <t>Highlighter Pack</t>
  </si>
  <si>
    <t>ORD1044</t>
  </si>
  <si>
    <t>Diya Singh</t>
  </si>
  <si>
    <t>ORD1045</t>
  </si>
  <si>
    <t>Ayaan Joshi</t>
  </si>
  <si>
    <t>ORD1046</t>
  </si>
  <si>
    <t>Ayaan Kumar</t>
  </si>
  <si>
    <t>Laptop Stand</t>
  </si>
  <si>
    <t>ORD1047</t>
  </si>
  <si>
    <t>Myra Patel</t>
  </si>
  <si>
    <t>ORD1048</t>
  </si>
  <si>
    <t>Ishaan Joshi</t>
  </si>
  <si>
    <t>ORD1049</t>
  </si>
  <si>
    <t>Aarav Verma</t>
  </si>
  <si>
    <t>ORD1050</t>
  </si>
  <si>
    <t>Diya Rao</t>
  </si>
  <si>
    <t>ORD1051</t>
  </si>
  <si>
    <t>Ishaan Sharma</t>
  </si>
  <si>
    <t>ORD1052</t>
  </si>
  <si>
    <t>Aadhya Verma</t>
  </si>
  <si>
    <t>ORD1053</t>
  </si>
  <si>
    <t>Kabir Malhotra</t>
  </si>
  <si>
    <t>ORD1054</t>
  </si>
  <si>
    <t>ORD1055</t>
  </si>
  <si>
    <t>Kabir Singh</t>
  </si>
  <si>
    <t>ORD1056</t>
  </si>
  <si>
    <t>Kiara Nair</t>
  </si>
  <si>
    <t>ORD1057</t>
  </si>
  <si>
    <t>Aditya Joshi</t>
  </si>
  <si>
    <t>ORD1058</t>
  </si>
  <si>
    <t>Anika Chopra</t>
  </si>
  <si>
    <t>ORD1059</t>
  </si>
  <si>
    <t>Saanvi Singh</t>
  </si>
  <si>
    <t>ORD1060</t>
  </si>
  <si>
    <t>Vivaan Iyer</t>
  </si>
  <si>
    <t>ORD1061</t>
  </si>
  <si>
    <t>ORD1062</t>
  </si>
  <si>
    <t>Ishaan Mehta</t>
  </si>
  <si>
    <t>ORD1063</t>
  </si>
  <si>
    <t>ORD1064</t>
  </si>
  <si>
    <t>Arjun Gupta</t>
  </si>
  <si>
    <t>ORD1065</t>
  </si>
  <si>
    <t>Riya Nair</t>
  </si>
  <si>
    <t>ORD1066</t>
  </si>
  <si>
    <t>ORD1067</t>
  </si>
  <si>
    <t>Anika Singh</t>
  </si>
  <si>
    <t>ORD1068</t>
  </si>
  <si>
    <t>Myra Kapoor</t>
  </si>
  <si>
    <t>ORD1069</t>
  </si>
  <si>
    <t>Aditya Malhotra</t>
  </si>
  <si>
    <t>ORD1070</t>
  </si>
  <si>
    <t>Reyansh Nair</t>
  </si>
  <si>
    <t>ORD1071</t>
  </si>
  <si>
    <t>Aditya Nair</t>
  </si>
  <si>
    <t>ORD1072</t>
  </si>
  <si>
    <t>Aarav Singh</t>
  </si>
  <si>
    <t>ORD1073</t>
  </si>
  <si>
    <t>Pari Singh</t>
  </si>
  <si>
    <t>ORD1074</t>
  </si>
  <si>
    <t>Kabir Verma</t>
  </si>
  <si>
    <t>ORD1075</t>
  </si>
  <si>
    <t>Reyansh Verma</t>
  </si>
  <si>
    <t>Notebook</t>
  </si>
  <si>
    <t>ORD1076</t>
  </si>
  <si>
    <t>Pari Mehta</t>
  </si>
  <si>
    <t>ORD1077</t>
  </si>
  <si>
    <t>Cotton T-Shirt</t>
  </si>
  <si>
    <t>ORD1078</t>
  </si>
  <si>
    <t>ORD1079</t>
  </si>
  <si>
    <t>Pari Kumar</t>
  </si>
  <si>
    <t>ORD1080</t>
  </si>
  <si>
    <t>ORD1081</t>
  </si>
  <si>
    <t>Reyansh Patel</t>
  </si>
  <si>
    <t>ORD1082</t>
  </si>
  <si>
    <t>Kiara Singh</t>
  </si>
  <si>
    <t>ORD1083</t>
  </si>
  <si>
    <t>Anika Nair</t>
  </si>
  <si>
    <t>ORD1084</t>
  </si>
  <si>
    <t>Pari Patel</t>
  </si>
  <si>
    <t>ORD1085</t>
  </si>
  <si>
    <t>ORD1086</t>
  </si>
  <si>
    <t>Vihaan Rao</t>
  </si>
  <si>
    <t>ORD1087</t>
  </si>
  <si>
    <t>Navya Kumar</t>
  </si>
  <si>
    <t>ORD1088</t>
  </si>
  <si>
    <t>ORD1089</t>
  </si>
  <si>
    <t>Vihaan Joshi</t>
  </si>
  <si>
    <t>ORD1090</t>
  </si>
  <si>
    <t>Vivaan Kumar</t>
  </si>
  <si>
    <t>ORD1091</t>
  </si>
  <si>
    <t>ORD1092</t>
  </si>
  <si>
    <t>Kiara Reddy</t>
  </si>
  <si>
    <t>ORD1093</t>
  </si>
  <si>
    <t>Navya Rao</t>
  </si>
  <si>
    <t>ORD1094</t>
  </si>
  <si>
    <t>Sai Iyer</t>
  </si>
  <si>
    <t>ORD1095</t>
  </si>
  <si>
    <t>Kabir Sharma</t>
  </si>
  <si>
    <t>ORD1096</t>
  </si>
  <si>
    <t>Pari Malhotra</t>
  </si>
  <si>
    <t>ORD1097</t>
  </si>
  <si>
    <t>Arjun Verma</t>
  </si>
  <si>
    <t>ORD1098</t>
  </si>
  <si>
    <t>Myra Verma</t>
  </si>
  <si>
    <t>ORD1099</t>
  </si>
  <si>
    <t>Aditya Chopra</t>
  </si>
  <si>
    <t>ORD1100</t>
  </si>
  <si>
    <t>ORD1101</t>
  </si>
  <si>
    <t>Kiara Malhotra</t>
  </si>
  <si>
    <t>ORD1102</t>
  </si>
  <si>
    <t>Anika Patel</t>
  </si>
  <si>
    <t>ORD1103</t>
  </si>
  <si>
    <t>Anika Kumar</t>
  </si>
  <si>
    <t>ORD1104</t>
  </si>
  <si>
    <t>Vihaan Mehta</t>
  </si>
  <si>
    <t>ORD1105</t>
  </si>
  <si>
    <t>Kiara Patel</t>
  </si>
  <si>
    <t>ORD1106</t>
  </si>
  <si>
    <t>Kabir Nair</t>
  </si>
  <si>
    <t>ORD1107</t>
  </si>
  <si>
    <t>Riya Sharma</t>
  </si>
  <si>
    <t>ORD1108</t>
  </si>
  <si>
    <t>Vihaan Malhotra</t>
  </si>
  <si>
    <t>ORD1109</t>
  </si>
  <si>
    <t>ORD1110</t>
  </si>
  <si>
    <t>Arjun Joshi</t>
  </si>
  <si>
    <t>ORD1111</t>
  </si>
  <si>
    <t>Aarav Kumar</t>
  </si>
  <si>
    <t>ORD1112</t>
  </si>
  <si>
    <t>Diya Patel</t>
  </si>
  <si>
    <t>ORD1113</t>
  </si>
  <si>
    <t>ORD1114</t>
  </si>
  <si>
    <t>Arjun Nair</t>
  </si>
  <si>
    <t>ORD1115</t>
  </si>
  <si>
    <t>Vihaan Iyer</t>
  </si>
  <si>
    <t>ORD1116</t>
  </si>
  <si>
    <t>Anika Mehta</t>
  </si>
  <si>
    <t>ORD1117</t>
  </si>
  <si>
    <t>Ananya Malhotra</t>
  </si>
  <si>
    <t>ORD1118</t>
  </si>
  <si>
    <t>Aditya Reddy</t>
  </si>
  <si>
    <t>ORD1119</t>
  </si>
  <si>
    <t>Ananya Mehta</t>
  </si>
  <si>
    <t>ORD1120</t>
  </si>
  <si>
    <t>Aadhya Chopra</t>
  </si>
  <si>
    <t>#</t>
  </si>
  <si>
    <t>Question</t>
  </si>
  <si>
    <t>Your Formula / Answer</t>
  </si>
  <si>
    <t>Find the total sales amount (TotalAmount) across all orders.</t>
  </si>
  <si>
    <t>Find the total quantity sold for the 'Electronics' category using SUMIF.</t>
  </si>
  <si>
    <t>Find the total sales amount for the 'North' region using SUMIF.</t>
  </si>
  <si>
    <t>Count how many orders were paid using 'UPI' using COUNTIF.</t>
  </si>
  <si>
    <t>Find the total sales amount for orders where Region = 'South' AND Category = 'Apparel' using SUMIFS.</t>
  </si>
  <si>
    <t>Count orders where Quantity is greater than 5 AND PaymentMethod is 'Credit Card' using COUNTIFS.</t>
  </si>
  <si>
    <t>Find the average UnitPrice of products in the 'Grocery' category using AVERAGEIF.</t>
  </si>
  <si>
    <t>Find the CustomerName for OrderID 'ORD1050' using XLOOKUP.</t>
  </si>
  <si>
    <t>Find the TotalAmount for OrderID 'ORD1075' using INDEX and MATCH.</t>
  </si>
  <si>
    <t>Find the highest TotalAmount in the entire dataset using MAX.</t>
  </si>
  <si>
    <t>Find the OrderID with the highest TotalAmount using INDEX/MATCH with MAX.</t>
  </si>
  <si>
    <t>Find the number of unique Categories in the dataset using SUMPRODUCT and COUNTIF (or UNIQUE + COUNTA).</t>
  </si>
  <si>
    <t>List all unique Region values using the UNIQUE function.</t>
  </si>
  <si>
    <t>Create a formula that returns 'High' if TotalAmount &gt; 5000, else 'Low', for the first order (use IF).</t>
  </si>
  <si>
    <t>Find the total sales amount for orders placed after 1 June 2025 using SUMIFS with a date condition.</t>
  </si>
  <si>
    <t>Rank the TotalAmount of the first order among all orders using RANK.EQ.</t>
  </si>
  <si>
    <t>Extract the month name from the OrderDate of the first order using TEXT.</t>
  </si>
  <si>
    <t>Find the second highest TotalAmount in the dataset using LARGE.</t>
  </si>
  <si>
    <t>Count how many distinct Products were sold using COUNTIFS or SUMPRODUCT with 1/COUNTIF.</t>
  </si>
  <si>
    <t>Write a LAMBDA formula named DISCOUNTED that takes a price and returns price minus 10% discount, then use it on the first UnitPrice.</t>
  </si>
  <si>
    <t>Note: All questions refer to the 'Data' sheet (range A2:J121).</t>
  </si>
  <si>
    <t>ans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</si>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</sst>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i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zoomScaleNormal="100" workbookViewId="0">
      <selection activeCell="L12" sqref="L12"/>
    </sheetView>
  </sheetViews>
  <sheetFormatPr defaultColWidth="8.6640625" defaultRowHeight="14.4" x14ac:dyDescent="0.3"/>
  <cols>
    <col min="1" max="1" width="8.6640625" bestFit="1" customWidth="1"/>
    <col min="2" max="2" width="11" bestFit="1" customWidth="1"/>
    <col min="3" max="3" width="15.88671875" bestFit="1" customWidth="1"/>
    <col min="4" max="4" width="7.44140625" bestFit="1" customWidth="1"/>
    <col min="5" max="5" width="9.88671875" bestFit="1" customWidth="1"/>
    <col min="6" max="6" width="16.109375" bestFit="1" customWidth="1"/>
    <col min="7" max="7" width="9.33203125" bestFit="1" customWidth="1"/>
    <col min="8" max="8" width="9.77734375" bestFit="1" customWidth="1"/>
    <col min="9" max="9" width="13.5546875" bestFit="1" customWidth="1"/>
    <col min="10" max="10" width="16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t="s">
        <v>10</v>
      </c>
      <c r="B2" s="2">
        <v>45772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 s="3">
        <v>3721.89</v>
      </c>
      <c r="I2" s="3">
        <f t="shared" ref="I2:I33" si="0">G2*H2</f>
        <v>11165.67</v>
      </c>
      <c r="J2" t="s">
        <v>15</v>
      </c>
    </row>
    <row r="3" spans="1:10" x14ac:dyDescent="0.3">
      <c r="A3" t="s">
        <v>16</v>
      </c>
      <c r="B3" s="2">
        <v>45747</v>
      </c>
      <c r="C3" t="s">
        <v>17</v>
      </c>
      <c r="D3" t="s">
        <v>18</v>
      </c>
      <c r="E3" t="s">
        <v>19</v>
      </c>
      <c r="F3" t="s">
        <v>20</v>
      </c>
      <c r="G3">
        <v>4</v>
      </c>
      <c r="H3" s="3">
        <v>1278.4100000000001</v>
      </c>
      <c r="I3" s="3">
        <f t="shared" si="0"/>
        <v>5113.6400000000003</v>
      </c>
      <c r="J3" t="s">
        <v>15</v>
      </c>
    </row>
    <row r="4" spans="1:10" x14ac:dyDescent="0.3">
      <c r="A4" t="s">
        <v>21</v>
      </c>
      <c r="B4" s="2">
        <v>45685</v>
      </c>
      <c r="C4" t="s">
        <v>22</v>
      </c>
      <c r="D4" t="s">
        <v>23</v>
      </c>
      <c r="E4" t="s">
        <v>24</v>
      </c>
      <c r="F4" t="s">
        <v>25</v>
      </c>
      <c r="G4">
        <v>8</v>
      </c>
      <c r="H4" s="3">
        <v>3007.94</v>
      </c>
      <c r="I4" s="3">
        <f t="shared" si="0"/>
        <v>24063.52</v>
      </c>
      <c r="J4" t="s">
        <v>26</v>
      </c>
    </row>
    <row r="5" spans="1:10" x14ac:dyDescent="0.3">
      <c r="A5" t="s">
        <v>27</v>
      </c>
      <c r="B5" s="2">
        <v>45821</v>
      </c>
      <c r="C5" t="s">
        <v>28</v>
      </c>
      <c r="D5" t="s">
        <v>12</v>
      </c>
      <c r="E5" t="s">
        <v>13</v>
      </c>
      <c r="F5" t="s">
        <v>14</v>
      </c>
      <c r="G5">
        <v>6</v>
      </c>
      <c r="H5" s="3">
        <v>645.72</v>
      </c>
      <c r="I5" s="3">
        <f t="shared" si="0"/>
        <v>3874.32</v>
      </c>
      <c r="J5" t="s">
        <v>29</v>
      </c>
    </row>
    <row r="6" spans="1:10" x14ac:dyDescent="0.3">
      <c r="A6" t="s">
        <v>30</v>
      </c>
      <c r="B6" s="2">
        <v>45757</v>
      </c>
      <c r="C6" t="s">
        <v>31</v>
      </c>
      <c r="D6" t="s">
        <v>12</v>
      </c>
      <c r="E6" t="s">
        <v>32</v>
      </c>
      <c r="F6" t="s">
        <v>33</v>
      </c>
      <c r="G6">
        <v>1</v>
      </c>
      <c r="H6" s="3">
        <v>3689.2</v>
      </c>
      <c r="I6" s="3">
        <f t="shared" si="0"/>
        <v>3689.2</v>
      </c>
      <c r="J6" t="s">
        <v>15</v>
      </c>
    </row>
    <row r="7" spans="1:10" x14ac:dyDescent="0.3">
      <c r="A7" t="s">
        <v>34</v>
      </c>
      <c r="B7" s="2">
        <v>45785</v>
      </c>
      <c r="C7" t="s">
        <v>35</v>
      </c>
      <c r="D7" t="s">
        <v>23</v>
      </c>
      <c r="E7" t="s">
        <v>36</v>
      </c>
      <c r="F7" t="s">
        <v>37</v>
      </c>
      <c r="G7">
        <v>6</v>
      </c>
      <c r="H7" s="3">
        <v>2950.16</v>
      </c>
      <c r="I7" s="3">
        <f t="shared" si="0"/>
        <v>17700.96</v>
      </c>
      <c r="J7" t="s">
        <v>26</v>
      </c>
    </row>
    <row r="8" spans="1:10" x14ac:dyDescent="0.3">
      <c r="A8" t="s">
        <v>38</v>
      </c>
      <c r="B8" s="2">
        <v>45704</v>
      </c>
      <c r="C8" t="s">
        <v>39</v>
      </c>
      <c r="D8" t="s">
        <v>12</v>
      </c>
      <c r="E8" t="s">
        <v>19</v>
      </c>
      <c r="F8" t="s">
        <v>40</v>
      </c>
      <c r="G8">
        <v>2</v>
      </c>
      <c r="H8" s="3">
        <v>1993.61</v>
      </c>
      <c r="I8" s="3">
        <f t="shared" si="0"/>
        <v>3987.22</v>
      </c>
      <c r="J8" t="s">
        <v>29</v>
      </c>
    </row>
    <row r="9" spans="1:10" x14ac:dyDescent="0.3">
      <c r="A9" t="s">
        <v>41</v>
      </c>
      <c r="B9" s="2">
        <v>46031</v>
      </c>
      <c r="C9" t="s">
        <v>42</v>
      </c>
      <c r="D9" t="s">
        <v>12</v>
      </c>
      <c r="E9" t="s">
        <v>13</v>
      </c>
      <c r="F9" t="s">
        <v>43</v>
      </c>
      <c r="G9">
        <v>2</v>
      </c>
      <c r="H9" s="3">
        <v>3104.29</v>
      </c>
      <c r="I9" s="3">
        <f t="shared" si="0"/>
        <v>6208.58</v>
      </c>
      <c r="J9" t="s">
        <v>44</v>
      </c>
    </row>
    <row r="10" spans="1:10" x14ac:dyDescent="0.3">
      <c r="A10" t="s">
        <v>45</v>
      </c>
      <c r="B10" s="2">
        <v>45908</v>
      </c>
      <c r="C10" t="s">
        <v>46</v>
      </c>
      <c r="D10" t="s">
        <v>47</v>
      </c>
      <c r="E10" t="s">
        <v>36</v>
      </c>
      <c r="F10" t="s">
        <v>37</v>
      </c>
      <c r="G10">
        <v>4</v>
      </c>
      <c r="H10" s="3">
        <v>3470.38</v>
      </c>
      <c r="I10" s="3">
        <f t="shared" si="0"/>
        <v>13881.52</v>
      </c>
      <c r="J10" t="s">
        <v>26</v>
      </c>
    </row>
    <row r="11" spans="1:10" x14ac:dyDescent="0.3">
      <c r="A11" t="s">
        <v>48</v>
      </c>
      <c r="B11" s="2">
        <v>45892</v>
      </c>
      <c r="C11" t="s">
        <v>49</v>
      </c>
      <c r="D11" t="s">
        <v>12</v>
      </c>
      <c r="E11" t="s">
        <v>24</v>
      </c>
      <c r="F11" t="s">
        <v>50</v>
      </c>
      <c r="G11">
        <v>2</v>
      </c>
      <c r="H11" s="3">
        <v>1173.27</v>
      </c>
      <c r="I11" s="3">
        <f t="shared" si="0"/>
        <v>2346.54</v>
      </c>
      <c r="J11" t="s">
        <v>15</v>
      </c>
    </row>
    <row r="12" spans="1:10" x14ac:dyDescent="0.3">
      <c r="A12" t="s">
        <v>51</v>
      </c>
      <c r="B12" s="2">
        <v>45980</v>
      </c>
      <c r="C12" t="s">
        <v>52</v>
      </c>
      <c r="D12" t="s">
        <v>47</v>
      </c>
      <c r="E12" t="s">
        <v>24</v>
      </c>
      <c r="F12" t="s">
        <v>53</v>
      </c>
      <c r="G12">
        <v>3</v>
      </c>
      <c r="H12" s="3">
        <v>1434.67</v>
      </c>
      <c r="I12" s="3">
        <f t="shared" si="0"/>
        <v>4304.01</v>
      </c>
      <c r="J12" t="s">
        <v>44</v>
      </c>
    </row>
    <row r="13" spans="1:10" x14ac:dyDescent="0.3">
      <c r="A13" t="s">
        <v>54</v>
      </c>
      <c r="B13" s="2">
        <v>45927</v>
      </c>
      <c r="C13" t="s">
        <v>17</v>
      </c>
      <c r="D13" t="s">
        <v>23</v>
      </c>
      <c r="E13" t="s">
        <v>24</v>
      </c>
      <c r="F13" t="s">
        <v>50</v>
      </c>
      <c r="G13">
        <v>4</v>
      </c>
      <c r="H13" s="3">
        <v>4987.03</v>
      </c>
      <c r="I13" s="3">
        <f t="shared" si="0"/>
        <v>19948.12</v>
      </c>
      <c r="J13" t="s">
        <v>44</v>
      </c>
    </row>
    <row r="14" spans="1:10" x14ac:dyDescent="0.3">
      <c r="A14" t="s">
        <v>55</v>
      </c>
      <c r="B14" s="2">
        <v>46179</v>
      </c>
      <c r="C14" t="s">
        <v>56</v>
      </c>
      <c r="D14" t="s">
        <v>18</v>
      </c>
      <c r="E14" t="s">
        <v>19</v>
      </c>
      <c r="F14" t="s">
        <v>40</v>
      </c>
      <c r="G14">
        <v>3</v>
      </c>
      <c r="H14" s="3">
        <v>3991.58</v>
      </c>
      <c r="I14" s="3">
        <f t="shared" si="0"/>
        <v>11974.74</v>
      </c>
      <c r="J14" t="s">
        <v>29</v>
      </c>
    </row>
    <row r="15" spans="1:10" x14ac:dyDescent="0.3">
      <c r="A15" t="s">
        <v>57</v>
      </c>
      <c r="B15" s="2">
        <v>45723</v>
      </c>
      <c r="C15" t="s">
        <v>58</v>
      </c>
      <c r="D15" t="s">
        <v>23</v>
      </c>
      <c r="E15" t="s">
        <v>24</v>
      </c>
      <c r="F15" t="s">
        <v>59</v>
      </c>
      <c r="G15">
        <v>5</v>
      </c>
      <c r="H15" s="3">
        <v>4859.7299999999996</v>
      </c>
      <c r="I15" s="3">
        <f t="shared" si="0"/>
        <v>24298.649999999998</v>
      </c>
      <c r="J15" t="s">
        <v>26</v>
      </c>
    </row>
    <row r="16" spans="1:10" x14ac:dyDescent="0.3">
      <c r="A16" t="s">
        <v>60</v>
      </c>
      <c r="B16" s="2">
        <v>45775</v>
      </c>
      <c r="C16" t="s">
        <v>61</v>
      </c>
      <c r="D16" t="s">
        <v>12</v>
      </c>
      <c r="E16" t="s">
        <v>36</v>
      </c>
      <c r="F16" t="s">
        <v>62</v>
      </c>
      <c r="G16">
        <v>5</v>
      </c>
      <c r="H16" s="3">
        <v>2258.61</v>
      </c>
      <c r="I16" s="3">
        <f t="shared" si="0"/>
        <v>11293.050000000001</v>
      </c>
      <c r="J16" t="s">
        <v>29</v>
      </c>
    </row>
    <row r="17" spans="1:10" x14ac:dyDescent="0.3">
      <c r="A17" t="s">
        <v>63</v>
      </c>
      <c r="B17" s="2">
        <v>45661</v>
      </c>
      <c r="C17" t="s">
        <v>64</v>
      </c>
      <c r="D17" t="s">
        <v>65</v>
      </c>
      <c r="E17" t="s">
        <v>32</v>
      </c>
      <c r="F17" t="s">
        <v>66</v>
      </c>
      <c r="G17">
        <v>5</v>
      </c>
      <c r="H17" s="3">
        <v>4232.1000000000004</v>
      </c>
      <c r="I17" s="3">
        <f t="shared" si="0"/>
        <v>21160.5</v>
      </c>
      <c r="J17" t="s">
        <v>15</v>
      </c>
    </row>
    <row r="18" spans="1:10" x14ac:dyDescent="0.3">
      <c r="A18" t="s">
        <v>67</v>
      </c>
      <c r="B18" s="2">
        <v>45861</v>
      </c>
      <c r="C18" t="s">
        <v>68</v>
      </c>
      <c r="D18" t="s">
        <v>65</v>
      </c>
      <c r="E18" t="s">
        <v>32</v>
      </c>
      <c r="F18" t="s">
        <v>69</v>
      </c>
      <c r="G18">
        <v>1</v>
      </c>
      <c r="H18" s="3">
        <v>3054.88</v>
      </c>
      <c r="I18" s="3">
        <f t="shared" si="0"/>
        <v>3054.88</v>
      </c>
      <c r="J18" t="s">
        <v>29</v>
      </c>
    </row>
    <row r="19" spans="1:10" x14ac:dyDescent="0.3">
      <c r="A19" t="s">
        <v>70</v>
      </c>
      <c r="B19" s="2">
        <v>45677</v>
      </c>
      <c r="C19" t="s">
        <v>71</v>
      </c>
      <c r="D19" t="s">
        <v>12</v>
      </c>
      <c r="E19" t="s">
        <v>36</v>
      </c>
      <c r="F19" t="s">
        <v>72</v>
      </c>
      <c r="G19">
        <v>1</v>
      </c>
      <c r="H19" s="3">
        <v>1318.23</v>
      </c>
      <c r="I19" s="3">
        <f t="shared" si="0"/>
        <v>1318.23</v>
      </c>
      <c r="J19" t="s">
        <v>15</v>
      </c>
    </row>
    <row r="20" spans="1:10" x14ac:dyDescent="0.3">
      <c r="A20" t="s">
        <v>73</v>
      </c>
      <c r="B20" s="2">
        <v>45738</v>
      </c>
      <c r="C20" t="s">
        <v>74</v>
      </c>
      <c r="D20" t="s">
        <v>47</v>
      </c>
      <c r="E20" t="s">
        <v>19</v>
      </c>
      <c r="F20" t="s">
        <v>75</v>
      </c>
      <c r="G20">
        <v>3</v>
      </c>
      <c r="H20" s="3">
        <v>772.7</v>
      </c>
      <c r="I20" s="3">
        <f t="shared" si="0"/>
        <v>2318.1000000000004</v>
      </c>
      <c r="J20" t="s">
        <v>29</v>
      </c>
    </row>
    <row r="21" spans="1:10" x14ac:dyDescent="0.3">
      <c r="A21" t="s">
        <v>76</v>
      </c>
      <c r="B21" s="2">
        <v>45827</v>
      </c>
      <c r="C21" t="s">
        <v>64</v>
      </c>
      <c r="D21" t="s">
        <v>23</v>
      </c>
      <c r="E21" t="s">
        <v>24</v>
      </c>
      <c r="F21" t="s">
        <v>25</v>
      </c>
      <c r="G21">
        <v>9</v>
      </c>
      <c r="H21" s="3">
        <v>3813.04</v>
      </c>
      <c r="I21" s="3">
        <f t="shared" si="0"/>
        <v>34317.360000000001</v>
      </c>
      <c r="J21" t="s">
        <v>44</v>
      </c>
    </row>
    <row r="22" spans="1:10" x14ac:dyDescent="0.3">
      <c r="A22" t="s">
        <v>77</v>
      </c>
      <c r="B22" s="2">
        <v>45977</v>
      </c>
      <c r="C22" t="s">
        <v>78</v>
      </c>
      <c r="D22" t="s">
        <v>12</v>
      </c>
      <c r="E22" t="s">
        <v>24</v>
      </c>
      <c r="F22" t="s">
        <v>59</v>
      </c>
      <c r="G22">
        <v>8</v>
      </c>
      <c r="H22" s="3">
        <v>736.87</v>
      </c>
      <c r="I22" s="3">
        <f t="shared" si="0"/>
        <v>5894.96</v>
      </c>
      <c r="J22" t="s">
        <v>44</v>
      </c>
    </row>
    <row r="23" spans="1:10" x14ac:dyDescent="0.3">
      <c r="A23" t="s">
        <v>79</v>
      </c>
      <c r="B23" s="2">
        <v>45723</v>
      </c>
      <c r="C23" t="s">
        <v>80</v>
      </c>
      <c r="D23" t="s">
        <v>23</v>
      </c>
      <c r="E23" t="s">
        <v>32</v>
      </c>
      <c r="F23" t="s">
        <v>81</v>
      </c>
      <c r="G23">
        <v>10</v>
      </c>
      <c r="H23" s="3">
        <v>1218.05</v>
      </c>
      <c r="I23" s="3">
        <f t="shared" si="0"/>
        <v>12180.5</v>
      </c>
      <c r="J23" t="s">
        <v>26</v>
      </c>
    </row>
    <row r="24" spans="1:10" x14ac:dyDescent="0.3">
      <c r="A24" t="s">
        <v>82</v>
      </c>
      <c r="B24" s="2">
        <v>45718</v>
      </c>
      <c r="C24" t="s">
        <v>83</v>
      </c>
      <c r="D24" t="s">
        <v>18</v>
      </c>
      <c r="E24" t="s">
        <v>36</v>
      </c>
      <c r="F24" t="s">
        <v>62</v>
      </c>
      <c r="G24">
        <v>9</v>
      </c>
      <c r="H24" s="3">
        <v>1304.32</v>
      </c>
      <c r="I24" s="3">
        <f t="shared" si="0"/>
        <v>11738.88</v>
      </c>
      <c r="J24" t="s">
        <v>29</v>
      </c>
    </row>
    <row r="25" spans="1:10" x14ac:dyDescent="0.3">
      <c r="A25" t="s">
        <v>84</v>
      </c>
      <c r="B25" s="2">
        <v>45877</v>
      </c>
      <c r="C25" t="s">
        <v>85</v>
      </c>
      <c r="D25" t="s">
        <v>23</v>
      </c>
      <c r="E25" t="s">
        <v>32</v>
      </c>
      <c r="F25" t="s">
        <v>86</v>
      </c>
      <c r="G25">
        <v>4</v>
      </c>
      <c r="H25" s="3">
        <v>3955.4</v>
      </c>
      <c r="I25" s="3">
        <f t="shared" si="0"/>
        <v>15821.6</v>
      </c>
      <c r="J25" t="s">
        <v>29</v>
      </c>
    </row>
    <row r="26" spans="1:10" x14ac:dyDescent="0.3">
      <c r="A26" t="s">
        <v>87</v>
      </c>
      <c r="B26" s="2">
        <v>45852</v>
      </c>
      <c r="C26" t="s">
        <v>88</v>
      </c>
      <c r="D26" t="s">
        <v>47</v>
      </c>
      <c r="E26" t="s">
        <v>36</v>
      </c>
      <c r="F26" t="s">
        <v>89</v>
      </c>
      <c r="G26">
        <v>7</v>
      </c>
      <c r="H26" s="3">
        <v>2415.0700000000002</v>
      </c>
      <c r="I26" s="3">
        <f t="shared" si="0"/>
        <v>16905.490000000002</v>
      </c>
      <c r="J26" t="s">
        <v>26</v>
      </c>
    </row>
    <row r="27" spans="1:10" x14ac:dyDescent="0.3">
      <c r="A27" t="s">
        <v>90</v>
      </c>
      <c r="B27" s="2">
        <v>45758</v>
      </c>
      <c r="C27" t="s">
        <v>91</v>
      </c>
      <c r="D27" t="s">
        <v>12</v>
      </c>
      <c r="E27" t="s">
        <v>19</v>
      </c>
      <c r="F27" t="s">
        <v>40</v>
      </c>
      <c r="G27">
        <v>4</v>
      </c>
      <c r="H27" s="3">
        <v>1072.51</v>
      </c>
      <c r="I27" s="3">
        <f t="shared" si="0"/>
        <v>4290.04</v>
      </c>
      <c r="J27" t="s">
        <v>29</v>
      </c>
    </row>
    <row r="28" spans="1:10" x14ac:dyDescent="0.3">
      <c r="A28" t="s">
        <v>92</v>
      </c>
      <c r="B28" s="2">
        <v>45801</v>
      </c>
      <c r="C28" t="s">
        <v>93</v>
      </c>
      <c r="D28" t="s">
        <v>12</v>
      </c>
      <c r="E28" t="s">
        <v>24</v>
      </c>
      <c r="F28" t="s">
        <v>25</v>
      </c>
      <c r="G28">
        <v>2</v>
      </c>
      <c r="H28" s="3">
        <v>2299.1799999999998</v>
      </c>
      <c r="I28" s="3">
        <f t="shared" si="0"/>
        <v>4598.3599999999997</v>
      </c>
      <c r="J28" t="s">
        <v>15</v>
      </c>
    </row>
    <row r="29" spans="1:10" x14ac:dyDescent="0.3">
      <c r="A29" t="s">
        <v>94</v>
      </c>
      <c r="B29" s="2">
        <v>45758</v>
      </c>
      <c r="C29" t="s">
        <v>95</v>
      </c>
      <c r="D29" t="s">
        <v>23</v>
      </c>
      <c r="E29" t="s">
        <v>19</v>
      </c>
      <c r="F29" t="s">
        <v>20</v>
      </c>
      <c r="G29">
        <v>4</v>
      </c>
      <c r="H29" s="3">
        <v>956.61</v>
      </c>
      <c r="I29" s="3">
        <f t="shared" si="0"/>
        <v>3826.44</v>
      </c>
      <c r="J29" t="s">
        <v>29</v>
      </c>
    </row>
    <row r="30" spans="1:10" x14ac:dyDescent="0.3">
      <c r="A30" t="s">
        <v>96</v>
      </c>
      <c r="B30" s="2">
        <v>46150</v>
      </c>
      <c r="C30" t="s">
        <v>97</v>
      </c>
      <c r="D30" t="s">
        <v>47</v>
      </c>
      <c r="E30" t="s">
        <v>19</v>
      </c>
      <c r="F30" t="s">
        <v>40</v>
      </c>
      <c r="G30">
        <v>7</v>
      </c>
      <c r="H30" s="3">
        <v>160.44999999999999</v>
      </c>
      <c r="I30" s="3">
        <f t="shared" si="0"/>
        <v>1123.1499999999999</v>
      </c>
      <c r="J30" t="s">
        <v>29</v>
      </c>
    </row>
    <row r="31" spans="1:10" x14ac:dyDescent="0.3">
      <c r="A31" t="s">
        <v>98</v>
      </c>
      <c r="B31" s="2">
        <v>45929</v>
      </c>
      <c r="C31" t="s">
        <v>99</v>
      </c>
      <c r="D31" t="s">
        <v>47</v>
      </c>
      <c r="E31" t="s">
        <v>32</v>
      </c>
      <c r="F31" t="s">
        <v>86</v>
      </c>
      <c r="G31">
        <v>3</v>
      </c>
      <c r="H31" s="3">
        <v>1071</v>
      </c>
      <c r="I31" s="3">
        <f t="shared" si="0"/>
        <v>3213</v>
      </c>
      <c r="J31" t="s">
        <v>44</v>
      </c>
    </row>
    <row r="32" spans="1:10" x14ac:dyDescent="0.3">
      <c r="A32" t="s">
        <v>100</v>
      </c>
      <c r="B32" s="2">
        <v>45717</v>
      </c>
      <c r="C32" t="s">
        <v>101</v>
      </c>
      <c r="D32" t="s">
        <v>23</v>
      </c>
      <c r="E32" t="s">
        <v>19</v>
      </c>
      <c r="F32" t="s">
        <v>102</v>
      </c>
      <c r="G32">
        <v>1</v>
      </c>
      <c r="H32" s="3">
        <v>393.19</v>
      </c>
      <c r="I32" s="3">
        <f t="shared" si="0"/>
        <v>393.19</v>
      </c>
      <c r="J32" t="s">
        <v>29</v>
      </c>
    </row>
    <row r="33" spans="1:10" x14ac:dyDescent="0.3">
      <c r="A33" t="s">
        <v>103</v>
      </c>
      <c r="B33" s="2">
        <v>46172</v>
      </c>
      <c r="C33" t="s">
        <v>104</v>
      </c>
      <c r="D33" t="s">
        <v>18</v>
      </c>
      <c r="E33" t="s">
        <v>32</v>
      </c>
      <c r="F33" t="s">
        <v>66</v>
      </c>
      <c r="G33">
        <v>3</v>
      </c>
      <c r="H33" s="3">
        <v>482.33</v>
      </c>
      <c r="I33" s="3">
        <f t="shared" si="0"/>
        <v>1446.99</v>
      </c>
      <c r="J33" t="s">
        <v>26</v>
      </c>
    </row>
    <row r="34" spans="1:10" x14ac:dyDescent="0.3">
      <c r="A34" t="s">
        <v>105</v>
      </c>
      <c r="B34" s="2">
        <v>45898</v>
      </c>
      <c r="C34" t="s">
        <v>35</v>
      </c>
      <c r="D34" t="s">
        <v>23</v>
      </c>
      <c r="E34" t="s">
        <v>13</v>
      </c>
      <c r="F34" t="s">
        <v>106</v>
      </c>
      <c r="G34">
        <v>10</v>
      </c>
      <c r="H34" s="3">
        <v>342.75</v>
      </c>
      <c r="I34" s="3">
        <f t="shared" ref="I34:I65" si="1">G34*H34</f>
        <v>3427.5</v>
      </c>
      <c r="J34" t="s">
        <v>26</v>
      </c>
    </row>
    <row r="35" spans="1:10" x14ac:dyDescent="0.3">
      <c r="A35" t="s">
        <v>107</v>
      </c>
      <c r="B35" s="2">
        <v>46087</v>
      </c>
      <c r="C35" t="s">
        <v>108</v>
      </c>
      <c r="D35" t="s">
        <v>23</v>
      </c>
      <c r="E35" t="s">
        <v>36</v>
      </c>
      <c r="F35" t="s">
        <v>109</v>
      </c>
      <c r="G35">
        <v>4</v>
      </c>
      <c r="H35" s="3">
        <v>3398.17</v>
      </c>
      <c r="I35" s="3">
        <f t="shared" si="1"/>
        <v>13592.68</v>
      </c>
      <c r="J35" t="s">
        <v>110</v>
      </c>
    </row>
    <row r="36" spans="1:10" x14ac:dyDescent="0.3">
      <c r="A36" t="s">
        <v>111</v>
      </c>
      <c r="B36" s="2">
        <v>45902</v>
      </c>
      <c r="C36" t="s">
        <v>112</v>
      </c>
      <c r="D36" t="s">
        <v>65</v>
      </c>
      <c r="E36" t="s">
        <v>36</v>
      </c>
      <c r="F36" t="s">
        <v>89</v>
      </c>
      <c r="G36">
        <v>6</v>
      </c>
      <c r="H36" s="3">
        <v>4655.74</v>
      </c>
      <c r="I36" s="3">
        <f t="shared" si="1"/>
        <v>27934.44</v>
      </c>
      <c r="J36" t="s">
        <v>26</v>
      </c>
    </row>
    <row r="37" spans="1:10" x14ac:dyDescent="0.3">
      <c r="A37" t="s">
        <v>113</v>
      </c>
      <c r="B37" s="2">
        <v>45667</v>
      </c>
      <c r="C37" t="s">
        <v>114</v>
      </c>
      <c r="D37" t="s">
        <v>23</v>
      </c>
      <c r="E37" t="s">
        <v>19</v>
      </c>
      <c r="F37" t="s">
        <v>20</v>
      </c>
      <c r="G37">
        <v>9</v>
      </c>
      <c r="H37" s="3">
        <v>1183.8</v>
      </c>
      <c r="I37" s="3">
        <f t="shared" si="1"/>
        <v>10654.199999999999</v>
      </c>
      <c r="J37" t="s">
        <v>110</v>
      </c>
    </row>
    <row r="38" spans="1:10" x14ac:dyDescent="0.3">
      <c r="A38" t="s">
        <v>115</v>
      </c>
      <c r="B38" s="2">
        <v>45793</v>
      </c>
      <c r="C38" t="s">
        <v>116</v>
      </c>
      <c r="D38" t="s">
        <v>18</v>
      </c>
      <c r="E38" t="s">
        <v>13</v>
      </c>
      <c r="F38" t="s">
        <v>43</v>
      </c>
      <c r="G38">
        <v>5</v>
      </c>
      <c r="H38" s="3">
        <v>915.07</v>
      </c>
      <c r="I38" s="3">
        <f t="shared" si="1"/>
        <v>4575.3500000000004</v>
      </c>
      <c r="J38" t="s">
        <v>15</v>
      </c>
    </row>
    <row r="39" spans="1:10" x14ac:dyDescent="0.3">
      <c r="A39" t="s">
        <v>117</v>
      </c>
      <c r="B39" s="2">
        <v>45967</v>
      </c>
      <c r="C39" t="s">
        <v>118</v>
      </c>
      <c r="D39" t="s">
        <v>23</v>
      </c>
      <c r="E39" t="s">
        <v>19</v>
      </c>
      <c r="F39" t="s">
        <v>75</v>
      </c>
      <c r="G39">
        <v>5</v>
      </c>
      <c r="H39" s="3">
        <v>4669.0200000000004</v>
      </c>
      <c r="I39" s="3">
        <f t="shared" si="1"/>
        <v>23345.100000000002</v>
      </c>
      <c r="J39" t="s">
        <v>26</v>
      </c>
    </row>
    <row r="40" spans="1:10" x14ac:dyDescent="0.3">
      <c r="A40" t="s">
        <v>119</v>
      </c>
      <c r="B40" s="2">
        <v>45795</v>
      </c>
      <c r="C40" t="s">
        <v>120</v>
      </c>
      <c r="D40" t="s">
        <v>18</v>
      </c>
      <c r="E40" t="s">
        <v>32</v>
      </c>
      <c r="F40" t="s">
        <v>81</v>
      </c>
      <c r="G40">
        <v>5</v>
      </c>
      <c r="H40" s="3">
        <v>1516.52</v>
      </c>
      <c r="I40" s="3">
        <f t="shared" si="1"/>
        <v>7582.6</v>
      </c>
      <c r="J40" t="s">
        <v>44</v>
      </c>
    </row>
    <row r="41" spans="1:10" x14ac:dyDescent="0.3">
      <c r="A41" t="s">
        <v>121</v>
      </c>
      <c r="B41" s="2">
        <v>46009</v>
      </c>
      <c r="C41" t="s">
        <v>52</v>
      </c>
      <c r="D41" t="s">
        <v>12</v>
      </c>
      <c r="E41" t="s">
        <v>32</v>
      </c>
      <c r="F41" t="s">
        <v>86</v>
      </c>
      <c r="G41">
        <v>5</v>
      </c>
      <c r="H41" s="3">
        <v>4540.88</v>
      </c>
      <c r="I41" s="3">
        <f t="shared" si="1"/>
        <v>22704.400000000001</v>
      </c>
      <c r="J41" t="s">
        <v>26</v>
      </c>
    </row>
    <row r="42" spans="1:10" x14ac:dyDescent="0.3">
      <c r="A42" t="s">
        <v>122</v>
      </c>
      <c r="B42" s="2">
        <v>45752</v>
      </c>
      <c r="C42" t="s">
        <v>123</v>
      </c>
      <c r="D42" t="s">
        <v>12</v>
      </c>
      <c r="E42" t="s">
        <v>19</v>
      </c>
      <c r="F42" t="s">
        <v>20</v>
      </c>
      <c r="G42">
        <v>6</v>
      </c>
      <c r="H42" s="3">
        <v>3889.93</v>
      </c>
      <c r="I42" s="3">
        <f t="shared" si="1"/>
        <v>23339.579999999998</v>
      </c>
      <c r="J42" t="s">
        <v>110</v>
      </c>
    </row>
    <row r="43" spans="1:10" x14ac:dyDescent="0.3">
      <c r="A43" t="s">
        <v>124</v>
      </c>
      <c r="B43" s="2">
        <v>45823</v>
      </c>
      <c r="C43" t="s">
        <v>125</v>
      </c>
      <c r="D43" t="s">
        <v>47</v>
      </c>
      <c r="E43" t="s">
        <v>32</v>
      </c>
      <c r="F43" t="s">
        <v>66</v>
      </c>
      <c r="G43">
        <v>2</v>
      </c>
      <c r="H43" s="3">
        <v>514.92999999999995</v>
      </c>
      <c r="I43" s="3">
        <f t="shared" si="1"/>
        <v>1029.8599999999999</v>
      </c>
      <c r="J43" t="s">
        <v>44</v>
      </c>
    </row>
    <row r="44" spans="1:10" x14ac:dyDescent="0.3">
      <c r="A44" t="s">
        <v>126</v>
      </c>
      <c r="B44" s="2">
        <v>45694</v>
      </c>
      <c r="C44" t="s">
        <v>127</v>
      </c>
      <c r="D44" t="s">
        <v>23</v>
      </c>
      <c r="E44" t="s">
        <v>13</v>
      </c>
      <c r="F44" t="s">
        <v>128</v>
      </c>
      <c r="G44">
        <v>3</v>
      </c>
      <c r="H44" s="3">
        <v>352.87</v>
      </c>
      <c r="I44" s="3">
        <f t="shared" si="1"/>
        <v>1058.6100000000001</v>
      </c>
      <c r="J44" t="s">
        <v>110</v>
      </c>
    </row>
    <row r="45" spans="1:10" x14ac:dyDescent="0.3">
      <c r="A45" t="s">
        <v>129</v>
      </c>
      <c r="B45" s="2">
        <v>45698</v>
      </c>
      <c r="C45" t="s">
        <v>130</v>
      </c>
      <c r="D45" t="s">
        <v>65</v>
      </c>
      <c r="E45" t="s">
        <v>19</v>
      </c>
      <c r="F45" t="s">
        <v>102</v>
      </c>
      <c r="G45">
        <v>9</v>
      </c>
      <c r="H45" s="3">
        <v>4438.05</v>
      </c>
      <c r="I45" s="3">
        <f t="shared" si="1"/>
        <v>39942.450000000004</v>
      </c>
      <c r="J45" t="s">
        <v>29</v>
      </c>
    </row>
    <row r="46" spans="1:10" x14ac:dyDescent="0.3">
      <c r="A46" t="s">
        <v>131</v>
      </c>
      <c r="B46" s="2">
        <v>45816</v>
      </c>
      <c r="C46" t="s">
        <v>132</v>
      </c>
      <c r="D46" t="s">
        <v>65</v>
      </c>
      <c r="E46" t="s">
        <v>13</v>
      </c>
      <c r="F46" t="s">
        <v>128</v>
      </c>
      <c r="G46">
        <v>1</v>
      </c>
      <c r="H46" s="3">
        <v>1019.9</v>
      </c>
      <c r="I46" s="3">
        <f t="shared" si="1"/>
        <v>1019.9</v>
      </c>
      <c r="J46" t="s">
        <v>110</v>
      </c>
    </row>
    <row r="47" spans="1:10" x14ac:dyDescent="0.3">
      <c r="A47" t="s">
        <v>133</v>
      </c>
      <c r="B47" s="2">
        <v>46079</v>
      </c>
      <c r="C47" t="s">
        <v>134</v>
      </c>
      <c r="D47" t="s">
        <v>65</v>
      </c>
      <c r="E47" t="s">
        <v>19</v>
      </c>
      <c r="F47" t="s">
        <v>135</v>
      </c>
      <c r="G47">
        <v>1</v>
      </c>
      <c r="H47" s="3">
        <v>4314.18</v>
      </c>
      <c r="I47" s="3">
        <f t="shared" si="1"/>
        <v>4314.18</v>
      </c>
      <c r="J47" t="s">
        <v>44</v>
      </c>
    </row>
    <row r="48" spans="1:10" x14ac:dyDescent="0.3">
      <c r="A48" t="s">
        <v>136</v>
      </c>
      <c r="B48" s="2">
        <v>45862</v>
      </c>
      <c r="C48" t="s">
        <v>137</v>
      </c>
      <c r="D48" t="s">
        <v>12</v>
      </c>
      <c r="E48" t="s">
        <v>13</v>
      </c>
      <c r="F48" t="s">
        <v>14</v>
      </c>
      <c r="G48">
        <v>1</v>
      </c>
      <c r="H48" s="3">
        <v>3351.16</v>
      </c>
      <c r="I48" s="3">
        <f t="shared" si="1"/>
        <v>3351.16</v>
      </c>
      <c r="J48" t="s">
        <v>29</v>
      </c>
    </row>
    <row r="49" spans="1:10" x14ac:dyDescent="0.3">
      <c r="A49" t="s">
        <v>138</v>
      </c>
      <c r="B49" s="2">
        <v>45994</v>
      </c>
      <c r="C49" t="s">
        <v>139</v>
      </c>
      <c r="D49" t="s">
        <v>18</v>
      </c>
      <c r="E49" t="s">
        <v>36</v>
      </c>
      <c r="F49" t="s">
        <v>109</v>
      </c>
      <c r="G49">
        <v>9</v>
      </c>
      <c r="H49" s="3">
        <v>2088.44</v>
      </c>
      <c r="I49" s="3">
        <f t="shared" si="1"/>
        <v>18795.96</v>
      </c>
      <c r="J49" t="s">
        <v>15</v>
      </c>
    </row>
    <row r="50" spans="1:10" x14ac:dyDescent="0.3">
      <c r="A50" t="s">
        <v>140</v>
      </c>
      <c r="B50" s="2">
        <v>45997</v>
      </c>
      <c r="C50" t="s">
        <v>141</v>
      </c>
      <c r="D50" t="s">
        <v>12</v>
      </c>
      <c r="E50" t="s">
        <v>13</v>
      </c>
      <c r="F50" t="s">
        <v>106</v>
      </c>
      <c r="G50">
        <v>5</v>
      </c>
      <c r="H50" s="3">
        <v>335.55</v>
      </c>
      <c r="I50" s="3">
        <f t="shared" si="1"/>
        <v>1677.75</v>
      </c>
      <c r="J50" t="s">
        <v>15</v>
      </c>
    </row>
    <row r="51" spans="1:10" x14ac:dyDescent="0.3">
      <c r="A51" t="s">
        <v>142</v>
      </c>
      <c r="B51" s="2">
        <v>46102</v>
      </c>
      <c r="C51" t="s">
        <v>143</v>
      </c>
      <c r="D51" t="s">
        <v>12</v>
      </c>
      <c r="E51" t="s">
        <v>24</v>
      </c>
      <c r="F51" t="s">
        <v>59</v>
      </c>
      <c r="G51">
        <v>9</v>
      </c>
      <c r="H51" s="3">
        <v>710.88</v>
      </c>
      <c r="I51" s="3">
        <f t="shared" si="1"/>
        <v>6397.92</v>
      </c>
      <c r="J51" t="s">
        <v>15</v>
      </c>
    </row>
    <row r="52" spans="1:10" x14ac:dyDescent="0.3">
      <c r="A52" t="s">
        <v>144</v>
      </c>
      <c r="B52" s="2">
        <v>45852</v>
      </c>
      <c r="C52" t="s">
        <v>145</v>
      </c>
      <c r="D52" t="s">
        <v>47</v>
      </c>
      <c r="E52" t="s">
        <v>19</v>
      </c>
      <c r="F52" t="s">
        <v>75</v>
      </c>
      <c r="G52">
        <v>9</v>
      </c>
      <c r="H52" s="3">
        <v>3481.26</v>
      </c>
      <c r="I52" s="3">
        <f t="shared" si="1"/>
        <v>31331.340000000004</v>
      </c>
      <c r="J52" t="s">
        <v>44</v>
      </c>
    </row>
    <row r="53" spans="1:10" x14ac:dyDescent="0.3">
      <c r="A53" t="s">
        <v>146</v>
      </c>
      <c r="B53" s="2">
        <v>46030</v>
      </c>
      <c r="C53" t="s">
        <v>147</v>
      </c>
      <c r="D53" t="s">
        <v>12</v>
      </c>
      <c r="E53" t="s">
        <v>32</v>
      </c>
      <c r="F53" t="s">
        <v>33</v>
      </c>
      <c r="G53">
        <v>2</v>
      </c>
      <c r="H53" s="3">
        <v>3640.81</v>
      </c>
      <c r="I53" s="3">
        <f t="shared" si="1"/>
        <v>7281.62</v>
      </c>
      <c r="J53" t="s">
        <v>110</v>
      </c>
    </row>
    <row r="54" spans="1:10" x14ac:dyDescent="0.3">
      <c r="A54" t="s">
        <v>148</v>
      </c>
      <c r="B54" s="2">
        <v>46177</v>
      </c>
      <c r="C54" t="s">
        <v>149</v>
      </c>
      <c r="D54" t="s">
        <v>47</v>
      </c>
      <c r="E54" t="s">
        <v>36</v>
      </c>
      <c r="F54" t="s">
        <v>89</v>
      </c>
      <c r="G54">
        <v>5</v>
      </c>
      <c r="H54" s="3">
        <v>2838.9</v>
      </c>
      <c r="I54" s="3">
        <f t="shared" si="1"/>
        <v>14194.5</v>
      </c>
      <c r="J54" t="s">
        <v>44</v>
      </c>
    </row>
    <row r="55" spans="1:10" x14ac:dyDescent="0.3">
      <c r="A55" t="s">
        <v>150</v>
      </c>
      <c r="B55" s="2">
        <v>46088</v>
      </c>
      <c r="C55" t="s">
        <v>78</v>
      </c>
      <c r="D55" t="s">
        <v>65</v>
      </c>
      <c r="E55" t="s">
        <v>32</v>
      </c>
      <c r="F55" t="s">
        <v>69</v>
      </c>
      <c r="G55">
        <v>5</v>
      </c>
      <c r="H55" s="3">
        <v>2119.46</v>
      </c>
      <c r="I55" s="3">
        <f t="shared" si="1"/>
        <v>10597.3</v>
      </c>
      <c r="J55" t="s">
        <v>26</v>
      </c>
    </row>
    <row r="56" spans="1:10" x14ac:dyDescent="0.3">
      <c r="A56" t="s">
        <v>151</v>
      </c>
      <c r="B56" s="2">
        <v>45969</v>
      </c>
      <c r="C56" t="s">
        <v>152</v>
      </c>
      <c r="D56" t="s">
        <v>47</v>
      </c>
      <c r="E56" t="s">
        <v>32</v>
      </c>
      <c r="F56" t="s">
        <v>69</v>
      </c>
      <c r="G56">
        <v>6</v>
      </c>
      <c r="H56" s="3">
        <v>2405.19</v>
      </c>
      <c r="I56" s="3">
        <f t="shared" si="1"/>
        <v>14431.14</v>
      </c>
      <c r="J56" t="s">
        <v>29</v>
      </c>
    </row>
    <row r="57" spans="1:10" x14ac:dyDescent="0.3">
      <c r="A57" t="s">
        <v>153</v>
      </c>
      <c r="B57" s="2">
        <v>45876</v>
      </c>
      <c r="C57" t="s">
        <v>154</v>
      </c>
      <c r="D57" t="s">
        <v>65</v>
      </c>
      <c r="E57" t="s">
        <v>19</v>
      </c>
      <c r="F57" t="s">
        <v>102</v>
      </c>
      <c r="G57">
        <v>9</v>
      </c>
      <c r="H57" s="3">
        <v>3369.69</v>
      </c>
      <c r="I57" s="3">
        <f t="shared" si="1"/>
        <v>30327.21</v>
      </c>
      <c r="J57" t="s">
        <v>15</v>
      </c>
    </row>
    <row r="58" spans="1:10" x14ac:dyDescent="0.3">
      <c r="A58" t="s">
        <v>155</v>
      </c>
      <c r="B58" s="2">
        <v>46001</v>
      </c>
      <c r="C58" t="s">
        <v>156</v>
      </c>
      <c r="D58" t="s">
        <v>65</v>
      </c>
      <c r="E58" t="s">
        <v>36</v>
      </c>
      <c r="F58" t="s">
        <v>72</v>
      </c>
      <c r="G58">
        <v>4</v>
      </c>
      <c r="H58" s="3">
        <v>864.67</v>
      </c>
      <c r="I58" s="3">
        <f t="shared" si="1"/>
        <v>3458.68</v>
      </c>
      <c r="J58" t="s">
        <v>26</v>
      </c>
    </row>
    <row r="59" spans="1:10" x14ac:dyDescent="0.3">
      <c r="A59" t="s">
        <v>157</v>
      </c>
      <c r="B59" s="2">
        <v>45908</v>
      </c>
      <c r="C59" t="s">
        <v>158</v>
      </c>
      <c r="D59" t="s">
        <v>18</v>
      </c>
      <c r="E59" t="s">
        <v>24</v>
      </c>
      <c r="F59" t="s">
        <v>53</v>
      </c>
      <c r="G59">
        <v>10</v>
      </c>
      <c r="H59" s="3">
        <v>1093.01</v>
      </c>
      <c r="I59" s="3">
        <f t="shared" si="1"/>
        <v>10930.1</v>
      </c>
      <c r="J59" t="s">
        <v>29</v>
      </c>
    </row>
    <row r="60" spans="1:10" x14ac:dyDescent="0.3">
      <c r="A60" t="s">
        <v>159</v>
      </c>
      <c r="B60" s="2">
        <v>46164</v>
      </c>
      <c r="C60" t="s">
        <v>160</v>
      </c>
      <c r="D60" t="s">
        <v>65</v>
      </c>
      <c r="E60" t="s">
        <v>19</v>
      </c>
      <c r="F60" t="s">
        <v>20</v>
      </c>
      <c r="G60">
        <v>7</v>
      </c>
      <c r="H60" s="3">
        <v>1211.3800000000001</v>
      </c>
      <c r="I60" s="3">
        <f t="shared" si="1"/>
        <v>8479.66</v>
      </c>
      <c r="J60" t="s">
        <v>15</v>
      </c>
    </row>
    <row r="61" spans="1:10" x14ac:dyDescent="0.3">
      <c r="A61" t="s">
        <v>161</v>
      </c>
      <c r="B61" s="2">
        <v>46133</v>
      </c>
      <c r="C61" t="s">
        <v>162</v>
      </c>
      <c r="D61" t="s">
        <v>65</v>
      </c>
      <c r="E61" t="s">
        <v>19</v>
      </c>
      <c r="F61" t="s">
        <v>135</v>
      </c>
      <c r="G61">
        <v>3</v>
      </c>
      <c r="H61" s="3">
        <v>4036.87</v>
      </c>
      <c r="I61" s="3">
        <f t="shared" si="1"/>
        <v>12110.61</v>
      </c>
      <c r="J61" t="s">
        <v>15</v>
      </c>
    </row>
    <row r="62" spans="1:10" x14ac:dyDescent="0.3">
      <c r="A62" t="s">
        <v>163</v>
      </c>
      <c r="B62" s="2">
        <v>45982</v>
      </c>
      <c r="C62" t="s">
        <v>114</v>
      </c>
      <c r="D62" t="s">
        <v>23</v>
      </c>
      <c r="E62" t="s">
        <v>24</v>
      </c>
      <c r="F62" t="s">
        <v>59</v>
      </c>
      <c r="G62">
        <v>8</v>
      </c>
      <c r="H62" s="3">
        <v>4501.46</v>
      </c>
      <c r="I62" s="3">
        <f t="shared" si="1"/>
        <v>36011.68</v>
      </c>
      <c r="J62" t="s">
        <v>29</v>
      </c>
    </row>
    <row r="63" spans="1:10" x14ac:dyDescent="0.3">
      <c r="A63" t="s">
        <v>164</v>
      </c>
      <c r="B63" s="2">
        <v>46118</v>
      </c>
      <c r="C63" t="s">
        <v>165</v>
      </c>
      <c r="D63" t="s">
        <v>65</v>
      </c>
      <c r="E63" t="s">
        <v>36</v>
      </c>
      <c r="F63" t="s">
        <v>37</v>
      </c>
      <c r="G63">
        <v>8</v>
      </c>
      <c r="H63" s="3">
        <v>3189.73</v>
      </c>
      <c r="I63" s="3">
        <f t="shared" si="1"/>
        <v>25517.84</v>
      </c>
      <c r="J63" t="s">
        <v>110</v>
      </c>
    </row>
    <row r="64" spans="1:10" x14ac:dyDescent="0.3">
      <c r="A64" t="s">
        <v>166</v>
      </c>
      <c r="B64" s="2">
        <v>46108</v>
      </c>
      <c r="C64" t="s">
        <v>74</v>
      </c>
      <c r="D64" t="s">
        <v>12</v>
      </c>
      <c r="E64" t="s">
        <v>13</v>
      </c>
      <c r="F64" t="s">
        <v>43</v>
      </c>
      <c r="G64">
        <v>6</v>
      </c>
      <c r="H64" s="3">
        <v>1700.59</v>
      </c>
      <c r="I64" s="3">
        <f t="shared" si="1"/>
        <v>10203.539999999999</v>
      </c>
      <c r="J64" t="s">
        <v>15</v>
      </c>
    </row>
    <row r="65" spans="1:10" x14ac:dyDescent="0.3">
      <c r="A65" t="s">
        <v>167</v>
      </c>
      <c r="B65" s="2">
        <v>45740</v>
      </c>
      <c r="C65" t="s">
        <v>168</v>
      </c>
      <c r="D65" t="s">
        <v>65</v>
      </c>
      <c r="E65" t="s">
        <v>24</v>
      </c>
      <c r="F65" t="s">
        <v>25</v>
      </c>
      <c r="G65">
        <v>4</v>
      </c>
      <c r="H65" s="3">
        <v>461.51</v>
      </c>
      <c r="I65" s="3">
        <f t="shared" si="1"/>
        <v>1846.04</v>
      </c>
      <c r="J65" t="s">
        <v>29</v>
      </c>
    </row>
    <row r="66" spans="1:10" x14ac:dyDescent="0.3">
      <c r="A66" t="s">
        <v>169</v>
      </c>
      <c r="B66" s="2">
        <v>45996</v>
      </c>
      <c r="C66" t="s">
        <v>170</v>
      </c>
      <c r="D66" t="s">
        <v>47</v>
      </c>
      <c r="E66" t="s">
        <v>19</v>
      </c>
      <c r="F66" t="s">
        <v>40</v>
      </c>
      <c r="G66">
        <v>7</v>
      </c>
      <c r="H66" s="3">
        <v>2038.96</v>
      </c>
      <c r="I66" s="3">
        <f t="shared" ref="I66:I97" si="2">G66*H66</f>
        <v>14272.720000000001</v>
      </c>
      <c r="J66" t="s">
        <v>15</v>
      </c>
    </row>
    <row r="67" spans="1:10" x14ac:dyDescent="0.3">
      <c r="A67" t="s">
        <v>171</v>
      </c>
      <c r="B67" s="2">
        <v>45678</v>
      </c>
      <c r="C67" t="s">
        <v>17</v>
      </c>
      <c r="D67" t="s">
        <v>47</v>
      </c>
      <c r="E67" t="s">
        <v>19</v>
      </c>
      <c r="F67" t="s">
        <v>102</v>
      </c>
      <c r="G67">
        <v>5</v>
      </c>
      <c r="H67" s="3">
        <v>3804.35</v>
      </c>
      <c r="I67" s="3">
        <f t="shared" si="2"/>
        <v>19021.75</v>
      </c>
      <c r="J67" t="s">
        <v>29</v>
      </c>
    </row>
    <row r="68" spans="1:10" x14ac:dyDescent="0.3">
      <c r="A68" t="s">
        <v>172</v>
      </c>
      <c r="B68" s="2">
        <v>45883</v>
      </c>
      <c r="C68" t="s">
        <v>173</v>
      </c>
      <c r="D68" t="s">
        <v>12</v>
      </c>
      <c r="E68" t="s">
        <v>24</v>
      </c>
      <c r="F68" t="s">
        <v>53</v>
      </c>
      <c r="G68">
        <v>1</v>
      </c>
      <c r="H68" s="3">
        <v>2035.96</v>
      </c>
      <c r="I68" s="3">
        <f t="shared" si="2"/>
        <v>2035.96</v>
      </c>
      <c r="J68" t="s">
        <v>29</v>
      </c>
    </row>
    <row r="69" spans="1:10" x14ac:dyDescent="0.3">
      <c r="A69" t="s">
        <v>174</v>
      </c>
      <c r="B69" s="2">
        <v>45827</v>
      </c>
      <c r="C69" t="s">
        <v>175</v>
      </c>
      <c r="D69" t="s">
        <v>65</v>
      </c>
      <c r="E69" t="s">
        <v>32</v>
      </c>
      <c r="F69" t="s">
        <v>69</v>
      </c>
      <c r="G69">
        <v>1</v>
      </c>
      <c r="H69" s="3">
        <v>4548.6000000000004</v>
      </c>
      <c r="I69" s="3">
        <f t="shared" si="2"/>
        <v>4548.6000000000004</v>
      </c>
      <c r="J69" t="s">
        <v>15</v>
      </c>
    </row>
    <row r="70" spans="1:10" x14ac:dyDescent="0.3">
      <c r="A70" t="s">
        <v>176</v>
      </c>
      <c r="B70" s="2">
        <v>45685</v>
      </c>
      <c r="C70" t="s">
        <v>177</v>
      </c>
      <c r="D70" t="s">
        <v>47</v>
      </c>
      <c r="E70" t="s">
        <v>13</v>
      </c>
      <c r="F70" t="s">
        <v>128</v>
      </c>
      <c r="G70">
        <v>3</v>
      </c>
      <c r="H70" s="3">
        <v>393.88</v>
      </c>
      <c r="I70" s="3">
        <f t="shared" si="2"/>
        <v>1181.6399999999999</v>
      </c>
      <c r="J70" t="s">
        <v>29</v>
      </c>
    </row>
    <row r="71" spans="1:10" x14ac:dyDescent="0.3">
      <c r="A71" t="s">
        <v>178</v>
      </c>
      <c r="B71" s="2">
        <v>45993</v>
      </c>
      <c r="C71" t="s">
        <v>179</v>
      </c>
      <c r="D71" t="s">
        <v>12</v>
      </c>
      <c r="E71" t="s">
        <v>36</v>
      </c>
      <c r="F71" t="s">
        <v>89</v>
      </c>
      <c r="G71">
        <v>5</v>
      </c>
      <c r="H71" s="3">
        <v>3797.25</v>
      </c>
      <c r="I71" s="3">
        <f t="shared" si="2"/>
        <v>18986.25</v>
      </c>
      <c r="J71" t="s">
        <v>29</v>
      </c>
    </row>
    <row r="72" spans="1:10" x14ac:dyDescent="0.3">
      <c r="A72" t="s">
        <v>180</v>
      </c>
      <c r="B72" s="2">
        <v>45916</v>
      </c>
      <c r="C72" t="s">
        <v>181</v>
      </c>
      <c r="D72" t="s">
        <v>18</v>
      </c>
      <c r="E72" t="s">
        <v>32</v>
      </c>
      <c r="F72" t="s">
        <v>66</v>
      </c>
      <c r="G72">
        <v>6</v>
      </c>
      <c r="H72" s="3">
        <v>1237.48</v>
      </c>
      <c r="I72" s="3">
        <f t="shared" si="2"/>
        <v>7424.88</v>
      </c>
      <c r="J72" t="s">
        <v>26</v>
      </c>
    </row>
    <row r="73" spans="1:10" x14ac:dyDescent="0.3">
      <c r="A73" t="s">
        <v>182</v>
      </c>
      <c r="B73" s="2">
        <v>45699</v>
      </c>
      <c r="C73" t="s">
        <v>183</v>
      </c>
      <c r="D73" t="s">
        <v>65</v>
      </c>
      <c r="E73" t="s">
        <v>19</v>
      </c>
      <c r="F73" t="s">
        <v>75</v>
      </c>
      <c r="G73">
        <v>3</v>
      </c>
      <c r="H73" s="3">
        <v>1306.94</v>
      </c>
      <c r="I73" s="3">
        <f t="shared" si="2"/>
        <v>3920.82</v>
      </c>
      <c r="J73" t="s">
        <v>29</v>
      </c>
    </row>
    <row r="74" spans="1:10" x14ac:dyDescent="0.3">
      <c r="A74" t="s">
        <v>184</v>
      </c>
      <c r="B74" s="2">
        <v>45775</v>
      </c>
      <c r="C74" t="s">
        <v>185</v>
      </c>
      <c r="D74" t="s">
        <v>47</v>
      </c>
      <c r="E74" t="s">
        <v>36</v>
      </c>
      <c r="F74" t="s">
        <v>109</v>
      </c>
      <c r="G74">
        <v>3</v>
      </c>
      <c r="H74" s="3">
        <v>3088.58</v>
      </c>
      <c r="I74" s="3">
        <f t="shared" si="2"/>
        <v>9265.74</v>
      </c>
      <c r="J74" t="s">
        <v>26</v>
      </c>
    </row>
    <row r="75" spans="1:10" x14ac:dyDescent="0.3">
      <c r="A75" t="s">
        <v>186</v>
      </c>
      <c r="B75" s="2">
        <v>45825</v>
      </c>
      <c r="C75" t="s">
        <v>187</v>
      </c>
      <c r="D75" t="s">
        <v>23</v>
      </c>
      <c r="E75" t="s">
        <v>19</v>
      </c>
      <c r="F75" t="s">
        <v>102</v>
      </c>
      <c r="G75">
        <v>10</v>
      </c>
      <c r="H75" s="3">
        <v>3435.13</v>
      </c>
      <c r="I75" s="3">
        <f t="shared" si="2"/>
        <v>34351.300000000003</v>
      </c>
      <c r="J75" t="s">
        <v>29</v>
      </c>
    </row>
    <row r="76" spans="1:10" x14ac:dyDescent="0.3">
      <c r="A76" t="s">
        <v>188</v>
      </c>
      <c r="B76" s="2">
        <v>46064</v>
      </c>
      <c r="C76" t="s">
        <v>189</v>
      </c>
      <c r="D76" t="s">
        <v>23</v>
      </c>
      <c r="E76" t="s">
        <v>13</v>
      </c>
      <c r="F76" t="s">
        <v>190</v>
      </c>
      <c r="G76">
        <v>5</v>
      </c>
      <c r="H76" s="3">
        <v>4273.92</v>
      </c>
      <c r="I76" s="3">
        <f t="shared" si="2"/>
        <v>21369.599999999999</v>
      </c>
      <c r="J76" t="s">
        <v>15</v>
      </c>
    </row>
    <row r="77" spans="1:10" x14ac:dyDescent="0.3">
      <c r="A77" t="s">
        <v>191</v>
      </c>
      <c r="B77" s="2">
        <v>45781</v>
      </c>
      <c r="C77" t="s">
        <v>192</v>
      </c>
      <c r="D77" t="s">
        <v>18</v>
      </c>
      <c r="E77" t="s">
        <v>36</v>
      </c>
      <c r="F77" t="s">
        <v>37</v>
      </c>
      <c r="G77">
        <v>7</v>
      </c>
      <c r="H77" s="3">
        <v>3358.38</v>
      </c>
      <c r="I77" s="3">
        <f t="shared" si="2"/>
        <v>23508.66</v>
      </c>
      <c r="J77" t="s">
        <v>26</v>
      </c>
    </row>
    <row r="78" spans="1:10" x14ac:dyDescent="0.3">
      <c r="A78" t="s">
        <v>193</v>
      </c>
      <c r="B78" s="2">
        <v>46176</v>
      </c>
      <c r="C78" t="s">
        <v>80</v>
      </c>
      <c r="D78" t="s">
        <v>47</v>
      </c>
      <c r="E78" t="s">
        <v>24</v>
      </c>
      <c r="F78" t="s">
        <v>194</v>
      </c>
      <c r="G78">
        <v>7</v>
      </c>
      <c r="H78" s="3">
        <v>4809.82</v>
      </c>
      <c r="I78" s="3">
        <f t="shared" si="2"/>
        <v>33668.74</v>
      </c>
      <c r="J78" t="s">
        <v>29</v>
      </c>
    </row>
    <row r="79" spans="1:10" x14ac:dyDescent="0.3">
      <c r="A79" t="s">
        <v>195</v>
      </c>
      <c r="B79" s="2">
        <v>45814</v>
      </c>
      <c r="C79" t="s">
        <v>93</v>
      </c>
      <c r="D79" t="s">
        <v>23</v>
      </c>
      <c r="E79" t="s">
        <v>36</v>
      </c>
      <c r="F79" t="s">
        <v>37</v>
      </c>
      <c r="G79">
        <v>9</v>
      </c>
      <c r="H79" s="3">
        <v>3907.01</v>
      </c>
      <c r="I79" s="3">
        <f t="shared" si="2"/>
        <v>35163.090000000004</v>
      </c>
      <c r="J79" t="s">
        <v>29</v>
      </c>
    </row>
    <row r="80" spans="1:10" x14ac:dyDescent="0.3">
      <c r="A80" t="s">
        <v>196</v>
      </c>
      <c r="B80" s="2">
        <v>46104</v>
      </c>
      <c r="C80" t="s">
        <v>197</v>
      </c>
      <c r="D80" t="s">
        <v>12</v>
      </c>
      <c r="E80" t="s">
        <v>13</v>
      </c>
      <c r="F80" t="s">
        <v>190</v>
      </c>
      <c r="G80">
        <v>5</v>
      </c>
      <c r="H80" s="3">
        <v>4425.91</v>
      </c>
      <c r="I80" s="3">
        <f t="shared" si="2"/>
        <v>22129.55</v>
      </c>
      <c r="J80" t="s">
        <v>44</v>
      </c>
    </row>
    <row r="81" spans="1:10" x14ac:dyDescent="0.3">
      <c r="A81" t="s">
        <v>198</v>
      </c>
      <c r="B81" s="2">
        <v>46133</v>
      </c>
      <c r="C81" t="s">
        <v>108</v>
      </c>
      <c r="D81" t="s">
        <v>47</v>
      </c>
      <c r="E81" t="s">
        <v>36</v>
      </c>
      <c r="F81" t="s">
        <v>62</v>
      </c>
      <c r="G81">
        <v>8</v>
      </c>
      <c r="H81" s="3">
        <v>4277.12</v>
      </c>
      <c r="I81" s="3">
        <f t="shared" si="2"/>
        <v>34216.959999999999</v>
      </c>
      <c r="J81" t="s">
        <v>44</v>
      </c>
    </row>
    <row r="82" spans="1:10" x14ac:dyDescent="0.3">
      <c r="A82" t="s">
        <v>199</v>
      </c>
      <c r="B82" s="2">
        <v>46157</v>
      </c>
      <c r="C82" t="s">
        <v>200</v>
      </c>
      <c r="D82" t="s">
        <v>12</v>
      </c>
      <c r="E82" t="s">
        <v>36</v>
      </c>
      <c r="F82" t="s">
        <v>109</v>
      </c>
      <c r="G82">
        <v>10</v>
      </c>
      <c r="H82" s="3">
        <v>3550.74</v>
      </c>
      <c r="I82" s="3">
        <f t="shared" si="2"/>
        <v>35507.399999999994</v>
      </c>
      <c r="J82" t="s">
        <v>110</v>
      </c>
    </row>
    <row r="83" spans="1:10" x14ac:dyDescent="0.3">
      <c r="A83" t="s">
        <v>201</v>
      </c>
      <c r="B83" s="2">
        <v>45668</v>
      </c>
      <c r="C83" t="s">
        <v>202</v>
      </c>
      <c r="D83" t="s">
        <v>18</v>
      </c>
      <c r="E83" t="s">
        <v>13</v>
      </c>
      <c r="F83" t="s">
        <v>128</v>
      </c>
      <c r="G83">
        <v>8</v>
      </c>
      <c r="H83" s="3">
        <v>2842.6</v>
      </c>
      <c r="I83" s="3">
        <f t="shared" si="2"/>
        <v>22740.799999999999</v>
      </c>
      <c r="J83" t="s">
        <v>44</v>
      </c>
    </row>
    <row r="84" spans="1:10" x14ac:dyDescent="0.3">
      <c r="A84" t="s">
        <v>203</v>
      </c>
      <c r="B84" s="2">
        <v>46145</v>
      </c>
      <c r="C84" t="s">
        <v>204</v>
      </c>
      <c r="D84" t="s">
        <v>18</v>
      </c>
      <c r="E84" t="s">
        <v>19</v>
      </c>
      <c r="F84" t="s">
        <v>102</v>
      </c>
      <c r="G84">
        <v>4</v>
      </c>
      <c r="H84" s="3">
        <v>2111.35</v>
      </c>
      <c r="I84" s="3">
        <f t="shared" si="2"/>
        <v>8445.4</v>
      </c>
      <c r="J84" t="s">
        <v>44</v>
      </c>
    </row>
    <row r="85" spans="1:10" x14ac:dyDescent="0.3">
      <c r="A85" t="s">
        <v>205</v>
      </c>
      <c r="B85" s="2">
        <v>45971</v>
      </c>
      <c r="C85" t="s">
        <v>206</v>
      </c>
      <c r="D85" t="s">
        <v>47</v>
      </c>
      <c r="E85" t="s">
        <v>32</v>
      </c>
      <c r="F85" t="s">
        <v>69</v>
      </c>
      <c r="G85">
        <v>6</v>
      </c>
      <c r="H85" s="3">
        <v>2213.69</v>
      </c>
      <c r="I85" s="3">
        <f t="shared" si="2"/>
        <v>13282.14</v>
      </c>
      <c r="J85" t="s">
        <v>15</v>
      </c>
    </row>
    <row r="86" spans="1:10" x14ac:dyDescent="0.3">
      <c r="A86" t="s">
        <v>207</v>
      </c>
      <c r="B86" s="2">
        <v>45996</v>
      </c>
      <c r="C86" t="s">
        <v>143</v>
      </c>
      <c r="D86" t="s">
        <v>47</v>
      </c>
      <c r="E86" t="s">
        <v>36</v>
      </c>
      <c r="F86" t="s">
        <v>109</v>
      </c>
      <c r="G86">
        <v>5</v>
      </c>
      <c r="H86" s="3">
        <v>1268.1099999999999</v>
      </c>
      <c r="I86" s="3">
        <f t="shared" si="2"/>
        <v>6340.5499999999993</v>
      </c>
      <c r="J86" t="s">
        <v>44</v>
      </c>
    </row>
    <row r="87" spans="1:10" x14ac:dyDescent="0.3">
      <c r="A87" t="s">
        <v>208</v>
      </c>
      <c r="B87" s="2">
        <v>45981</v>
      </c>
      <c r="C87" t="s">
        <v>209</v>
      </c>
      <c r="D87" t="s">
        <v>23</v>
      </c>
      <c r="E87" t="s">
        <v>13</v>
      </c>
      <c r="F87" t="s">
        <v>14</v>
      </c>
      <c r="G87">
        <v>4</v>
      </c>
      <c r="H87" s="3">
        <v>3732.23</v>
      </c>
      <c r="I87" s="3">
        <f t="shared" si="2"/>
        <v>14928.92</v>
      </c>
      <c r="J87" t="s">
        <v>110</v>
      </c>
    </row>
    <row r="88" spans="1:10" x14ac:dyDescent="0.3">
      <c r="A88" t="s">
        <v>210</v>
      </c>
      <c r="B88" s="2">
        <v>46195</v>
      </c>
      <c r="C88" t="s">
        <v>211</v>
      </c>
      <c r="D88" t="s">
        <v>18</v>
      </c>
      <c r="E88" t="s">
        <v>13</v>
      </c>
      <c r="F88" t="s">
        <v>43</v>
      </c>
      <c r="G88">
        <v>4</v>
      </c>
      <c r="H88" s="3">
        <v>1900.27</v>
      </c>
      <c r="I88" s="3">
        <f t="shared" si="2"/>
        <v>7601.08</v>
      </c>
      <c r="J88" t="s">
        <v>110</v>
      </c>
    </row>
    <row r="89" spans="1:10" x14ac:dyDescent="0.3">
      <c r="A89" t="s">
        <v>212</v>
      </c>
      <c r="B89" s="2">
        <v>45672</v>
      </c>
      <c r="C89" t="s">
        <v>85</v>
      </c>
      <c r="D89" t="s">
        <v>12</v>
      </c>
      <c r="E89" t="s">
        <v>19</v>
      </c>
      <c r="F89" t="s">
        <v>20</v>
      </c>
      <c r="G89">
        <v>9</v>
      </c>
      <c r="H89" s="3">
        <v>1566.86</v>
      </c>
      <c r="I89" s="3">
        <f t="shared" si="2"/>
        <v>14101.74</v>
      </c>
      <c r="J89" t="s">
        <v>44</v>
      </c>
    </row>
    <row r="90" spans="1:10" x14ac:dyDescent="0.3">
      <c r="A90" t="s">
        <v>213</v>
      </c>
      <c r="B90" s="2">
        <v>46160</v>
      </c>
      <c r="C90" t="s">
        <v>214</v>
      </c>
      <c r="D90" t="s">
        <v>18</v>
      </c>
      <c r="E90" t="s">
        <v>32</v>
      </c>
      <c r="F90" t="s">
        <v>33</v>
      </c>
      <c r="G90">
        <v>8</v>
      </c>
      <c r="H90" s="3">
        <v>2471.7600000000002</v>
      </c>
      <c r="I90" s="3">
        <f t="shared" si="2"/>
        <v>19774.080000000002</v>
      </c>
      <c r="J90" t="s">
        <v>110</v>
      </c>
    </row>
    <row r="91" spans="1:10" x14ac:dyDescent="0.3">
      <c r="A91" t="s">
        <v>215</v>
      </c>
      <c r="B91" s="2">
        <v>45846</v>
      </c>
      <c r="C91" t="s">
        <v>216</v>
      </c>
      <c r="D91" t="s">
        <v>47</v>
      </c>
      <c r="E91" t="s">
        <v>19</v>
      </c>
      <c r="F91" t="s">
        <v>20</v>
      </c>
      <c r="G91">
        <v>7</v>
      </c>
      <c r="H91" s="3">
        <v>2534.9699999999998</v>
      </c>
      <c r="I91" s="3">
        <f t="shared" si="2"/>
        <v>17744.789999999997</v>
      </c>
      <c r="J91" t="s">
        <v>15</v>
      </c>
    </row>
    <row r="92" spans="1:10" x14ac:dyDescent="0.3">
      <c r="A92" t="s">
        <v>217</v>
      </c>
      <c r="B92" s="2">
        <v>45712</v>
      </c>
      <c r="C92" t="s">
        <v>168</v>
      </c>
      <c r="D92" t="s">
        <v>23</v>
      </c>
      <c r="E92" t="s">
        <v>36</v>
      </c>
      <c r="F92" t="s">
        <v>62</v>
      </c>
      <c r="G92">
        <v>4</v>
      </c>
      <c r="H92" s="3">
        <v>724.49</v>
      </c>
      <c r="I92" s="3">
        <f t="shared" si="2"/>
        <v>2897.96</v>
      </c>
      <c r="J92" t="s">
        <v>29</v>
      </c>
    </row>
    <row r="93" spans="1:10" x14ac:dyDescent="0.3">
      <c r="A93" t="s">
        <v>218</v>
      </c>
      <c r="B93" s="2">
        <v>45889</v>
      </c>
      <c r="C93" t="s">
        <v>219</v>
      </c>
      <c r="D93" t="s">
        <v>47</v>
      </c>
      <c r="E93" t="s">
        <v>24</v>
      </c>
      <c r="F93" t="s">
        <v>50</v>
      </c>
      <c r="G93">
        <v>10</v>
      </c>
      <c r="H93" s="3">
        <v>4951.6499999999996</v>
      </c>
      <c r="I93" s="3">
        <f t="shared" si="2"/>
        <v>49516.5</v>
      </c>
      <c r="J93" t="s">
        <v>110</v>
      </c>
    </row>
    <row r="94" spans="1:10" x14ac:dyDescent="0.3">
      <c r="A94" t="s">
        <v>220</v>
      </c>
      <c r="B94" s="2">
        <v>45719</v>
      </c>
      <c r="C94" t="s">
        <v>221</v>
      </c>
      <c r="D94" t="s">
        <v>18</v>
      </c>
      <c r="E94" t="s">
        <v>13</v>
      </c>
      <c r="F94" t="s">
        <v>14</v>
      </c>
      <c r="G94">
        <v>5</v>
      </c>
      <c r="H94" s="3">
        <v>3353.08</v>
      </c>
      <c r="I94" s="3">
        <f t="shared" si="2"/>
        <v>16765.400000000001</v>
      </c>
      <c r="J94" t="s">
        <v>44</v>
      </c>
    </row>
    <row r="95" spans="1:10" x14ac:dyDescent="0.3">
      <c r="A95" t="s">
        <v>222</v>
      </c>
      <c r="B95" s="2">
        <v>45903</v>
      </c>
      <c r="C95" t="s">
        <v>223</v>
      </c>
      <c r="D95" t="s">
        <v>18</v>
      </c>
      <c r="E95" t="s">
        <v>13</v>
      </c>
      <c r="F95" t="s">
        <v>190</v>
      </c>
      <c r="G95">
        <v>7</v>
      </c>
      <c r="H95" s="3">
        <v>2334.94</v>
      </c>
      <c r="I95" s="3">
        <f t="shared" si="2"/>
        <v>16344.58</v>
      </c>
      <c r="J95" t="s">
        <v>15</v>
      </c>
    </row>
    <row r="96" spans="1:10" x14ac:dyDescent="0.3">
      <c r="A96" t="s">
        <v>224</v>
      </c>
      <c r="B96" s="2">
        <v>46139</v>
      </c>
      <c r="C96" t="s">
        <v>225</v>
      </c>
      <c r="D96" t="s">
        <v>65</v>
      </c>
      <c r="E96" t="s">
        <v>36</v>
      </c>
      <c r="F96" t="s">
        <v>109</v>
      </c>
      <c r="G96">
        <v>8</v>
      </c>
      <c r="H96" s="3">
        <v>495.22</v>
      </c>
      <c r="I96" s="3">
        <f t="shared" si="2"/>
        <v>3961.76</v>
      </c>
      <c r="J96" t="s">
        <v>44</v>
      </c>
    </row>
    <row r="97" spans="1:10" x14ac:dyDescent="0.3">
      <c r="A97" t="s">
        <v>226</v>
      </c>
      <c r="B97" s="2">
        <v>45928</v>
      </c>
      <c r="C97" t="s">
        <v>227</v>
      </c>
      <c r="D97" t="s">
        <v>65</v>
      </c>
      <c r="E97" t="s">
        <v>24</v>
      </c>
      <c r="F97" t="s">
        <v>194</v>
      </c>
      <c r="G97">
        <v>9</v>
      </c>
      <c r="H97" s="3">
        <v>1240.33</v>
      </c>
      <c r="I97" s="3">
        <f t="shared" si="2"/>
        <v>11162.97</v>
      </c>
      <c r="J97" t="s">
        <v>44</v>
      </c>
    </row>
    <row r="98" spans="1:10" x14ac:dyDescent="0.3">
      <c r="A98" t="s">
        <v>228</v>
      </c>
      <c r="B98" s="2">
        <v>45930</v>
      </c>
      <c r="C98" t="s">
        <v>229</v>
      </c>
      <c r="D98" t="s">
        <v>18</v>
      </c>
      <c r="E98" t="s">
        <v>13</v>
      </c>
      <c r="F98" t="s">
        <v>43</v>
      </c>
      <c r="G98">
        <v>10</v>
      </c>
      <c r="H98" s="3">
        <v>3782.44</v>
      </c>
      <c r="I98" s="3">
        <f t="shared" ref="I98:I129" si="3">G98*H98</f>
        <v>37824.400000000001</v>
      </c>
      <c r="J98" t="s">
        <v>15</v>
      </c>
    </row>
    <row r="99" spans="1:10" x14ac:dyDescent="0.3">
      <c r="A99" t="s">
        <v>230</v>
      </c>
      <c r="B99" s="2">
        <v>45953</v>
      </c>
      <c r="C99" t="s">
        <v>231</v>
      </c>
      <c r="D99" t="s">
        <v>47</v>
      </c>
      <c r="E99" t="s">
        <v>36</v>
      </c>
      <c r="F99" t="s">
        <v>89</v>
      </c>
      <c r="G99">
        <v>5</v>
      </c>
      <c r="H99" s="3">
        <v>2577.29</v>
      </c>
      <c r="I99" s="3">
        <f t="shared" si="3"/>
        <v>12886.45</v>
      </c>
      <c r="J99" t="s">
        <v>29</v>
      </c>
    </row>
    <row r="100" spans="1:10" x14ac:dyDescent="0.3">
      <c r="A100" t="s">
        <v>232</v>
      </c>
      <c r="B100" s="2">
        <v>46106</v>
      </c>
      <c r="C100" t="s">
        <v>233</v>
      </c>
      <c r="D100" t="s">
        <v>18</v>
      </c>
      <c r="E100" t="s">
        <v>24</v>
      </c>
      <c r="F100" t="s">
        <v>50</v>
      </c>
      <c r="G100">
        <v>10</v>
      </c>
      <c r="H100" s="3">
        <v>1364.28</v>
      </c>
      <c r="I100" s="3">
        <f t="shared" si="3"/>
        <v>13642.8</v>
      </c>
      <c r="J100" t="s">
        <v>26</v>
      </c>
    </row>
    <row r="101" spans="1:10" x14ac:dyDescent="0.3">
      <c r="A101" t="s">
        <v>234</v>
      </c>
      <c r="B101" s="2">
        <v>45892</v>
      </c>
      <c r="C101" t="s">
        <v>108</v>
      </c>
      <c r="D101" t="s">
        <v>18</v>
      </c>
      <c r="E101" t="s">
        <v>36</v>
      </c>
      <c r="F101" t="s">
        <v>37</v>
      </c>
      <c r="G101">
        <v>1</v>
      </c>
      <c r="H101" s="3">
        <v>3851.08</v>
      </c>
      <c r="I101" s="3">
        <f t="shared" si="3"/>
        <v>3851.08</v>
      </c>
      <c r="J101" t="s">
        <v>44</v>
      </c>
    </row>
    <row r="102" spans="1:10" x14ac:dyDescent="0.3">
      <c r="A102" t="s">
        <v>235</v>
      </c>
      <c r="B102" s="2">
        <v>46139</v>
      </c>
      <c r="C102" t="s">
        <v>236</v>
      </c>
      <c r="D102" t="s">
        <v>47</v>
      </c>
      <c r="E102" t="s">
        <v>36</v>
      </c>
      <c r="F102" t="s">
        <v>72</v>
      </c>
      <c r="G102">
        <v>10</v>
      </c>
      <c r="H102" s="3">
        <v>2264.04</v>
      </c>
      <c r="I102" s="3">
        <f t="shared" si="3"/>
        <v>22640.400000000001</v>
      </c>
      <c r="J102" t="s">
        <v>29</v>
      </c>
    </row>
    <row r="103" spans="1:10" x14ac:dyDescent="0.3">
      <c r="A103" t="s">
        <v>237</v>
      </c>
      <c r="B103" s="2">
        <v>45751</v>
      </c>
      <c r="C103" t="s">
        <v>238</v>
      </c>
      <c r="D103" t="s">
        <v>47</v>
      </c>
      <c r="E103" t="s">
        <v>36</v>
      </c>
      <c r="F103" t="s">
        <v>109</v>
      </c>
      <c r="G103">
        <v>2</v>
      </c>
      <c r="H103" s="3">
        <v>4310.01</v>
      </c>
      <c r="I103" s="3">
        <f t="shared" si="3"/>
        <v>8620.02</v>
      </c>
      <c r="J103" t="s">
        <v>110</v>
      </c>
    </row>
    <row r="104" spans="1:10" x14ac:dyDescent="0.3">
      <c r="A104" t="s">
        <v>239</v>
      </c>
      <c r="B104" s="2">
        <v>46079</v>
      </c>
      <c r="C104" t="s">
        <v>240</v>
      </c>
      <c r="D104" t="s">
        <v>47</v>
      </c>
      <c r="E104" t="s">
        <v>32</v>
      </c>
      <c r="F104" t="s">
        <v>66</v>
      </c>
      <c r="G104">
        <v>8</v>
      </c>
      <c r="H104" s="3">
        <v>577.09</v>
      </c>
      <c r="I104" s="3">
        <f t="shared" si="3"/>
        <v>4616.72</v>
      </c>
      <c r="J104" t="s">
        <v>110</v>
      </c>
    </row>
    <row r="105" spans="1:10" x14ac:dyDescent="0.3">
      <c r="A105" t="s">
        <v>241</v>
      </c>
      <c r="B105" s="2">
        <v>45989</v>
      </c>
      <c r="C105" t="s">
        <v>242</v>
      </c>
      <c r="D105" t="s">
        <v>47</v>
      </c>
      <c r="E105" t="s">
        <v>32</v>
      </c>
      <c r="F105" t="s">
        <v>66</v>
      </c>
      <c r="G105">
        <v>9</v>
      </c>
      <c r="H105" s="3">
        <v>2390.59</v>
      </c>
      <c r="I105" s="3">
        <f t="shared" si="3"/>
        <v>21515.31</v>
      </c>
      <c r="J105" t="s">
        <v>26</v>
      </c>
    </row>
    <row r="106" spans="1:10" x14ac:dyDescent="0.3">
      <c r="A106" t="s">
        <v>243</v>
      </c>
      <c r="B106" s="2">
        <v>45850</v>
      </c>
      <c r="C106" t="s">
        <v>244</v>
      </c>
      <c r="D106" t="s">
        <v>23</v>
      </c>
      <c r="E106" t="s">
        <v>24</v>
      </c>
      <c r="F106" t="s">
        <v>53</v>
      </c>
      <c r="G106">
        <v>1</v>
      </c>
      <c r="H106" s="3">
        <v>1137.26</v>
      </c>
      <c r="I106" s="3">
        <f t="shared" si="3"/>
        <v>1137.26</v>
      </c>
      <c r="J106" t="s">
        <v>15</v>
      </c>
    </row>
    <row r="107" spans="1:10" x14ac:dyDescent="0.3">
      <c r="A107" t="s">
        <v>245</v>
      </c>
      <c r="B107" s="2">
        <v>45792</v>
      </c>
      <c r="C107" t="s">
        <v>246</v>
      </c>
      <c r="D107" t="s">
        <v>47</v>
      </c>
      <c r="E107" t="s">
        <v>19</v>
      </c>
      <c r="F107" t="s">
        <v>20</v>
      </c>
      <c r="G107">
        <v>10</v>
      </c>
      <c r="H107" s="3">
        <v>4026.67</v>
      </c>
      <c r="I107" s="3">
        <f t="shared" si="3"/>
        <v>40266.699999999997</v>
      </c>
      <c r="J107" t="s">
        <v>44</v>
      </c>
    </row>
    <row r="108" spans="1:10" x14ac:dyDescent="0.3">
      <c r="A108" t="s">
        <v>247</v>
      </c>
      <c r="B108" s="2">
        <v>45976</v>
      </c>
      <c r="C108" t="s">
        <v>248</v>
      </c>
      <c r="D108" t="s">
        <v>23</v>
      </c>
      <c r="E108" t="s">
        <v>24</v>
      </c>
      <c r="F108" t="s">
        <v>194</v>
      </c>
      <c r="G108">
        <v>4</v>
      </c>
      <c r="H108" s="3">
        <v>4962.45</v>
      </c>
      <c r="I108" s="3">
        <f t="shared" si="3"/>
        <v>19849.8</v>
      </c>
      <c r="J108" t="s">
        <v>26</v>
      </c>
    </row>
    <row r="109" spans="1:10" x14ac:dyDescent="0.3">
      <c r="A109" t="s">
        <v>249</v>
      </c>
      <c r="B109" s="2">
        <v>46130</v>
      </c>
      <c r="C109" t="s">
        <v>250</v>
      </c>
      <c r="D109" t="s">
        <v>65</v>
      </c>
      <c r="E109" t="s">
        <v>24</v>
      </c>
      <c r="F109" t="s">
        <v>50</v>
      </c>
      <c r="G109">
        <v>9</v>
      </c>
      <c r="H109" s="3">
        <v>3571.25</v>
      </c>
      <c r="I109" s="3">
        <f t="shared" si="3"/>
        <v>32141.25</v>
      </c>
      <c r="J109" t="s">
        <v>29</v>
      </c>
    </row>
    <row r="110" spans="1:10" x14ac:dyDescent="0.3">
      <c r="A110" t="s">
        <v>251</v>
      </c>
      <c r="B110" s="2">
        <v>46152</v>
      </c>
      <c r="C110" t="s">
        <v>173</v>
      </c>
      <c r="D110" t="s">
        <v>47</v>
      </c>
      <c r="E110" t="s">
        <v>32</v>
      </c>
      <c r="F110" t="s">
        <v>81</v>
      </c>
      <c r="G110">
        <v>7</v>
      </c>
      <c r="H110" s="3">
        <v>1074.46</v>
      </c>
      <c r="I110" s="3">
        <f t="shared" si="3"/>
        <v>7521.22</v>
      </c>
      <c r="J110" t="s">
        <v>15</v>
      </c>
    </row>
    <row r="111" spans="1:10" x14ac:dyDescent="0.3">
      <c r="A111" t="s">
        <v>252</v>
      </c>
      <c r="B111" s="2">
        <v>46178</v>
      </c>
      <c r="C111" t="s">
        <v>253</v>
      </c>
      <c r="D111" t="s">
        <v>18</v>
      </c>
      <c r="E111" t="s">
        <v>36</v>
      </c>
      <c r="F111" t="s">
        <v>89</v>
      </c>
      <c r="G111">
        <v>6</v>
      </c>
      <c r="H111" s="3">
        <v>4681.1000000000004</v>
      </c>
      <c r="I111" s="3">
        <f t="shared" si="3"/>
        <v>28086.600000000002</v>
      </c>
      <c r="J111" t="s">
        <v>15</v>
      </c>
    </row>
    <row r="112" spans="1:10" x14ac:dyDescent="0.3">
      <c r="A112" t="s">
        <v>254</v>
      </c>
      <c r="B112" s="2">
        <v>45931</v>
      </c>
      <c r="C112" t="s">
        <v>255</v>
      </c>
      <c r="D112" t="s">
        <v>12</v>
      </c>
      <c r="E112" t="s">
        <v>32</v>
      </c>
      <c r="F112" t="s">
        <v>69</v>
      </c>
      <c r="G112">
        <v>8</v>
      </c>
      <c r="H112" s="3">
        <v>4346.51</v>
      </c>
      <c r="I112" s="3">
        <f t="shared" si="3"/>
        <v>34772.080000000002</v>
      </c>
      <c r="J112" t="s">
        <v>29</v>
      </c>
    </row>
    <row r="113" spans="1:10" x14ac:dyDescent="0.3">
      <c r="A113" t="s">
        <v>256</v>
      </c>
      <c r="B113" s="2">
        <v>46153</v>
      </c>
      <c r="C113" t="s">
        <v>257</v>
      </c>
      <c r="D113" t="s">
        <v>23</v>
      </c>
      <c r="E113" t="s">
        <v>32</v>
      </c>
      <c r="F113" t="s">
        <v>86</v>
      </c>
      <c r="G113">
        <v>8</v>
      </c>
      <c r="H113" s="3">
        <v>4674.33</v>
      </c>
      <c r="I113" s="3">
        <f t="shared" si="3"/>
        <v>37394.639999999999</v>
      </c>
      <c r="J113" t="s">
        <v>44</v>
      </c>
    </row>
    <row r="114" spans="1:10" x14ac:dyDescent="0.3">
      <c r="A114" t="s">
        <v>258</v>
      </c>
      <c r="B114" s="2">
        <v>45902</v>
      </c>
      <c r="C114" t="s">
        <v>17</v>
      </c>
      <c r="D114" t="s">
        <v>65</v>
      </c>
      <c r="E114" t="s">
        <v>24</v>
      </c>
      <c r="F114" t="s">
        <v>194</v>
      </c>
      <c r="G114">
        <v>6</v>
      </c>
      <c r="H114" s="3">
        <v>3761.82</v>
      </c>
      <c r="I114" s="3">
        <f t="shared" si="3"/>
        <v>22570.920000000002</v>
      </c>
      <c r="J114" t="s">
        <v>29</v>
      </c>
    </row>
    <row r="115" spans="1:10" x14ac:dyDescent="0.3">
      <c r="A115" t="s">
        <v>259</v>
      </c>
      <c r="B115" s="2">
        <v>46053</v>
      </c>
      <c r="C115" t="s">
        <v>260</v>
      </c>
      <c r="D115" t="s">
        <v>18</v>
      </c>
      <c r="E115" t="s">
        <v>13</v>
      </c>
      <c r="F115" t="s">
        <v>106</v>
      </c>
      <c r="G115">
        <v>10</v>
      </c>
      <c r="H115" s="3">
        <v>1760.17</v>
      </c>
      <c r="I115" s="3">
        <f t="shared" si="3"/>
        <v>17601.7</v>
      </c>
      <c r="J115" t="s">
        <v>26</v>
      </c>
    </row>
    <row r="116" spans="1:10" x14ac:dyDescent="0.3">
      <c r="A116" t="s">
        <v>261</v>
      </c>
      <c r="B116" s="2">
        <v>46108</v>
      </c>
      <c r="C116" t="s">
        <v>262</v>
      </c>
      <c r="D116" t="s">
        <v>47</v>
      </c>
      <c r="E116" t="s">
        <v>19</v>
      </c>
      <c r="F116" t="s">
        <v>40</v>
      </c>
      <c r="G116">
        <v>7</v>
      </c>
      <c r="H116" s="3">
        <v>4374.0200000000004</v>
      </c>
      <c r="I116" s="3">
        <f t="shared" si="3"/>
        <v>30618.140000000003</v>
      </c>
      <c r="J116" t="s">
        <v>44</v>
      </c>
    </row>
    <row r="117" spans="1:10" x14ac:dyDescent="0.3">
      <c r="A117" t="s">
        <v>263</v>
      </c>
      <c r="B117" s="2">
        <v>45734</v>
      </c>
      <c r="C117" t="s">
        <v>264</v>
      </c>
      <c r="D117" t="s">
        <v>12</v>
      </c>
      <c r="E117" t="s">
        <v>36</v>
      </c>
      <c r="F117" t="s">
        <v>37</v>
      </c>
      <c r="G117">
        <v>7</v>
      </c>
      <c r="H117" s="3">
        <v>3301.71</v>
      </c>
      <c r="I117" s="3">
        <f t="shared" si="3"/>
        <v>23111.97</v>
      </c>
      <c r="J117" t="s">
        <v>110</v>
      </c>
    </row>
    <row r="118" spans="1:10" x14ac:dyDescent="0.3">
      <c r="A118" t="s">
        <v>265</v>
      </c>
      <c r="B118" s="2">
        <v>46047</v>
      </c>
      <c r="C118" t="s">
        <v>266</v>
      </c>
      <c r="D118" t="s">
        <v>47</v>
      </c>
      <c r="E118" t="s">
        <v>32</v>
      </c>
      <c r="F118" t="s">
        <v>66</v>
      </c>
      <c r="G118">
        <v>10</v>
      </c>
      <c r="H118" s="3">
        <v>481.84</v>
      </c>
      <c r="I118" s="3">
        <f t="shared" si="3"/>
        <v>4818.3999999999996</v>
      </c>
      <c r="J118" t="s">
        <v>110</v>
      </c>
    </row>
    <row r="119" spans="1:10" x14ac:dyDescent="0.3">
      <c r="A119" t="s">
        <v>267</v>
      </c>
      <c r="B119" s="2">
        <v>45890</v>
      </c>
      <c r="C119" t="s">
        <v>268</v>
      </c>
      <c r="D119" t="s">
        <v>18</v>
      </c>
      <c r="E119" t="s">
        <v>19</v>
      </c>
      <c r="F119" t="s">
        <v>135</v>
      </c>
      <c r="G119">
        <v>3</v>
      </c>
      <c r="H119" s="3">
        <v>3515.91</v>
      </c>
      <c r="I119" s="3">
        <f t="shared" si="3"/>
        <v>10547.73</v>
      </c>
      <c r="J119" t="s">
        <v>26</v>
      </c>
    </row>
    <row r="120" spans="1:10" x14ac:dyDescent="0.3">
      <c r="A120" t="s">
        <v>269</v>
      </c>
      <c r="B120" s="2">
        <v>45705</v>
      </c>
      <c r="C120" t="s">
        <v>270</v>
      </c>
      <c r="D120" t="s">
        <v>18</v>
      </c>
      <c r="E120" t="s">
        <v>36</v>
      </c>
      <c r="F120" t="s">
        <v>109</v>
      </c>
      <c r="G120">
        <v>6</v>
      </c>
      <c r="H120" s="3">
        <v>2238.83</v>
      </c>
      <c r="I120" s="3">
        <f t="shared" si="3"/>
        <v>13432.98</v>
      </c>
      <c r="J120" t="s">
        <v>44</v>
      </c>
    </row>
    <row r="121" spans="1:10" x14ac:dyDescent="0.3">
      <c r="A121" t="s">
        <v>271</v>
      </c>
      <c r="B121" s="2">
        <v>46201</v>
      </c>
      <c r="C121" t="s">
        <v>272</v>
      </c>
      <c r="D121" t="s">
        <v>65</v>
      </c>
      <c r="E121" t="s">
        <v>13</v>
      </c>
      <c r="F121" t="s">
        <v>14</v>
      </c>
      <c r="G121">
        <v>2</v>
      </c>
      <c r="H121" s="3">
        <v>3106.04</v>
      </c>
      <c r="I121" s="3">
        <f t="shared" si="3"/>
        <v>6212.08</v>
      </c>
      <c r="J121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zoomScale="115" zoomScaleNormal="115" workbookViewId="0">
      <selection activeCell="C13" sqref="C13"/>
    </sheetView>
  </sheetViews>
  <sheetFormatPr defaultColWidth="8.6640625" defaultRowHeight="14.4" x14ac:dyDescent="0.3"/>
  <cols>
    <col min="1" max="1" width="3" bestFit="1" customWidth="1"/>
    <col min="2" max="2" width="113.77734375" bestFit="1" customWidth="1"/>
    <col min="3" max="3" width="30" customWidth="1"/>
  </cols>
  <sheetData>
    <row r="1" spans="1:4" x14ac:dyDescent="0.3">
      <c r="A1" s="1" t="s">
        <v>273</v>
      </c>
      <c r="B1" s="1" t="s">
        <v>274</v>
      </c>
      <c r="C1" s="1" t="s">
        <v>275</v>
      </c>
    </row>
    <row r="2" spans="1:4" x14ac:dyDescent="0.3">
      <c r="A2">
        <v>1</v>
      </c>
      <c r="B2" t="s">
        <v>276</v>
      </c>
      <c r="C2">
        <f>SUM(Data!I:I)</f>
        <v>1740779.2899999996</v>
      </c>
    </row>
    <row r="3" spans="1:4" x14ac:dyDescent="0.3">
      <c r="A3">
        <v>2</v>
      </c>
      <c r="B3" t="s">
        <v>277</v>
      </c>
      <c r="C3">
        <f>SUMIF(Data!E:E,"Electronics",Data!G:G)</f>
        <v>151</v>
      </c>
    </row>
    <row r="4" spans="1:4" x14ac:dyDescent="0.3">
      <c r="A4">
        <v>3</v>
      </c>
      <c r="B4" t="s">
        <v>278</v>
      </c>
      <c r="C4">
        <f>SUMIF(Data!D:D,"North",Data!I:I)</f>
        <v>319750.42999999993</v>
      </c>
    </row>
    <row r="5" spans="1:4" x14ac:dyDescent="0.3">
      <c r="A5">
        <v>4</v>
      </c>
      <c r="B5" t="s">
        <v>279</v>
      </c>
      <c r="C5">
        <f>COUNTIF(Data!J:J,"UPI")</f>
        <v>16</v>
      </c>
    </row>
    <row r="6" spans="1:4" x14ac:dyDescent="0.3">
      <c r="A6">
        <v>5</v>
      </c>
      <c r="B6" t="s">
        <v>280</v>
      </c>
      <c r="C6">
        <f>SUMIFS(Data!I:I,Data!D:D,"South",Data!E:E,"Apparel")</f>
        <v>67721.179999999993</v>
      </c>
    </row>
    <row r="7" spans="1:4" x14ac:dyDescent="0.3">
      <c r="A7">
        <v>6</v>
      </c>
      <c r="B7" t="s">
        <v>281</v>
      </c>
      <c r="C7">
        <f>COUNTIFS(Data!G:G,"&gt;5",Data!J:J,"Credit Card")</f>
        <v>11</v>
      </c>
    </row>
    <row r="8" spans="1:4" x14ac:dyDescent="0.3">
      <c r="A8">
        <v>7</v>
      </c>
      <c r="B8" t="s">
        <v>282</v>
      </c>
      <c r="C8">
        <f>AVERAGEIF(Data!E:E,"Grocery",Data!H:H)</f>
        <v>2454.6565217391308</v>
      </c>
    </row>
    <row r="9" spans="1:4" x14ac:dyDescent="0.3">
      <c r="A9">
        <v>8</v>
      </c>
      <c r="B9" t="s">
        <v>283</v>
      </c>
      <c r="C9" t="str">
        <f>_xlfn.XLOOKUP("ORD1050",Data!A:A,Data!C:C,"",0,)</f>
        <v>Diya Rao</v>
      </c>
    </row>
    <row r="10" spans="1:4" x14ac:dyDescent="0.3">
      <c r="A10">
        <v>9</v>
      </c>
      <c r="B10" t="s">
        <v>284</v>
      </c>
      <c r="C10">
        <f>INDEX(Data!A1:J121,MATCH("ORD1075",Data!A:A,0),9)</f>
        <v>21369.599999999999</v>
      </c>
    </row>
    <row r="11" spans="1:4" x14ac:dyDescent="0.3">
      <c r="A11">
        <v>10</v>
      </c>
      <c r="B11" t="s">
        <v>285</v>
      </c>
      <c r="C11">
        <f>MAX(Data!I:I)</f>
        <v>49516.5</v>
      </c>
    </row>
    <row r="12" spans="1:4" x14ac:dyDescent="0.3">
      <c r="A12">
        <v>11</v>
      </c>
      <c r="B12" t="s">
        <v>286</v>
      </c>
      <c r="C12" t="str">
        <f>INDEX(Data!A1:J121,MATCH(MAX(Data!I:I),Data!I:I,0),1)</f>
        <v>ORD1092</v>
      </c>
    </row>
    <row r="13" spans="1:4" x14ac:dyDescent="0.3">
      <c r="A13">
        <v>12</v>
      </c>
      <c r="B13" t="s">
        <v>287</v>
      </c>
      <c r="C13">
        <f>COUNTA(_xlfn.UNIQUE(Data!E:E))</f>
        <v>7</v>
      </c>
    </row>
    <row r="14" spans="1:4" x14ac:dyDescent="0.3">
      <c r="A14">
        <v>13</v>
      </c>
      <c r="B14" t="s">
        <v>288</v>
      </c>
      <c r="C14" t="s">
        <v>297</v>
      </c>
      <c r="D14" t="str" cm="1">
        <f t="array" ref="D14:D20">_xlfn.UNIQUE(Data!D:D)</f>
        <v>Region</v>
      </c>
    </row>
    <row r="15" spans="1:4" x14ac:dyDescent="0.3">
      <c r="A15">
        <v>14</v>
      </c>
      <c r="B15" t="s">
        <v>289</v>
      </c>
      <c r="C15" t="str">
        <f>IF(Data!I2&gt;5000,"High","Low")</f>
        <v>High</v>
      </c>
      <c r="D15" t="str">
        <v>East</v>
      </c>
    </row>
    <row r="16" spans="1:4" x14ac:dyDescent="0.3">
      <c r="A16">
        <v>15</v>
      </c>
      <c r="B16" t="s">
        <v>290</v>
      </c>
      <c r="C16">
        <f>SUMIFS(Data!I:I,Data!B:B,"&gt;="&amp;DATE(2025,6,1))</f>
        <v>1289808.1299999997</v>
      </c>
      <c r="D16" t="str">
        <v>North</v>
      </c>
    </row>
    <row r="17" spans="1:4" x14ac:dyDescent="0.3">
      <c r="A17">
        <v>16</v>
      </c>
      <c r="B17" t="s">
        <v>291</v>
      </c>
      <c r="C17">
        <f>_xlfn.RANK.EQ(Data!I2,Data!I:I,1)</f>
        <v>57</v>
      </c>
      <c r="D17" t="str">
        <v>Central</v>
      </c>
    </row>
    <row r="18" spans="1:4" x14ac:dyDescent="0.3">
      <c r="A18">
        <v>17</v>
      </c>
      <c r="B18" t="s">
        <v>292</v>
      </c>
      <c r="C18" t="str">
        <f>TEXT(Data!B2,"mmmm")</f>
        <v>April</v>
      </c>
      <c r="D18" t="str">
        <v>West</v>
      </c>
    </row>
    <row r="19" spans="1:4" x14ac:dyDescent="0.3">
      <c r="A19">
        <v>18</v>
      </c>
      <c r="B19" t="s">
        <v>293</v>
      </c>
      <c r="C19">
        <f>LARGE(Data!I:I,2)</f>
        <v>40266.699999999997</v>
      </c>
      <c r="D19" t="str">
        <v>South</v>
      </c>
    </row>
    <row r="20" spans="1:4" x14ac:dyDescent="0.3">
      <c r="A20">
        <v>19</v>
      </c>
      <c r="B20" t="s">
        <v>294</v>
      </c>
      <c r="C20" cm="1">
        <f t="array" ref="C20">SUMPRODUCT(1/COUNTIF(Data!F2:F121,Data!F2:F121))</f>
        <v>24.999999999999993</v>
      </c>
      <c r="D20">
        <v>0</v>
      </c>
    </row>
    <row r="21" spans="1:4" x14ac:dyDescent="0.3">
      <c r="A21">
        <v>20</v>
      </c>
      <c r="B21" t="s">
        <v>295</v>
      </c>
      <c r="C21" t="s">
        <v>298</v>
      </c>
    </row>
    <row r="23" spans="1:4" x14ac:dyDescent="0.3">
      <c r="B23" s="4" t="s">
        <v>296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2026-07-02T05:17:47Z</dcterms:created>
  <dcterms:modified xsi:type="dcterms:W3CDTF">2026-07-02T08:45:57Z</dcterms:modified>
  <dc:language>en-US</dc:language>
</cp:coreProperties>
</file>